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sousa\Downloads\"/>
    </mc:Choice>
  </mc:AlternateContent>
  <xr:revisionPtr revIDLastSave="0" documentId="13_ncr:1_{E8CDDB28-8208-471A-B8A7-DE70BD4A78F5}" xr6:coauthVersionLast="36" xr6:coauthVersionMax="47" xr10:uidLastSave="{00000000-0000-0000-0000-000000000000}"/>
  <bookViews>
    <workbookView xWindow="0" yWindow="0" windowWidth="28800" windowHeight="12105" firstSheet="5" activeTab="5" xr2:uid="{9B13F344-765B-4BB0-9A83-9BE1F65C0F3B}"/>
  </bookViews>
  <sheets>
    <sheet name="Consolidada com todas as notas" sheetId="1" state="hidden" r:id="rId1"/>
    <sheet name="Consolidada" sheetId="6" state="hidden" r:id="rId2"/>
    <sheet name="Desclassificado" sheetId="3" state="hidden" r:id="rId3"/>
    <sheet name="Reprovados" sheetId="4" state="hidden" r:id="rId4"/>
    <sheet name="Sem Pontuação Minima" sheetId="5" state="hidden" r:id="rId5"/>
    <sheet name="Aprovados Recursos do Fundo" sheetId="12" r:id="rId6"/>
    <sheet name="Planilha2" sheetId="21" state="hidden" r:id="rId7"/>
    <sheet name="FUNDO" sheetId="20" state="hidden" r:id="rId8"/>
    <sheet name="Planilha1" sheetId="17" state="hidden" r:id="rId9"/>
    <sheet name="CAC" sheetId="19" state="hidden" r:id="rId10"/>
    <sheet name="Aprovados CAC (2)" sheetId="16" state="hidden" r:id="rId11"/>
    <sheet name="Lista Final - RECURSO DO" sheetId="15" state="hidden" r:id="rId12"/>
    <sheet name="Aprovados CAC" sheetId="13" r:id="rId13"/>
  </sheets>
  <definedNames>
    <definedName name="_xlnm._FilterDatabase" localSheetId="12" hidden="1">'Aprovados CAC'!$B$4:$BD$349</definedName>
    <definedName name="_xlnm._FilterDatabase" localSheetId="10" hidden="1">'Aprovados CAC (2)'!$B$4:$AI$355</definedName>
    <definedName name="_xlnm._FilterDatabase" localSheetId="5" hidden="1">'Aprovados Recursos do Fundo'!$5:$113</definedName>
    <definedName name="_xlnm._FilterDatabase" localSheetId="1" hidden="1">Consolidada!$B$4:$AG$619</definedName>
    <definedName name="_xlnm._FilterDatabase" localSheetId="0" hidden="1">'Consolidada com todas as notas'!$B$4:$AG$619</definedName>
    <definedName name="_xlnm._FilterDatabase" localSheetId="2" hidden="1">Desclassificado!$B$4:$AF$95</definedName>
    <definedName name="_xlnm._FilterDatabase" localSheetId="11" hidden="1">'Lista Final - RECURSO DO'!$A$2:$I$98</definedName>
    <definedName name="_xlnm._FilterDatabase" localSheetId="3" hidden="1">Reprovados!$B$4:$AF$58</definedName>
    <definedName name="_xlnm._FilterDatabase" localSheetId="4" hidden="1">'Sem Pontuação Minima'!$B$4:$AG$28</definedName>
    <definedName name="_Hlk127349196" localSheetId="5">'Aprovados Recursos do Fundo'!$I$48</definedName>
    <definedName name="_xlnm.Print_Area" localSheetId="5">'Aprovados Recursos do Fundo'!$C$5:$BJ$106</definedName>
    <definedName name="_xlnm.Print_Area" localSheetId="11">'Lista Final - RECURSO DO'!$A$1:$J$630</definedName>
  </definedNames>
  <calcPr calcId="191028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310" i="13" l="1"/>
  <c r="BD241" i="13"/>
  <c r="BD76" i="13" l="1"/>
  <c r="BD270" i="13"/>
  <c r="M57" i="13"/>
  <c r="M313" i="13"/>
  <c r="BJ11" i="12"/>
  <c r="BJ6" i="12"/>
  <c r="M105" i="13"/>
  <c r="M8" i="13"/>
  <c r="M306" i="13"/>
  <c r="J355" i="13"/>
  <c r="J353" i="13"/>
  <c r="J58" i="13"/>
  <c r="AW256" i="13" l="1"/>
  <c r="M323" i="13" l="1"/>
  <c r="AW187" i="13" l="1"/>
  <c r="AW159" i="13"/>
  <c r="AW86" i="13"/>
  <c r="AW85" i="13"/>
  <c r="AW84" i="13"/>
  <c r="AW48" i="13"/>
  <c r="AW38" i="13"/>
  <c r="AW10" i="13"/>
  <c r="BC8" i="12"/>
  <c r="BC112" i="12"/>
  <c r="BC111" i="12"/>
  <c r="BC109" i="12"/>
  <c r="BC107" i="12"/>
  <c r="BC106" i="12"/>
  <c r="BC104" i="12"/>
  <c r="BC103" i="12"/>
  <c r="BC102" i="12"/>
  <c r="BC101" i="12"/>
  <c r="BC99" i="12"/>
  <c r="BC98" i="12"/>
  <c r="BC96" i="12"/>
  <c r="BC94" i="12"/>
  <c r="BC92" i="12"/>
  <c r="BC91" i="12"/>
  <c r="BC90" i="12"/>
  <c r="BC89" i="12"/>
  <c r="BC87" i="12"/>
  <c r="BC86" i="12"/>
  <c r="BC85" i="12"/>
  <c r="BC84" i="12"/>
  <c r="BC83" i="12"/>
  <c r="BC82" i="12"/>
  <c r="BC81" i="12"/>
  <c r="BC79" i="12"/>
  <c r="BC78" i="12"/>
  <c r="BC76" i="12"/>
  <c r="BC72" i="12"/>
  <c r="BC71" i="12"/>
  <c r="BC68" i="12"/>
  <c r="BC67" i="12"/>
  <c r="BC66" i="12"/>
  <c r="BC65" i="12"/>
  <c r="BC64" i="12"/>
  <c r="BC60" i="12"/>
  <c r="BC59" i="12"/>
  <c r="BC57" i="12"/>
  <c r="BC56" i="12"/>
  <c r="BC55" i="12"/>
  <c r="BC52" i="12"/>
  <c r="BC51" i="12"/>
  <c r="BC50" i="12"/>
  <c r="BC49" i="12"/>
  <c r="BC48" i="12"/>
  <c r="BC47" i="12"/>
  <c r="BC45" i="12"/>
  <c r="BC44" i="12"/>
  <c r="BC43" i="12"/>
  <c r="BC41" i="12"/>
  <c r="BC38" i="12"/>
  <c r="BC35" i="12"/>
  <c r="BC32" i="12"/>
  <c r="BC31" i="12"/>
  <c r="BC30" i="12"/>
  <c r="BC29" i="12"/>
  <c r="BC28" i="12"/>
  <c r="BC27" i="12"/>
  <c r="BC25" i="12"/>
  <c r="BC24" i="12"/>
  <c r="BC22" i="12"/>
  <c r="BC21" i="12"/>
  <c r="BC20" i="12"/>
  <c r="BC19" i="12"/>
  <c r="BC18" i="12"/>
  <c r="BC17" i="12"/>
  <c r="BC16" i="12"/>
  <c r="BC15" i="12"/>
  <c r="BC14" i="12"/>
  <c r="BC12" i="12"/>
  <c r="BC11" i="12"/>
  <c r="BC10" i="12"/>
  <c r="BC7" i="12"/>
  <c r="M347" i="13" l="1"/>
  <c r="M160" i="13"/>
  <c r="M76" i="13" l="1"/>
  <c r="M61" i="13"/>
  <c r="M270" i="13" l="1"/>
  <c r="M39" i="13"/>
  <c r="M107" i="13" l="1"/>
  <c r="M114" i="13" l="1"/>
  <c r="M132" i="13"/>
  <c r="M5" i="13"/>
  <c r="P5" i="13" s="1"/>
  <c r="M198" i="13" l="1"/>
  <c r="M216" i="13"/>
  <c r="I159" i="13" l="1"/>
  <c r="I109" i="12" l="1"/>
  <c r="I15" i="12"/>
  <c r="I106" i="12"/>
  <c r="I99" i="12"/>
  <c r="H86" i="12"/>
  <c r="H68" i="12"/>
  <c r="I66" i="12"/>
  <c r="H28" i="12"/>
  <c r="J12" i="12"/>
  <c r="H114" i="12" l="1"/>
  <c r="BJ83" i="12"/>
  <c r="BJ82" i="12"/>
  <c r="BD275" i="13" l="1"/>
  <c r="BD274" i="13"/>
  <c r="BD58" i="13"/>
  <c r="BD256" i="13" l="1"/>
  <c r="BD159" i="13" l="1"/>
  <c r="BD106" i="13"/>
  <c r="M67" i="13" l="1"/>
  <c r="M241" i="13" l="1"/>
  <c r="L347" i="13" l="1"/>
  <c r="BJ81" i="12" l="1"/>
  <c r="M277" i="13" l="1"/>
  <c r="M159" i="13" l="1"/>
  <c r="M58" i="13" l="1"/>
  <c r="BD278" i="13" l="1"/>
  <c r="BD255" i="13" l="1"/>
  <c r="BD253" i="13" l="1"/>
  <c r="BJ99" i="12" l="1"/>
  <c r="O7" i="13" l="1"/>
  <c r="L7" i="13"/>
  <c r="L5" i="13"/>
  <c r="L348" i="13"/>
  <c r="L346" i="13"/>
  <c r="L345" i="13"/>
  <c r="L344" i="13"/>
  <c r="L343" i="13"/>
  <c r="L342" i="13"/>
  <c r="L341" i="13"/>
  <c r="L340" i="13"/>
  <c r="L339" i="13"/>
  <c r="L338" i="13"/>
  <c r="L337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N313" i="13" s="1"/>
  <c r="L312" i="13"/>
  <c r="L309" i="13"/>
  <c r="L308" i="13"/>
  <c r="L307" i="13"/>
  <c r="L306" i="13"/>
  <c r="L305" i="13"/>
  <c r="L303" i="13"/>
  <c r="L301" i="13"/>
  <c r="L300" i="13"/>
  <c r="L298" i="13"/>
  <c r="L297" i="13"/>
  <c r="L296" i="13"/>
  <c r="L295" i="13"/>
  <c r="L293" i="13"/>
  <c r="L292" i="13"/>
  <c r="L287" i="13"/>
  <c r="L286" i="13"/>
  <c r="L285" i="13"/>
  <c r="L284" i="13"/>
  <c r="L283" i="13"/>
  <c r="L282" i="13"/>
  <c r="L279" i="13"/>
  <c r="L278" i="13"/>
  <c r="L277" i="13"/>
  <c r="N277" i="13" s="1"/>
  <c r="L276" i="13"/>
  <c r="L275" i="13"/>
  <c r="L274" i="13"/>
  <c r="L273" i="13"/>
  <c r="L272" i="13"/>
  <c r="L271" i="13"/>
  <c r="L270" i="13"/>
  <c r="N270" i="13" s="1"/>
  <c r="L268" i="13"/>
  <c r="L264" i="13"/>
  <c r="L263" i="13"/>
  <c r="L262" i="13"/>
  <c r="L261" i="13"/>
  <c r="L260" i="13"/>
  <c r="L259" i="13"/>
  <c r="L258" i="13"/>
  <c r="L256" i="13"/>
  <c r="L255" i="13"/>
  <c r="L254" i="13"/>
  <c r="L253" i="13"/>
  <c r="L251" i="13"/>
  <c r="L250" i="13"/>
  <c r="L249" i="13"/>
  <c r="L247" i="13"/>
  <c r="L246" i="13"/>
  <c r="L243" i="13"/>
  <c r="L242" i="13"/>
  <c r="L241" i="13"/>
  <c r="L240" i="13"/>
  <c r="L238" i="13"/>
  <c r="L235" i="13"/>
  <c r="L232" i="13"/>
  <c r="L231" i="13"/>
  <c r="L230" i="13"/>
  <c r="L229" i="13"/>
  <c r="L228" i="13"/>
  <c r="L227" i="13"/>
  <c r="L226" i="13"/>
  <c r="L225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09" i="13"/>
  <c r="L208" i="13"/>
  <c r="L207" i="13"/>
  <c r="L202" i="13"/>
  <c r="L201" i="13"/>
  <c r="L200" i="13"/>
  <c r="L199" i="13"/>
  <c r="L198" i="13"/>
  <c r="Q198" i="13" s="1"/>
  <c r="L197" i="13"/>
  <c r="L196" i="13"/>
  <c r="L194" i="13"/>
  <c r="L193" i="13"/>
  <c r="L192" i="13"/>
  <c r="L191" i="13"/>
  <c r="L190" i="13"/>
  <c r="L189" i="13"/>
  <c r="L188" i="13"/>
  <c r="L186" i="13"/>
  <c r="L185" i="13"/>
  <c r="L184" i="13"/>
  <c r="L183" i="13"/>
  <c r="L182" i="13"/>
  <c r="L181" i="13"/>
  <c r="L180" i="13"/>
  <c r="L179" i="13"/>
  <c r="L178" i="13"/>
  <c r="L177" i="13"/>
  <c r="L176" i="13"/>
  <c r="L174" i="13"/>
  <c r="L173" i="13"/>
  <c r="L164" i="13"/>
  <c r="L161" i="13"/>
  <c r="L160" i="13"/>
  <c r="L159" i="13"/>
  <c r="L157" i="13"/>
  <c r="L156" i="13"/>
  <c r="L155" i="13"/>
  <c r="L154" i="13"/>
  <c r="L153" i="13"/>
  <c r="L152" i="13"/>
  <c r="L150" i="13"/>
  <c r="L149" i="13"/>
  <c r="L148" i="13"/>
  <c r="L147" i="13"/>
  <c r="L145" i="13"/>
  <c r="L144" i="13"/>
  <c r="L143" i="13"/>
  <c r="L142" i="13"/>
  <c r="L141" i="13"/>
  <c r="L140" i="13"/>
  <c r="L139" i="13"/>
  <c r="L137" i="13"/>
  <c r="L136" i="13"/>
  <c r="L135" i="13"/>
  <c r="L134" i="13"/>
  <c r="L133" i="13"/>
  <c r="L132" i="13"/>
  <c r="L131" i="13"/>
  <c r="L130" i="13"/>
  <c r="L129" i="13"/>
  <c r="L128" i="13"/>
  <c r="L126" i="13"/>
  <c r="L125" i="13"/>
  <c r="L124" i="13"/>
  <c r="L122" i="13"/>
  <c r="L121" i="13"/>
  <c r="L120" i="13"/>
  <c r="L119" i="13"/>
  <c r="L117" i="13"/>
  <c r="L116" i="13"/>
  <c r="L115" i="13"/>
  <c r="L114" i="13"/>
  <c r="N114" i="13" s="1"/>
  <c r="L113" i="13"/>
  <c r="L112" i="13"/>
  <c r="L111" i="13"/>
  <c r="L110" i="13"/>
  <c r="L107" i="13"/>
  <c r="L106" i="13"/>
  <c r="L105" i="13"/>
  <c r="L104" i="13"/>
  <c r="L103" i="13"/>
  <c r="L101" i="13"/>
  <c r="L99" i="13"/>
  <c r="L98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6" i="13"/>
  <c r="L75" i="13"/>
  <c r="L74" i="13"/>
  <c r="L73" i="13"/>
  <c r="L72" i="13"/>
  <c r="L71" i="13"/>
  <c r="L69" i="13"/>
  <c r="L68" i="13"/>
  <c r="L67" i="13"/>
  <c r="L66" i="13"/>
  <c r="L65" i="13"/>
  <c r="L63" i="13"/>
  <c r="L62" i="13"/>
  <c r="L61" i="13"/>
  <c r="L60" i="13"/>
  <c r="L59" i="13"/>
  <c r="L58" i="13"/>
  <c r="L57" i="13"/>
  <c r="L56" i="13"/>
  <c r="L55" i="13"/>
  <c r="L53" i="13"/>
  <c r="L52" i="13"/>
  <c r="L51" i="13"/>
  <c r="L49" i="13"/>
  <c r="L48" i="13"/>
  <c r="L47" i="13"/>
  <c r="L46" i="13"/>
  <c r="L45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8" i="13"/>
  <c r="L27" i="13"/>
  <c r="L26" i="13"/>
  <c r="L24" i="13"/>
  <c r="L23" i="13"/>
  <c r="L22" i="13"/>
  <c r="L21" i="13"/>
  <c r="L19" i="13"/>
  <c r="L17" i="13"/>
  <c r="L16" i="13"/>
  <c r="L15" i="13"/>
  <c r="L14" i="13"/>
  <c r="L13" i="13"/>
  <c r="L12" i="13"/>
  <c r="L11" i="13"/>
  <c r="L10" i="13"/>
  <c r="L9" i="13"/>
  <c r="L8" i="13"/>
  <c r="Q8" i="13" s="1"/>
  <c r="O10" i="13"/>
  <c r="P348" i="13"/>
  <c r="O348" i="13"/>
  <c r="P347" i="13"/>
  <c r="O347" i="13"/>
  <c r="P346" i="13"/>
  <c r="O346" i="13"/>
  <c r="P345" i="13"/>
  <c r="O345" i="13"/>
  <c r="P344" i="13"/>
  <c r="O344" i="13"/>
  <c r="P343" i="13"/>
  <c r="O343" i="13"/>
  <c r="P342" i="13"/>
  <c r="O342" i="13"/>
  <c r="P341" i="13"/>
  <c r="O341" i="13"/>
  <c r="P340" i="13"/>
  <c r="O340" i="13"/>
  <c r="P339" i="13"/>
  <c r="O339" i="13"/>
  <c r="P338" i="13"/>
  <c r="O338" i="13"/>
  <c r="P337" i="13"/>
  <c r="O337" i="13"/>
  <c r="P334" i="13"/>
  <c r="O334" i="13"/>
  <c r="P333" i="13"/>
  <c r="O333" i="13"/>
  <c r="P332" i="13"/>
  <c r="O332" i="13"/>
  <c r="P331" i="13"/>
  <c r="O331" i="13"/>
  <c r="P330" i="13"/>
  <c r="O330" i="13"/>
  <c r="P329" i="13"/>
  <c r="O329" i="13"/>
  <c r="P328" i="13"/>
  <c r="O328" i="13"/>
  <c r="P327" i="13"/>
  <c r="O327" i="13"/>
  <c r="P326" i="13"/>
  <c r="O326" i="13"/>
  <c r="P325" i="13"/>
  <c r="O325" i="13"/>
  <c r="P323" i="13"/>
  <c r="O323" i="13"/>
  <c r="P322" i="13"/>
  <c r="O322" i="13"/>
  <c r="P321" i="13"/>
  <c r="O321" i="13"/>
  <c r="P320" i="13"/>
  <c r="O320" i="13"/>
  <c r="P319" i="13"/>
  <c r="O319" i="13"/>
  <c r="P318" i="13"/>
  <c r="O318" i="13"/>
  <c r="P317" i="13"/>
  <c r="O317" i="13"/>
  <c r="P316" i="13"/>
  <c r="O316" i="13"/>
  <c r="P315" i="13"/>
  <c r="O315" i="13"/>
  <c r="P314" i="13"/>
  <c r="O314" i="13"/>
  <c r="P313" i="13"/>
  <c r="O313" i="13"/>
  <c r="P312" i="13"/>
  <c r="O312" i="13"/>
  <c r="P310" i="13"/>
  <c r="O310" i="13"/>
  <c r="P309" i="13"/>
  <c r="O309" i="13"/>
  <c r="P308" i="13"/>
  <c r="O308" i="13"/>
  <c r="P307" i="13"/>
  <c r="O307" i="13"/>
  <c r="P306" i="13"/>
  <c r="O306" i="13"/>
  <c r="P305" i="13"/>
  <c r="O305" i="13"/>
  <c r="P303" i="13"/>
  <c r="O303" i="13"/>
  <c r="P301" i="13"/>
  <c r="O301" i="13"/>
  <c r="P300" i="13"/>
  <c r="O300" i="13"/>
  <c r="P298" i="13"/>
  <c r="O298" i="13"/>
  <c r="P297" i="13"/>
  <c r="O297" i="13"/>
  <c r="P296" i="13"/>
  <c r="O296" i="13"/>
  <c r="P295" i="13"/>
  <c r="O295" i="13"/>
  <c r="P293" i="13"/>
  <c r="O293" i="13"/>
  <c r="P292" i="13"/>
  <c r="O292" i="13"/>
  <c r="P287" i="13"/>
  <c r="O287" i="13"/>
  <c r="P286" i="13"/>
  <c r="O286" i="13"/>
  <c r="P285" i="13"/>
  <c r="O285" i="13"/>
  <c r="P284" i="13"/>
  <c r="O284" i="13"/>
  <c r="P283" i="13"/>
  <c r="O283" i="13"/>
  <c r="P282" i="13"/>
  <c r="O282" i="13"/>
  <c r="P279" i="13"/>
  <c r="O279" i="13"/>
  <c r="P277" i="13"/>
  <c r="O277" i="13"/>
  <c r="P276" i="13"/>
  <c r="O276" i="13"/>
  <c r="P273" i="13"/>
  <c r="O273" i="13"/>
  <c r="P272" i="13"/>
  <c r="O272" i="13"/>
  <c r="P271" i="13"/>
  <c r="O271" i="13"/>
  <c r="P270" i="13"/>
  <c r="O270" i="13"/>
  <c r="P268" i="13"/>
  <c r="O268" i="13"/>
  <c r="P264" i="13"/>
  <c r="O264" i="13"/>
  <c r="P263" i="13"/>
  <c r="O263" i="13"/>
  <c r="P262" i="13"/>
  <c r="O262" i="13"/>
  <c r="P261" i="13"/>
  <c r="O261" i="13"/>
  <c r="P260" i="13"/>
  <c r="O260" i="13"/>
  <c r="P259" i="13"/>
  <c r="O259" i="13"/>
  <c r="P258" i="13"/>
  <c r="O258" i="13"/>
  <c r="P256" i="13"/>
  <c r="O256" i="13"/>
  <c r="P255" i="13"/>
  <c r="O255" i="13"/>
  <c r="P254" i="13"/>
  <c r="O254" i="13"/>
  <c r="P251" i="13"/>
  <c r="O251" i="13"/>
  <c r="P250" i="13"/>
  <c r="O250" i="13"/>
  <c r="P249" i="13"/>
  <c r="O249" i="13"/>
  <c r="P247" i="13"/>
  <c r="O247" i="13"/>
  <c r="P246" i="13"/>
  <c r="O246" i="13"/>
  <c r="P243" i="13"/>
  <c r="O243" i="13"/>
  <c r="P242" i="13"/>
  <c r="O242" i="13"/>
  <c r="P241" i="13"/>
  <c r="O241" i="13"/>
  <c r="P240" i="13"/>
  <c r="O240" i="13"/>
  <c r="P238" i="13"/>
  <c r="O238" i="13"/>
  <c r="P235" i="13"/>
  <c r="O235" i="13"/>
  <c r="P232" i="13"/>
  <c r="O232" i="13"/>
  <c r="P231" i="13"/>
  <c r="O231" i="13"/>
  <c r="P229" i="13"/>
  <c r="O229" i="13"/>
  <c r="P228" i="13"/>
  <c r="O228" i="13"/>
  <c r="P227" i="13"/>
  <c r="O227" i="13"/>
  <c r="P226" i="13"/>
  <c r="O226" i="13"/>
  <c r="P225" i="13"/>
  <c r="O225" i="13"/>
  <c r="P223" i="13"/>
  <c r="O223" i="13"/>
  <c r="P222" i="13"/>
  <c r="O222" i="13"/>
  <c r="P221" i="13"/>
  <c r="O221" i="13"/>
  <c r="P220" i="13"/>
  <c r="O220" i="13"/>
  <c r="P219" i="13"/>
  <c r="O219" i="13"/>
  <c r="P218" i="13"/>
  <c r="O218" i="13"/>
  <c r="P217" i="13"/>
  <c r="O217" i="13"/>
  <c r="P215" i="13"/>
  <c r="O215" i="13"/>
  <c r="P214" i="13"/>
  <c r="O214" i="13"/>
  <c r="P213" i="13"/>
  <c r="O213" i="13"/>
  <c r="P212" i="13"/>
  <c r="O212" i="13"/>
  <c r="P209" i="13"/>
  <c r="O209" i="13"/>
  <c r="P208" i="13"/>
  <c r="O208" i="13"/>
  <c r="P207" i="13"/>
  <c r="O207" i="13"/>
  <c r="P202" i="13"/>
  <c r="O202" i="13"/>
  <c r="P201" i="13"/>
  <c r="O201" i="13"/>
  <c r="P200" i="13"/>
  <c r="O200" i="13"/>
  <c r="P199" i="13"/>
  <c r="O199" i="13"/>
  <c r="P198" i="13"/>
  <c r="O198" i="13"/>
  <c r="P197" i="13"/>
  <c r="O197" i="13"/>
  <c r="P196" i="13"/>
  <c r="O196" i="13"/>
  <c r="P194" i="13"/>
  <c r="O194" i="13"/>
  <c r="P193" i="13"/>
  <c r="O193" i="13"/>
  <c r="P192" i="13"/>
  <c r="O192" i="13"/>
  <c r="P191" i="13"/>
  <c r="O191" i="13"/>
  <c r="P190" i="13"/>
  <c r="O190" i="13"/>
  <c r="P189" i="13"/>
  <c r="O189" i="13"/>
  <c r="P188" i="13"/>
  <c r="O188" i="13"/>
  <c r="P186" i="13"/>
  <c r="O186" i="13"/>
  <c r="P185" i="13"/>
  <c r="O185" i="13"/>
  <c r="P184" i="13"/>
  <c r="O184" i="13"/>
  <c r="P183" i="13"/>
  <c r="O183" i="13"/>
  <c r="P182" i="13"/>
  <c r="O182" i="13"/>
  <c r="P181" i="13"/>
  <c r="O181" i="13"/>
  <c r="P180" i="13"/>
  <c r="O180" i="13"/>
  <c r="P179" i="13"/>
  <c r="O179" i="13"/>
  <c r="P178" i="13"/>
  <c r="O178" i="13"/>
  <c r="P177" i="13"/>
  <c r="O177" i="13"/>
  <c r="P176" i="13"/>
  <c r="O176" i="13"/>
  <c r="P174" i="13"/>
  <c r="O174" i="13"/>
  <c r="P173" i="13"/>
  <c r="O173" i="13"/>
  <c r="P164" i="13"/>
  <c r="O164" i="13"/>
  <c r="P161" i="13"/>
  <c r="O161" i="13"/>
  <c r="P160" i="13"/>
  <c r="O160" i="13"/>
  <c r="P159" i="13"/>
  <c r="O159" i="13"/>
  <c r="P157" i="13"/>
  <c r="O157" i="13"/>
  <c r="P156" i="13"/>
  <c r="O156" i="13"/>
  <c r="P155" i="13"/>
  <c r="O155" i="13"/>
  <c r="P154" i="13"/>
  <c r="O154" i="13"/>
  <c r="P153" i="13"/>
  <c r="O153" i="13"/>
  <c r="P152" i="13"/>
  <c r="O152" i="13"/>
  <c r="P150" i="13"/>
  <c r="O150" i="13"/>
  <c r="P149" i="13"/>
  <c r="O149" i="13"/>
  <c r="P148" i="13"/>
  <c r="O148" i="13"/>
  <c r="P147" i="13"/>
  <c r="O147" i="13"/>
  <c r="P145" i="13"/>
  <c r="O145" i="13"/>
  <c r="P144" i="13"/>
  <c r="O144" i="13"/>
  <c r="P143" i="13"/>
  <c r="O143" i="13"/>
  <c r="P142" i="13"/>
  <c r="O142" i="13"/>
  <c r="P141" i="13"/>
  <c r="O141" i="13"/>
  <c r="P140" i="13"/>
  <c r="O140" i="13"/>
  <c r="P139" i="13"/>
  <c r="O139" i="13"/>
  <c r="P137" i="13"/>
  <c r="O137" i="13"/>
  <c r="P136" i="13"/>
  <c r="O136" i="13"/>
  <c r="P135" i="13"/>
  <c r="O135" i="13"/>
  <c r="P134" i="13"/>
  <c r="O134" i="13"/>
  <c r="P133" i="13"/>
  <c r="O133" i="13"/>
  <c r="P131" i="13"/>
  <c r="O131" i="13"/>
  <c r="P130" i="13"/>
  <c r="O130" i="13"/>
  <c r="P129" i="13"/>
  <c r="O129" i="13"/>
  <c r="P128" i="13"/>
  <c r="O128" i="13"/>
  <c r="P126" i="13"/>
  <c r="O126" i="13"/>
  <c r="P125" i="13"/>
  <c r="O125" i="13"/>
  <c r="P124" i="13"/>
  <c r="O124" i="13"/>
  <c r="P122" i="13"/>
  <c r="O122" i="13"/>
  <c r="P121" i="13"/>
  <c r="O121" i="13"/>
  <c r="P120" i="13"/>
  <c r="O120" i="13"/>
  <c r="P119" i="13"/>
  <c r="O119" i="13"/>
  <c r="P117" i="13"/>
  <c r="O117" i="13"/>
  <c r="P116" i="13"/>
  <c r="O116" i="13"/>
  <c r="P115" i="13"/>
  <c r="O115" i="13"/>
  <c r="P114" i="13"/>
  <c r="O114" i="13"/>
  <c r="P113" i="13"/>
  <c r="O113" i="13"/>
  <c r="P112" i="13"/>
  <c r="O112" i="13"/>
  <c r="P111" i="13"/>
  <c r="O111" i="13"/>
  <c r="P110" i="13"/>
  <c r="O110" i="13"/>
  <c r="P107" i="13"/>
  <c r="O107" i="13"/>
  <c r="P104" i="13"/>
  <c r="O104" i="13"/>
  <c r="P103" i="13"/>
  <c r="O103" i="13"/>
  <c r="P101" i="13"/>
  <c r="O101" i="13"/>
  <c r="P99" i="13"/>
  <c r="O99" i="13"/>
  <c r="P98" i="13"/>
  <c r="O98" i="13"/>
  <c r="P92" i="13"/>
  <c r="O92" i="13"/>
  <c r="P91" i="13"/>
  <c r="O91" i="13"/>
  <c r="P90" i="13"/>
  <c r="O90" i="13"/>
  <c r="P89" i="13"/>
  <c r="O89" i="13"/>
  <c r="P88" i="13"/>
  <c r="O88" i="13"/>
  <c r="P87" i="13"/>
  <c r="O87" i="13"/>
  <c r="P83" i="13"/>
  <c r="O83" i="13"/>
  <c r="P82" i="13"/>
  <c r="O82" i="13"/>
  <c r="P81" i="13"/>
  <c r="O81" i="13"/>
  <c r="P80" i="13"/>
  <c r="O80" i="13"/>
  <c r="P79" i="13"/>
  <c r="O79" i="13"/>
  <c r="P75" i="13"/>
  <c r="O75" i="13"/>
  <c r="P74" i="13"/>
  <c r="O74" i="13"/>
  <c r="P73" i="13"/>
  <c r="O73" i="13"/>
  <c r="P72" i="13"/>
  <c r="O72" i="13"/>
  <c r="P71" i="13"/>
  <c r="O71" i="13"/>
  <c r="P69" i="13"/>
  <c r="O69" i="13"/>
  <c r="P68" i="13"/>
  <c r="O68" i="13"/>
  <c r="P67" i="13"/>
  <c r="O67" i="13"/>
  <c r="P66" i="13"/>
  <c r="O66" i="13"/>
  <c r="P65" i="13"/>
  <c r="O65" i="13"/>
  <c r="P63" i="13"/>
  <c r="O63" i="13"/>
  <c r="P62" i="13"/>
  <c r="O62" i="13"/>
  <c r="P61" i="13"/>
  <c r="O61" i="13"/>
  <c r="P60" i="13"/>
  <c r="O60" i="13"/>
  <c r="P59" i="13"/>
  <c r="O59" i="13"/>
  <c r="P58" i="13"/>
  <c r="O58" i="13"/>
  <c r="P57" i="13"/>
  <c r="O57" i="13"/>
  <c r="P56" i="13"/>
  <c r="O56" i="13"/>
  <c r="P55" i="13"/>
  <c r="O55" i="13"/>
  <c r="P53" i="13"/>
  <c r="O53" i="13"/>
  <c r="P52" i="13"/>
  <c r="O52" i="13"/>
  <c r="P51" i="13"/>
  <c r="O51" i="13"/>
  <c r="P49" i="13"/>
  <c r="O49" i="13"/>
  <c r="P47" i="13"/>
  <c r="O47" i="13"/>
  <c r="P46" i="13"/>
  <c r="O46" i="13"/>
  <c r="P45" i="13"/>
  <c r="O45" i="13"/>
  <c r="P41" i="13"/>
  <c r="O41" i="13"/>
  <c r="P40" i="13"/>
  <c r="O40" i="13"/>
  <c r="P39" i="13"/>
  <c r="O39" i="13"/>
  <c r="P37" i="13"/>
  <c r="O37" i="13"/>
  <c r="P36" i="13"/>
  <c r="O36" i="13"/>
  <c r="P35" i="13"/>
  <c r="O35" i="13"/>
  <c r="P34" i="13"/>
  <c r="O34" i="13"/>
  <c r="P33" i="13"/>
  <c r="O33" i="13"/>
  <c r="P32" i="13"/>
  <c r="O32" i="13"/>
  <c r="P31" i="13"/>
  <c r="O31" i="13"/>
  <c r="P30" i="13"/>
  <c r="O30" i="13"/>
  <c r="P28" i="13"/>
  <c r="O28" i="13"/>
  <c r="P27" i="13"/>
  <c r="O27" i="13"/>
  <c r="P26" i="13"/>
  <c r="O26" i="13"/>
  <c r="P24" i="13"/>
  <c r="O24" i="13"/>
  <c r="P23" i="13"/>
  <c r="O23" i="13"/>
  <c r="P22" i="13"/>
  <c r="O22" i="13"/>
  <c r="P21" i="13"/>
  <c r="O21" i="13"/>
  <c r="P19" i="13"/>
  <c r="O19" i="13"/>
  <c r="P17" i="13"/>
  <c r="O17" i="13"/>
  <c r="P16" i="13"/>
  <c r="O16" i="13"/>
  <c r="P15" i="13"/>
  <c r="O15" i="13"/>
  <c r="P14" i="13"/>
  <c r="O14" i="13"/>
  <c r="P13" i="13"/>
  <c r="O13" i="13"/>
  <c r="P12" i="13"/>
  <c r="O12" i="13"/>
  <c r="P11" i="13"/>
  <c r="O11" i="13"/>
  <c r="P10" i="13"/>
  <c r="P9" i="13"/>
  <c r="O9" i="13"/>
  <c r="P8" i="13"/>
  <c r="O8" i="13"/>
  <c r="P7" i="13"/>
  <c r="O5" i="13"/>
  <c r="M38" i="13"/>
  <c r="P38" i="13" s="1"/>
  <c r="Q5" i="13" l="1"/>
  <c r="N5" i="13"/>
  <c r="N67" i="13"/>
  <c r="Q67" i="13"/>
  <c r="N346" i="13"/>
  <c r="Q346" i="13"/>
  <c r="N154" i="13"/>
  <c r="Q154" i="13"/>
  <c r="N57" i="13"/>
  <c r="Q57" i="13"/>
  <c r="O38" i="13"/>
  <c r="Q263" i="13"/>
  <c r="N263" i="13"/>
  <c r="Q10" i="13"/>
  <c r="N8" i="13" l="1"/>
  <c r="N306" i="13"/>
  <c r="BD38" i="13" l="1"/>
  <c r="BD10" i="13"/>
  <c r="BD48" i="13"/>
  <c r="J278" i="13" l="1"/>
  <c r="J275" i="13"/>
  <c r="J274" i="13"/>
  <c r="K256" i="13"/>
  <c r="J255" i="13"/>
  <c r="J253" i="13"/>
  <c r="J106" i="13"/>
  <c r="Q255" i="13" l="1"/>
  <c r="N255" i="13"/>
  <c r="I248" i="13" l="1"/>
  <c r="L248" i="13" s="1"/>
  <c r="I310" i="13"/>
  <c r="L310" i="13" s="1"/>
  <c r="I187" i="13"/>
  <c r="L187" i="13" s="1"/>
  <c r="K350" i="13"/>
  <c r="J350" i="13"/>
  <c r="Q256" i="13" l="1"/>
  <c r="N256" i="13"/>
  <c r="M106" i="13" l="1"/>
  <c r="O106" i="13" l="1"/>
  <c r="P106" i="13"/>
  <c r="BD55" i="13"/>
  <c r="M278" i="13" l="1"/>
  <c r="P278" i="13" l="1"/>
  <c r="O278" i="13"/>
  <c r="N278" i="13"/>
  <c r="N198" i="13"/>
  <c r="BD248" i="13" l="1"/>
  <c r="BJ87" i="12"/>
  <c r="N106" i="13" l="1"/>
  <c r="P105" i="13" l="1"/>
  <c r="O105" i="13"/>
  <c r="N105" i="13"/>
  <c r="Q105" i="13"/>
  <c r="Q270" i="13"/>
  <c r="Q38" i="13"/>
  <c r="BD187" i="13"/>
  <c r="M274" i="13" l="1"/>
  <c r="M275" i="13"/>
  <c r="P275" i="13" l="1"/>
  <c r="O275" i="13"/>
  <c r="P274" i="13"/>
  <c r="O274" i="13"/>
  <c r="Q274" i="13"/>
  <c r="N274" i="13"/>
  <c r="Q347" i="13"/>
  <c r="Q323" i="13"/>
  <c r="Q310" i="13"/>
  <c r="Q306" i="13"/>
  <c r="Q278" i="13"/>
  <c r="Q277" i="13"/>
  <c r="Q275" i="13"/>
  <c r="Q241" i="13"/>
  <c r="Q160" i="13"/>
  <c r="Q159" i="13"/>
  <c r="Q114" i="13"/>
  <c r="Q107" i="13"/>
  <c r="Q106" i="13"/>
  <c r="N107" i="13"/>
  <c r="Q61" i="13"/>
  <c r="Q58" i="13"/>
  <c r="Q55" i="13"/>
  <c r="Q39" i="13"/>
  <c r="N39" i="13"/>
  <c r="P216" i="13" l="1"/>
  <c r="O216" i="13"/>
  <c r="Q216" i="13"/>
  <c r="L349" i="13"/>
  <c r="M248" i="13"/>
  <c r="Q248" i="13" s="1"/>
  <c r="P248" i="13" l="1"/>
  <c r="O248" i="13"/>
  <c r="N248" i="13"/>
  <c r="M253" i="13"/>
  <c r="P253" i="13" l="1"/>
  <c r="O253" i="13"/>
  <c r="Q253" i="13"/>
  <c r="N253" i="13"/>
  <c r="BD86" i="13"/>
  <c r="BD84" i="13"/>
  <c r="BD85" i="13"/>
  <c r="BJ43" i="12"/>
  <c r="N10" i="13" l="1"/>
  <c r="M48" i="13" l="1"/>
  <c r="P48" i="13" l="1"/>
  <c r="O48" i="13"/>
  <c r="Q48" i="13"/>
  <c r="O76" i="13" l="1"/>
  <c r="P76" i="13"/>
  <c r="Q76" i="13"/>
  <c r="N76" i="13"/>
  <c r="M187" i="13"/>
  <c r="P187" i="13" l="1"/>
  <c r="O187" i="13"/>
  <c r="Q187" i="13"/>
  <c r="N187" i="13"/>
  <c r="M86" i="13"/>
  <c r="M85" i="13"/>
  <c r="M84" i="13"/>
  <c r="M324" i="13"/>
  <c r="N132" i="13"/>
  <c r="P84" i="13" l="1"/>
  <c r="O84" i="13"/>
  <c r="Q84" i="13"/>
  <c r="P132" i="13"/>
  <c r="O132" i="13"/>
  <c r="Q132" i="13"/>
  <c r="P324" i="13"/>
  <c r="O324" i="13"/>
  <c r="Q324" i="13"/>
  <c r="O85" i="13"/>
  <c r="P85" i="13"/>
  <c r="Q85" i="13"/>
  <c r="P86" i="13"/>
  <c r="O86" i="13"/>
  <c r="Q86" i="13"/>
  <c r="N275" i="13"/>
  <c r="N159" i="13"/>
  <c r="BJ110" i="12" l="1"/>
  <c r="BJ109" i="12"/>
  <c r="BJ111" i="12"/>
  <c r="N84" i="13" l="1"/>
  <c r="N61" i="13" l="1"/>
  <c r="N38" i="13" l="1"/>
  <c r="N160" i="13"/>
  <c r="N48" i="13" l="1"/>
  <c r="N216" i="13" l="1"/>
  <c r="N58" i="13" l="1"/>
  <c r="N85" i="13"/>
  <c r="BJ28" i="12" l="1"/>
  <c r="N55" i="13"/>
  <c r="M230" i="13" l="1"/>
  <c r="Q230" i="13" s="1"/>
  <c r="P230" i="13" l="1"/>
  <c r="O230" i="13"/>
  <c r="N230" i="13"/>
  <c r="AH355" i="16"/>
  <c r="AI355" i="16" s="1"/>
  <c r="AG355" i="16"/>
  <c r="AH354" i="16"/>
  <c r="AI354" i="16" s="1"/>
  <c r="AG354" i="16"/>
  <c r="AH353" i="16"/>
  <c r="AI353" i="16" s="1"/>
  <c r="AG353" i="16"/>
  <c r="AH352" i="16"/>
  <c r="AI352" i="16" s="1"/>
  <c r="AG352" i="16"/>
  <c r="AH351" i="16"/>
  <c r="AI351" i="16" s="1"/>
  <c r="AG351" i="16"/>
  <c r="AH350" i="16"/>
  <c r="AI350" i="16" s="1"/>
  <c r="AG350" i="16"/>
  <c r="AH349" i="16"/>
  <c r="AI349" i="16" s="1"/>
  <c r="AG349" i="16"/>
  <c r="AH348" i="16"/>
  <c r="AI348" i="16" s="1"/>
  <c r="AG348" i="16"/>
  <c r="AH347" i="16"/>
  <c r="AI347" i="16" s="1"/>
  <c r="AG347" i="16"/>
  <c r="AH346" i="16"/>
  <c r="AI346" i="16" s="1"/>
  <c r="AG346" i="16"/>
  <c r="AH345" i="16"/>
  <c r="AI345" i="16" s="1"/>
  <c r="AG345" i="16"/>
  <c r="AH344" i="16"/>
  <c r="AI344" i="16" s="1"/>
  <c r="AG344" i="16"/>
  <c r="AH343" i="16"/>
  <c r="AI343" i="16" s="1"/>
  <c r="AG343" i="16"/>
  <c r="AH342" i="16"/>
  <c r="AI342" i="16" s="1"/>
  <c r="AG342" i="16"/>
  <c r="AH341" i="16"/>
  <c r="AI341" i="16" s="1"/>
  <c r="AG341" i="16"/>
  <c r="AH340" i="16"/>
  <c r="AI340" i="16" s="1"/>
  <c r="AG340" i="16"/>
  <c r="AH339" i="16"/>
  <c r="AI339" i="16" s="1"/>
  <c r="AG339" i="16"/>
  <c r="AH338" i="16"/>
  <c r="AI338" i="16" s="1"/>
  <c r="AG338" i="16"/>
  <c r="AH337" i="16"/>
  <c r="AI337" i="16" s="1"/>
  <c r="AG337" i="16"/>
  <c r="AH336" i="16"/>
  <c r="AI336" i="16" s="1"/>
  <c r="AG336" i="16"/>
  <c r="AH335" i="16"/>
  <c r="AI335" i="16" s="1"/>
  <c r="AG335" i="16"/>
  <c r="AH334" i="16"/>
  <c r="AI334" i="16" s="1"/>
  <c r="AG334" i="16"/>
  <c r="AH333" i="16"/>
  <c r="AI333" i="16" s="1"/>
  <c r="AG333" i="16"/>
  <c r="AH332" i="16"/>
  <c r="AI332" i="16" s="1"/>
  <c r="AG332" i="16"/>
  <c r="AH331" i="16"/>
  <c r="AI331" i="16" s="1"/>
  <c r="AG331" i="16"/>
  <c r="AH330" i="16"/>
  <c r="AI330" i="16" s="1"/>
  <c r="AG330" i="16"/>
  <c r="AH329" i="16"/>
  <c r="AI329" i="16" s="1"/>
  <c r="AG329" i="16"/>
  <c r="AH328" i="16"/>
  <c r="AI328" i="16" s="1"/>
  <c r="AG328" i="16"/>
  <c r="AH327" i="16"/>
  <c r="AI327" i="16" s="1"/>
  <c r="AG327" i="16"/>
  <c r="AH326" i="16"/>
  <c r="AI326" i="16" s="1"/>
  <c r="AG326" i="16"/>
  <c r="AH325" i="16"/>
  <c r="AI325" i="16" s="1"/>
  <c r="AG325" i="16"/>
  <c r="AH324" i="16"/>
  <c r="AI324" i="16" s="1"/>
  <c r="AG324" i="16"/>
  <c r="AH323" i="16"/>
  <c r="AI323" i="16" s="1"/>
  <c r="AG323" i="16"/>
  <c r="AH322" i="16"/>
  <c r="AI322" i="16" s="1"/>
  <c r="AG322" i="16"/>
  <c r="AH321" i="16"/>
  <c r="AI321" i="16" s="1"/>
  <c r="AG321" i="16"/>
  <c r="AH320" i="16"/>
  <c r="AI320" i="16" s="1"/>
  <c r="AG320" i="16"/>
  <c r="AH319" i="16"/>
  <c r="AI319" i="16" s="1"/>
  <c r="AG319" i="16"/>
  <c r="AH318" i="16"/>
  <c r="AI318" i="16" s="1"/>
  <c r="AG318" i="16"/>
  <c r="AH317" i="16"/>
  <c r="AI317" i="16" s="1"/>
  <c r="AG317" i="16"/>
  <c r="AH316" i="16"/>
  <c r="AI316" i="16" s="1"/>
  <c r="AG316" i="16"/>
  <c r="AH315" i="16"/>
  <c r="AI315" i="16" s="1"/>
  <c r="AG315" i="16"/>
  <c r="AH314" i="16"/>
  <c r="AI314" i="16" s="1"/>
  <c r="AG314" i="16"/>
  <c r="AH313" i="16"/>
  <c r="AI313" i="16" s="1"/>
  <c r="AG313" i="16"/>
  <c r="AH312" i="16"/>
  <c r="AI312" i="16" s="1"/>
  <c r="AG312" i="16"/>
  <c r="AH311" i="16"/>
  <c r="AI311" i="16" s="1"/>
  <c r="AG311" i="16"/>
  <c r="AH310" i="16"/>
  <c r="AI310" i="16" s="1"/>
  <c r="AG310" i="16"/>
  <c r="AH309" i="16"/>
  <c r="AI309" i="16" s="1"/>
  <c r="AG309" i="16"/>
  <c r="AH308" i="16"/>
  <c r="AI308" i="16" s="1"/>
  <c r="AG308" i="16"/>
  <c r="AH307" i="16"/>
  <c r="AI307" i="16" s="1"/>
  <c r="AG307" i="16"/>
  <c r="AH306" i="16"/>
  <c r="AI306" i="16" s="1"/>
  <c r="AG306" i="16"/>
  <c r="AH305" i="16"/>
  <c r="AI305" i="16" s="1"/>
  <c r="AG305" i="16"/>
  <c r="AH304" i="16"/>
  <c r="AI304" i="16" s="1"/>
  <c r="AG304" i="16"/>
  <c r="AH303" i="16"/>
  <c r="AI303" i="16" s="1"/>
  <c r="AG303" i="16"/>
  <c r="AH302" i="16"/>
  <c r="AI302" i="16" s="1"/>
  <c r="AG302" i="16"/>
  <c r="AH301" i="16"/>
  <c r="AI301" i="16" s="1"/>
  <c r="AG301" i="16"/>
  <c r="AH300" i="16"/>
  <c r="AI300" i="16" s="1"/>
  <c r="AG300" i="16"/>
  <c r="AH299" i="16"/>
  <c r="AI299" i="16" s="1"/>
  <c r="AG299" i="16"/>
  <c r="AH298" i="16"/>
  <c r="AI298" i="16" s="1"/>
  <c r="AG298" i="16"/>
  <c r="AH297" i="16"/>
  <c r="AI297" i="16" s="1"/>
  <c r="AG297" i="16"/>
  <c r="AH296" i="16"/>
  <c r="AI296" i="16" s="1"/>
  <c r="AG296" i="16"/>
  <c r="AH295" i="16"/>
  <c r="AI295" i="16" s="1"/>
  <c r="AG295" i="16"/>
  <c r="AH294" i="16"/>
  <c r="AI294" i="16" s="1"/>
  <c r="AG294" i="16"/>
  <c r="AH293" i="16"/>
  <c r="AI293" i="16" s="1"/>
  <c r="AG293" i="16"/>
  <c r="AH292" i="16"/>
  <c r="AI292" i="16" s="1"/>
  <c r="AG292" i="16"/>
  <c r="AH291" i="16"/>
  <c r="AI291" i="16" s="1"/>
  <c r="AG291" i="16"/>
  <c r="AH290" i="16"/>
  <c r="AI290" i="16" s="1"/>
  <c r="AG290" i="16"/>
  <c r="AH289" i="16"/>
  <c r="AI289" i="16" s="1"/>
  <c r="AG289" i="16"/>
  <c r="AH288" i="16"/>
  <c r="AI288" i="16" s="1"/>
  <c r="AG288" i="16"/>
  <c r="AH287" i="16"/>
  <c r="AI287" i="16" s="1"/>
  <c r="AG287" i="16"/>
  <c r="AH286" i="16"/>
  <c r="AI286" i="16" s="1"/>
  <c r="AG286" i="16"/>
  <c r="AH285" i="16"/>
  <c r="AI285" i="16" s="1"/>
  <c r="AG285" i="16"/>
  <c r="AH284" i="16"/>
  <c r="AI284" i="16" s="1"/>
  <c r="AG284" i="16"/>
  <c r="AH283" i="16"/>
  <c r="AI283" i="16" s="1"/>
  <c r="AG283" i="16"/>
  <c r="AH282" i="16"/>
  <c r="AI282" i="16" s="1"/>
  <c r="AG282" i="16"/>
  <c r="AH281" i="16"/>
  <c r="AI281" i="16" s="1"/>
  <c r="AG281" i="16"/>
  <c r="AH280" i="16"/>
  <c r="AI280" i="16" s="1"/>
  <c r="AG280" i="16"/>
  <c r="AH279" i="16"/>
  <c r="AI279" i="16" s="1"/>
  <c r="AG279" i="16"/>
  <c r="AH278" i="16"/>
  <c r="AI278" i="16" s="1"/>
  <c r="AG278" i="16"/>
  <c r="AH277" i="16"/>
  <c r="AI277" i="16" s="1"/>
  <c r="AG277" i="16"/>
  <c r="AH276" i="16"/>
  <c r="AI276" i="16" s="1"/>
  <c r="AG276" i="16"/>
  <c r="AH275" i="16"/>
  <c r="AI275" i="16" s="1"/>
  <c r="AG275" i="16"/>
  <c r="AH274" i="16"/>
  <c r="AI274" i="16" s="1"/>
  <c r="AG274" i="16"/>
  <c r="AH273" i="16"/>
  <c r="AI273" i="16" s="1"/>
  <c r="AG273" i="16"/>
  <c r="AH272" i="16"/>
  <c r="AI272" i="16" s="1"/>
  <c r="AG272" i="16"/>
  <c r="AH271" i="16"/>
  <c r="AI271" i="16" s="1"/>
  <c r="AG271" i="16"/>
  <c r="AH270" i="16"/>
  <c r="AI270" i="16" s="1"/>
  <c r="AG270" i="16"/>
  <c r="AH269" i="16"/>
  <c r="AI269" i="16" s="1"/>
  <c r="AG269" i="16"/>
  <c r="AH268" i="16"/>
  <c r="AI268" i="16" s="1"/>
  <c r="AG268" i="16"/>
  <c r="AH267" i="16"/>
  <c r="AI267" i="16" s="1"/>
  <c r="AG267" i="16"/>
  <c r="AH266" i="16"/>
  <c r="AI266" i="16" s="1"/>
  <c r="AG266" i="16"/>
  <c r="AH265" i="16"/>
  <c r="AI265" i="16" s="1"/>
  <c r="AG265" i="16"/>
  <c r="AH264" i="16"/>
  <c r="AI264" i="16" s="1"/>
  <c r="AG264" i="16"/>
  <c r="AH263" i="16"/>
  <c r="AI263" i="16" s="1"/>
  <c r="AG263" i="16"/>
  <c r="AH262" i="16"/>
  <c r="AI262" i="16" s="1"/>
  <c r="AG262" i="16"/>
  <c r="AH261" i="16"/>
  <c r="AI261" i="16" s="1"/>
  <c r="AG261" i="16"/>
  <c r="AH260" i="16"/>
  <c r="AI260" i="16" s="1"/>
  <c r="AG260" i="16"/>
  <c r="AH259" i="16"/>
  <c r="AI259" i="16" s="1"/>
  <c r="AG259" i="16"/>
  <c r="AH258" i="16"/>
  <c r="AI258" i="16" s="1"/>
  <c r="AG258" i="16"/>
  <c r="AH257" i="16"/>
  <c r="AI257" i="16" s="1"/>
  <c r="AG257" i="16"/>
  <c r="AH256" i="16"/>
  <c r="AI256" i="16" s="1"/>
  <c r="AG256" i="16"/>
  <c r="AH255" i="16"/>
  <c r="AI255" i="16" s="1"/>
  <c r="AG255" i="16"/>
  <c r="AH254" i="16"/>
  <c r="AI254" i="16" s="1"/>
  <c r="AG254" i="16"/>
  <c r="AH253" i="16"/>
  <c r="AI253" i="16" s="1"/>
  <c r="AG253" i="16"/>
  <c r="AH252" i="16"/>
  <c r="AI252" i="16" s="1"/>
  <c r="AG252" i="16"/>
  <c r="AH251" i="16"/>
  <c r="AI251" i="16" s="1"/>
  <c r="AG251" i="16"/>
  <c r="AH250" i="16"/>
  <c r="AI250" i="16" s="1"/>
  <c r="AG250" i="16"/>
  <c r="AH249" i="16"/>
  <c r="AI249" i="16" s="1"/>
  <c r="AG249" i="16"/>
  <c r="AH248" i="16"/>
  <c r="AI248" i="16" s="1"/>
  <c r="AG248" i="16"/>
  <c r="AH247" i="16"/>
  <c r="AI247" i="16" s="1"/>
  <c r="AG247" i="16"/>
  <c r="AH246" i="16"/>
  <c r="AI246" i="16" s="1"/>
  <c r="AG246" i="16"/>
  <c r="AH245" i="16"/>
  <c r="AI245" i="16" s="1"/>
  <c r="AG245" i="16"/>
  <c r="AH244" i="16"/>
  <c r="AI244" i="16" s="1"/>
  <c r="AG244" i="16"/>
  <c r="AH243" i="16"/>
  <c r="AI243" i="16" s="1"/>
  <c r="AG243" i="16"/>
  <c r="AH242" i="16"/>
  <c r="AI242" i="16" s="1"/>
  <c r="AG242" i="16"/>
  <c r="AH241" i="16"/>
  <c r="AI241" i="16" s="1"/>
  <c r="AG241" i="16"/>
  <c r="AH240" i="16"/>
  <c r="AI240" i="16" s="1"/>
  <c r="AG240" i="16"/>
  <c r="AH239" i="16"/>
  <c r="AI239" i="16" s="1"/>
  <c r="AG239" i="16"/>
  <c r="AH238" i="16"/>
  <c r="AI238" i="16" s="1"/>
  <c r="AG238" i="16"/>
  <c r="AH237" i="16"/>
  <c r="AI237" i="16" s="1"/>
  <c r="AG237" i="16"/>
  <c r="AH236" i="16"/>
  <c r="AI236" i="16" s="1"/>
  <c r="AG236" i="16"/>
  <c r="AH235" i="16"/>
  <c r="AI235" i="16" s="1"/>
  <c r="AG235" i="16"/>
  <c r="AH234" i="16"/>
  <c r="AI234" i="16" s="1"/>
  <c r="AG234" i="16"/>
  <c r="AH233" i="16"/>
  <c r="AI233" i="16" s="1"/>
  <c r="AG233" i="16"/>
  <c r="AH232" i="16"/>
  <c r="AI232" i="16" s="1"/>
  <c r="AG232" i="16"/>
  <c r="AH231" i="16"/>
  <c r="AI231" i="16" s="1"/>
  <c r="AG231" i="16"/>
  <c r="AH230" i="16"/>
  <c r="AI230" i="16" s="1"/>
  <c r="AG230" i="16"/>
  <c r="AH229" i="16"/>
  <c r="AI229" i="16" s="1"/>
  <c r="AG229" i="16"/>
  <c r="AH228" i="16"/>
  <c r="AI228" i="16" s="1"/>
  <c r="AG228" i="16"/>
  <c r="AH227" i="16"/>
  <c r="AI227" i="16" s="1"/>
  <c r="AG227" i="16"/>
  <c r="AH226" i="16"/>
  <c r="AI226" i="16" s="1"/>
  <c r="AG226" i="16"/>
  <c r="AH225" i="16"/>
  <c r="AI225" i="16" s="1"/>
  <c r="AG225" i="16"/>
  <c r="AH224" i="16"/>
  <c r="AI224" i="16" s="1"/>
  <c r="AG224" i="16"/>
  <c r="AH223" i="16"/>
  <c r="AI223" i="16" s="1"/>
  <c r="AG223" i="16"/>
  <c r="AH222" i="16"/>
  <c r="AI222" i="16" s="1"/>
  <c r="AG222" i="16"/>
  <c r="AH221" i="16"/>
  <c r="AI221" i="16" s="1"/>
  <c r="AG221" i="16"/>
  <c r="AH220" i="16"/>
  <c r="AI220" i="16" s="1"/>
  <c r="AG220" i="16"/>
  <c r="AH219" i="16"/>
  <c r="AI219" i="16" s="1"/>
  <c r="AG219" i="16"/>
  <c r="AH218" i="16"/>
  <c r="AI218" i="16" s="1"/>
  <c r="AG218" i="16"/>
  <c r="AH217" i="16"/>
  <c r="AI217" i="16" s="1"/>
  <c r="AG217" i="16"/>
  <c r="AH216" i="16"/>
  <c r="AI216" i="16" s="1"/>
  <c r="AG216" i="16"/>
  <c r="AH215" i="16"/>
  <c r="AI215" i="16" s="1"/>
  <c r="AG215" i="16"/>
  <c r="AH214" i="16"/>
  <c r="AI214" i="16" s="1"/>
  <c r="AG214" i="16"/>
  <c r="AH213" i="16"/>
  <c r="AI213" i="16" s="1"/>
  <c r="AG213" i="16"/>
  <c r="AH212" i="16"/>
  <c r="AI212" i="16" s="1"/>
  <c r="AG212" i="16"/>
  <c r="AH211" i="16"/>
  <c r="AI211" i="16" s="1"/>
  <c r="AG211" i="16"/>
  <c r="AH210" i="16"/>
  <c r="AI210" i="16" s="1"/>
  <c r="AG210" i="16"/>
  <c r="AH209" i="16"/>
  <c r="AI209" i="16" s="1"/>
  <c r="AG209" i="16"/>
  <c r="AH208" i="16"/>
  <c r="AI208" i="16" s="1"/>
  <c r="AG208" i="16"/>
  <c r="AH207" i="16"/>
  <c r="AI207" i="16" s="1"/>
  <c r="AG207" i="16"/>
  <c r="AH206" i="16"/>
  <c r="AI206" i="16" s="1"/>
  <c r="AG206" i="16"/>
  <c r="AH205" i="16"/>
  <c r="AI205" i="16" s="1"/>
  <c r="AG205" i="16"/>
  <c r="AH204" i="16"/>
  <c r="AI204" i="16" s="1"/>
  <c r="AG204" i="16"/>
  <c r="AH203" i="16"/>
  <c r="AI203" i="16" s="1"/>
  <c r="AG203" i="16"/>
  <c r="AH202" i="16"/>
  <c r="AI202" i="16" s="1"/>
  <c r="AG202" i="16"/>
  <c r="AH201" i="16"/>
  <c r="AI201" i="16" s="1"/>
  <c r="AG201" i="16"/>
  <c r="AH200" i="16"/>
  <c r="AI200" i="16" s="1"/>
  <c r="AG200" i="16"/>
  <c r="AH199" i="16"/>
  <c r="AI199" i="16" s="1"/>
  <c r="AG199" i="16"/>
  <c r="AH198" i="16"/>
  <c r="AI198" i="16" s="1"/>
  <c r="AG198" i="16"/>
  <c r="AH197" i="16"/>
  <c r="AI197" i="16" s="1"/>
  <c r="AG197" i="16"/>
  <c r="AH196" i="16"/>
  <c r="AI196" i="16" s="1"/>
  <c r="AG196" i="16"/>
  <c r="AH195" i="16"/>
  <c r="AI195" i="16" s="1"/>
  <c r="AG195" i="16"/>
  <c r="AH194" i="16"/>
  <c r="AI194" i="16" s="1"/>
  <c r="AG194" i="16"/>
  <c r="AH193" i="16"/>
  <c r="AI193" i="16" s="1"/>
  <c r="AG193" i="16"/>
  <c r="AH192" i="16"/>
  <c r="AI192" i="16" s="1"/>
  <c r="AG192" i="16"/>
  <c r="AH191" i="16"/>
  <c r="AI191" i="16" s="1"/>
  <c r="AG191" i="16"/>
  <c r="AH190" i="16"/>
  <c r="AI190" i="16" s="1"/>
  <c r="AG190" i="16"/>
  <c r="AH189" i="16"/>
  <c r="AI189" i="16" s="1"/>
  <c r="AG189" i="16"/>
  <c r="AH188" i="16"/>
  <c r="AI188" i="16" s="1"/>
  <c r="AG188" i="16"/>
  <c r="AH187" i="16"/>
  <c r="AI187" i="16" s="1"/>
  <c r="AG187" i="16"/>
  <c r="AH186" i="16"/>
  <c r="AI186" i="16" s="1"/>
  <c r="AG186" i="16"/>
  <c r="AH185" i="16"/>
  <c r="AI185" i="16" s="1"/>
  <c r="AG185" i="16"/>
  <c r="AH184" i="16"/>
  <c r="AI184" i="16" s="1"/>
  <c r="AG184" i="16"/>
  <c r="AH183" i="16"/>
  <c r="AI183" i="16" s="1"/>
  <c r="AG183" i="16"/>
  <c r="AH182" i="16"/>
  <c r="AI182" i="16" s="1"/>
  <c r="AG182" i="16"/>
  <c r="AH181" i="16"/>
  <c r="AI181" i="16" s="1"/>
  <c r="AG181" i="16"/>
  <c r="AH180" i="16"/>
  <c r="AI180" i="16" s="1"/>
  <c r="AG180" i="16"/>
  <c r="AH179" i="16"/>
  <c r="AI179" i="16" s="1"/>
  <c r="AG179" i="16"/>
  <c r="AH178" i="16"/>
  <c r="AI178" i="16" s="1"/>
  <c r="AG178" i="16"/>
  <c r="AH177" i="16"/>
  <c r="AI177" i="16" s="1"/>
  <c r="AG177" i="16"/>
  <c r="AH176" i="16"/>
  <c r="AI176" i="16" s="1"/>
  <c r="AG176" i="16"/>
  <c r="AH175" i="16"/>
  <c r="AI175" i="16" s="1"/>
  <c r="AG175" i="16"/>
  <c r="AH174" i="16"/>
  <c r="AI174" i="16" s="1"/>
  <c r="AG174" i="16"/>
  <c r="AH173" i="16"/>
  <c r="AI173" i="16" s="1"/>
  <c r="AG173" i="16"/>
  <c r="AH172" i="16"/>
  <c r="AI172" i="16" s="1"/>
  <c r="AG172" i="16"/>
  <c r="AH171" i="16"/>
  <c r="AI171" i="16" s="1"/>
  <c r="AG171" i="16"/>
  <c r="AH170" i="16"/>
  <c r="AI170" i="16" s="1"/>
  <c r="AG170" i="16"/>
  <c r="AH169" i="16"/>
  <c r="AI169" i="16" s="1"/>
  <c r="AG169" i="16"/>
  <c r="AH168" i="16"/>
  <c r="AI168" i="16" s="1"/>
  <c r="AG168" i="16"/>
  <c r="AH167" i="16"/>
  <c r="AI167" i="16" s="1"/>
  <c r="AG167" i="16"/>
  <c r="AH166" i="16"/>
  <c r="AI166" i="16" s="1"/>
  <c r="AG166" i="16"/>
  <c r="AH165" i="16"/>
  <c r="AI165" i="16" s="1"/>
  <c r="AG165" i="16"/>
  <c r="AH164" i="16"/>
  <c r="AI164" i="16" s="1"/>
  <c r="AG164" i="16"/>
  <c r="AH163" i="16"/>
  <c r="AI163" i="16" s="1"/>
  <c r="AG163" i="16"/>
  <c r="AH162" i="16"/>
  <c r="AI162" i="16" s="1"/>
  <c r="AG162" i="16"/>
  <c r="AH161" i="16"/>
  <c r="AI161" i="16" s="1"/>
  <c r="AG161" i="16"/>
  <c r="AH160" i="16"/>
  <c r="AI160" i="16" s="1"/>
  <c r="AG160" i="16"/>
  <c r="AH159" i="16"/>
  <c r="AI159" i="16" s="1"/>
  <c r="AG159" i="16"/>
  <c r="AH158" i="16"/>
  <c r="AI158" i="16" s="1"/>
  <c r="AG158" i="16"/>
  <c r="AH157" i="16"/>
  <c r="AI157" i="16" s="1"/>
  <c r="AG157" i="16"/>
  <c r="AH156" i="16"/>
  <c r="AI156" i="16" s="1"/>
  <c r="AG156" i="16"/>
  <c r="AH155" i="16"/>
  <c r="AI155" i="16" s="1"/>
  <c r="AG155" i="16"/>
  <c r="AH154" i="16"/>
  <c r="AI154" i="16" s="1"/>
  <c r="AG154" i="16"/>
  <c r="AH153" i="16"/>
  <c r="AI153" i="16" s="1"/>
  <c r="AG153" i="16"/>
  <c r="AH152" i="16"/>
  <c r="AI152" i="16" s="1"/>
  <c r="AG152" i="16"/>
  <c r="AH151" i="16"/>
  <c r="AI151" i="16" s="1"/>
  <c r="AG151" i="16"/>
  <c r="AH150" i="16"/>
  <c r="AI150" i="16" s="1"/>
  <c r="AG150" i="16"/>
  <c r="AH149" i="16"/>
  <c r="AI149" i="16" s="1"/>
  <c r="AG149" i="16"/>
  <c r="AH148" i="16"/>
  <c r="AI148" i="16" s="1"/>
  <c r="AG148" i="16"/>
  <c r="AH147" i="16"/>
  <c r="AI147" i="16" s="1"/>
  <c r="AG147" i="16"/>
  <c r="AH146" i="16"/>
  <c r="AI146" i="16" s="1"/>
  <c r="AG146" i="16"/>
  <c r="AH145" i="16"/>
  <c r="AI145" i="16" s="1"/>
  <c r="AG145" i="16"/>
  <c r="AH144" i="16"/>
  <c r="AI144" i="16" s="1"/>
  <c r="AG144" i="16"/>
  <c r="AH143" i="16"/>
  <c r="AI143" i="16" s="1"/>
  <c r="AG143" i="16"/>
  <c r="AH142" i="16"/>
  <c r="AI142" i="16" s="1"/>
  <c r="AG142" i="16"/>
  <c r="AH141" i="16"/>
  <c r="AI141" i="16" s="1"/>
  <c r="AG141" i="16"/>
  <c r="AH140" i="16"/>
  <c r="AI140" i="16" s="1"/>
  <c r="AG140" i="16"/>
  <c r="AH139" i="16"/>
  <c r="AI139" i="16" s="1"/>
  <c r="AG139" i="16"/>
  <c r="AH138" i="16"/>
  <c r="AI138" i="16" s="1"/>
  <c r="AG138" i="16"/>
  <c r="AH137" i="16"/>
  <c r="AI137" i="16" s="1"/>
  <c r="AG137" i="16"/>
  <c r="AH136" i="16"/>
  <c r="AI136" i="16" s="1"/>
  <c r="AG136" i="16"/>
  <c r="AH135" i="16"/>
  <c r="AI135" i="16" s="1"/>
  <c r="AG135" i="16"/>
  <c r="AH134" i="16"/>
  <c r="AI134" i="16" s="1"/>
  <c r="AG134" i="16"/>
  <c r="AH133" i="16"/>
  <c r="AI133" i="16" s="1"/>
  <c r="AG133" i="16"/>
  <c r="AH132" i="16"/>
  <c r="AI132" i="16" s="1"/>
  <c r="AG132" i="16"/>
  <c r="AH131" i="16"/>
  <c r="AI131" i="16" s="1"/>
  <c r="AG131" i="16"/>
  <c r="AH130" i="16"/>
  <c r="AI130" i="16" s="1"/>
  <c r="AG130" i="16"/>
  <c r="AH129" i="16"/>
  <c r="AI129" i="16" s="1"/>
  <c r="AG129" i="16"/>
  <c r="AH128" i="16"/>
  <c r="AI128" i="16" s="1"/>
  <c r="AG128" i="16"/>
  <c r="AH127" i="16"/>
  <c r="AI127" i="16" s="1"/>
  <c r="AG127" i="16"/>
  <c r="AH126" i="16"/>
  <c r="AI126" i="16" s="1"/>
  <c r="AG126" i="16"/>
  <c r="AH125" i="16"/>
  <c r="AI125" i="16" s="1"/>
  <c r="AG125" i="16"/>
  <c r="AH124" i="16"/>
  <c r="AI124" i="16" s="1"/>
  <c r="AG124" i="16"/>
  <c r="AH123" i="16"/>
  <c r="AI123" i="16" s="1"/>
  <c r="AG123" i="16"/>
  <c r="AH122" i="16"/>
  <c r="AI122" i="16" s="1"/>
  <c r="AG122" i="16"/>
  <c r="AH121" i="16"/>
  <c r="AI121" i="16" s="1"/>
  <c r="AG121" i="16"/>
  <c r="AH120" i="16"/>
  <c r="AI120" i="16" s="1"/>
  <c r="AG120" i="16"/>
  <c r="AH119" i="16"/>
  <c r="AI119" i="16" s="1"/>
  <c r="AG119" i="16"/>
  <c r="AH118" i="16"/>
  <c r="AI118" i="16" s="1"/>
  <c r="AG118" i="16"/>
  <c r="AH117" i="16"/>
  <c r="AI117" i="16" s="1"/>
  <c r="AG117" i="16"/>
  <c r="AH116" i="16"/>
  <c r="AI116" i="16" s="1"/>
  <c r="AG116" i="16"/>
  <c r="AH115" i="16"/>
  <c r="AI115" i="16" s="1"/>
  <c r="AG115" i="16"/>
  <c r="AH114" i="16"/>
  <c r="AI114" i="16" s="1"/>
  <c r="AG114" i="16"/>
  <c r="AH113" i="16"/>
  <c r="AI113" i="16" s="1"/>
  <c r="AG113" i="16"/>
  <c r="AH112" i="16"/>
  <c r="AI112" i="16" s="1"/>
  <c r="AG112" i="16"/>
  <c r="AH111" i="16"/>
  <c r="AI111" i="16" s="1"/>
  <c r="AG111" i="16"/>
  <c r="AH110" i="16"/>
  <c r="AI110" i="16" s="1"/>
  <c r="AG110" i="16"/>
  <c r="AH109" i="16"/>
  <c r="AI109" i="16" s="1"/>
  <c r="AG109" i="16"/>
  <c r="AH108" i="16"/>
  <c r="AI108" i="16" s="1"/>
  <c r="AG108" i="16"/>
  <c r="AH107" i="16"/>
  <c r="AI107" i="16" s="1"/>
  <c r="AG107" i="16"/>
  <c r="AH106" i="16"/>
  <c r="AI106" i="16" s="1"/>
  <c r="AG106" i="16"/>
  <c r="AH105" i="16"/>
  <c r="AI105" i="16" s="1"/>
  <c r="AG105" i="16"/>
  <c r="AH104" i="16"/>
  <c r="AI104" i="16" s="1"/>
  <c r="AG104" i="16"/>
  <c r="AH103" i="16"/>
  <c r="AI103" i="16" s="1"/>
  <c r="AG103" i="16"/>
  <c r="AH102" i="16"/>
  <c r="AI102" i="16" s="1"/>
  <c r="AG102" i="16"/>
  <c r="AH101" i="16"/>
  <c r="AI101" i="16" s="1"/>
  <c r="AG101" i="16"/>
  <c r="AH100" i="16"/>
  <c r="AI100" i="16" s="1"/>
  <c r="AG100" i="16"/>
  <c r="AH99" i="16"/>
  <c r="AI99" i="16" s="1"/>
  <c r="AG99" i="16"/>
  <c r="AH98" i="16"/>
  <c r="AI98" i="16" s="1"/>
  <c r="AG98" i="16"/>
  <c r="AH97" i="16"/>
  <c r="AI97" i="16" s="1"/>
  <c r="AG97" i="16"/>
  <c r="AH96" i="16"/>
  <c r="AI96" i="16" s="1"/>
  <c r="AG96" i="16"/>
  <c r="AH95" i="16"/>
  <c r="AI95" i="16" s="1"/>
  <c r="AG95" i="16"/>
  <c r="AH94" i="16"/>
  <c r="AI94" i="16" s="1"/>
  <c r="AG94" i="16"/>
  <c r="AH93" i="16"/>
  <c r="AI93" i="16" s="1"/>
  <c r="AG93" i="16"/>
  <c r="AH92" i="16"/>
  <c r="AI92" i="16" s="1"/>
  <c r="AG92" i="16"/>
  <c r="AH91" i="16"/>
  <c r="AI91" i="16" s="1"/>
  <c r="AG91" i="16"/>
  <c r="AH90" i="16"/>
  <c r="AI90" i="16" s="1"/>
  <c r="AG90" i="16"/>
  <c r="AH89" i="16"/>
  <c r="AI89" i="16" s="1"/>
  <c r="AG89" i="16"/>
  <c r="AH88" i="16"/>
  <c r="AI88" i="16" s="1"/>
  <c r="AG88" i="16"/>
  <c r="AH87" i="16"/>
  <c r="AI87" i="16" s="1"/>
  <c r="AG87" i="16"/>
  <c r="AH86" i="16"/>
  <c r="AI86" i="16" s="1"/>
  <c r="AG86" i="16"/>
  <c r="AH85" i="16"/>
  <c r="AI85" i="16" s="1"/>
  <c r="AG85" i="16"/>
  <c r="AH84" i="16"/>
  <c r="AI84" i="16" s="1"/>
  <c r="AG84" i="16"/>
  <c r="AH83" i="16"/>
  <c r="AI83" i="16" s="1"/>
  <c r="AG83" i="16"/>
  <c r="AH82" i="16"/>
  <c r="AI82" i="16" s="1"/>
  <c r="AG82" i="16"/>
  <c r="AH81" i="16"/>
  <c r="AI81" i="16" s="1"/>
  <c r="AG81" i="16"/>
  <c r="AH80" i="16"/>
  <c r="AI80" i="16" s="1"/>
  <c r="AG80" i="16"/>
  <c r="AH79" i="16"/>
  <c r="AI79" i="16" s="1"/>
  <c r="AG79" i="16"/>
  <c r="AH78" i="16"/>
  <c r="AI78" i="16" s="1"/>
  <c r="AG78" i="16"/>
  <c r="AH77" i="16"/>
  <c r="AI77" i="16" s="1"/>
  <c r="AG77" i="16"/>
  <c r="AH76" i="16"/>
  <c r="AI76" i="16" s="1"/>
  <c r="AG76" i="16"/>
  <c r="AH75" i="16"/>
  <c r="AI75" i="16" s="1"/>
  <c r="AG75" i="16"/>
  <c r="AH74" i="16"/>
  <c r="AI74" i="16" s="1"/>
  <c r="AG74" i="16"/>
  <c r="AH73" i="16"/>
  <c r="AI73" i="16" s="1"/>
  <c r="AG73" i="16"/>
  <c r="AH72" i="16"/>
  <c r="AI72" i="16" s="1"/>
  <c r="AG72" i="16"/>
  <c r="AH71" i="16"/>
  <c r="AI71" i="16" s="1"/>
  <c r="AG71" i="16"/>
  <c r="AH70" i="16"/>
  <c r="AI70" i="16" s="1"/>
  <c r="AG70" i="16"/>
  <c r="AH69" i="16"/>
  <c r="AI69" i="16" s="1"/>
  <c r="AG69" i="16"/>
  <c r="AH68" i="16"/>
  <c r="AI68" i="16" s="1"/>
  <c r="AG68" i="16"/>
  <c r="AH67" i="16"/>
  <c r="AI67" i="16" s="1"/>
  <c r="AG67" i="16"/>
  <c r="AH66" i="16"/>
  <c r="AI66" i="16" s="1"/>
  <c r="AG66" i="16"/>
  <c r="AH65" i="16"/>
  <c r="AI65" i="16" s="1"/>
  <c r="AG65" i="16"/>
  <c r="AH64" i="16"/>
  <c r="AI64" i="16" s="1"/>
  <c r="AG64" i="16"/>
  <c r="AH63" i="16"/>
  <c r="AI63" i="16" s="1"/>
  <c r="AG63" i="16"/>
  <c r="AH62" i="16"/>
  <c r="AI62" i="16" s="1"/>
  <c r="AG62" i="16"/>
  <c r="AH61" i="16"/>
  <c r="AI61" i="16" s="1"/>
  <c r="AG61" i="16"/>
  <c r="AH60" i="16"/>
  <c r="AI60" i="16" s="1"/>
  <c r="AG60" i="16"/>
  <c r="AH59" i="16"/>
  <c r="AI59" i="16" s="1"/>
  <c r="AG59" i="16"/>
  <c r="AH58" i="16"/>
  <c r="AI58" i="16" s="1"/>
  <c r="AG58" i="16"/>
  <c r="AH57" i="16"/>
  <c r="AI57" i="16" s="1"/>
  <c r="AG57" i="16"/>
  <c r="AH56" i="16"/>
  <c r="AI56" i="16" s="1"/>
  <c r="AG56" i="16"/>
  <c r="AH55" i="16"/>
  <c r="AI55" i="16" s="1"/>
  <c r="AG55" i="16"/>
  <c r="AH54" i="16"/>
  <c r="AI54" i="16" s="1"/>
  <c r="AG54" i="16"/>
  <c r="AH53" i="16"/>
  <c r="AI53" i="16" s="1"/>
  <c r="AG53" i="16"/>
  <c r="AH52" i="16"/>
  <c r="AI52" i="16" s="1"/>
  <c r="AG52" i="16"/>
  <c r="AH51" i="16"/>
  <c r="AI51" i="16" s="1"/>
  <c r="AG51" i="16"/>
  <c r="AH50" i="16"/>
  <c r="AI50" i="16" s="1"/>
  <c r="AG50" i="16"/>
  <c r="AH49" i="16"/>
  <c r="AI49" i="16" s="1"/>
  <c r="AG49" i="16"/>
  <c r="AH48" i="16"/>
  <c r="AI48" i="16" s="1"/>
  <c r="AG48" i="16"/>
  <c r="AH47" i="16"/>
  <c r="AI47" i="16" s="1"/>
  <c r="AG47" i="16"/>
  <c r="AH46" i="16"/>
  <c r="AI46" i="16" s="1"/>
  <c r="AG46" i="16"/>
  <c r="AH45" i="16"/>
  <c r="AI45" i="16" s="1"/>
  <c r="AG45" i="16"/>
  <c r="AH44" i="16"/>
  <c r="AI44" i="16" s="1"/>
  <c r="AG44" i="16"/>
  <c r="AH43" i="16"/>
  <c r="AI43" i="16" s="1"/>
  <c r="AG43" i="16"/>
  <c r="AH42" i="16"/>
  <c r="AI42" i="16" s="1"/>
  <c r="AG42" i="16"/>
  <c r="J42" i="16"/>
  <c r="AH41" i="16"/>
  <c r="AI41" i="16" s="1"/>
  <c r="AG41" i="16"/>
  <c r="AH40" i="16"/>
  <c r="AI40" i="16" s="1"/>
  <c r="AG40" i="16"/>
  <c r="AH39" i="16"/>
  <c r="AI39" i="16" s="1"/>
  <c r="AG39" i="16"/>
  <c r="AH38" i="16"/>
  <c r="AI38" i="16" s="1"/>
  <c r="AG38" i="16"/>
  <c r="AH37" i="16"/>
  <c r="AI37" i="16" s="1"/>
  <c r="AG37" i="16"/>
  <c r="AH36" i="16"/>
  <c r="AI36" i="16" s="1"/>
  <c r="AG36" i="16"/>
  <c r="AH35" i="16"/>
  <c r="AI35" i="16" s="1"/>
  <c r="AG35" i="16"/>
  <c r="AH34" i="16"/>
  <c r="AI34" i="16" s="1"/>
  <c r="AG34" i="16"/>
  <c r="AH33" i="16"/>
  <c r="AI33" i="16" s="1"/>
  <c r="AG33" i="16"/>
  <c r="AH32" i="16"/>
  <c r="AI32" i="16" s="1"/>
  <c r="AG32" i="16"/>
  <c r="AH31" i="16"/>
  <c r="AI31" i="16" s="1"/>
  <c r="AG31" i="16"/>
  <c r="AH30" i="16"/>
  <c r="AI30" i="16" s="1"/>
  <c r="AG30" i="16"/>
  <c r="AH29" i="16"/>
  <c r="AI29" i="16" s="1"/>
  <c r="AG29" i="16"/>
  <c r="AH28" i="16"/>
  <c r="AI28" i="16" s="1"/>
  <c r="AG28" i="16"/>
  <c r="AH27" i="16"/>
  <c r="AI27" i="16" s="1"/>
  <c r="AG27" i="16"/>
  <c r="AH26" i="16"/>
  <c r="AI26" i="16" s="1"/>
  <c r="AG26" i="16"/>
  <c r="AH25" i="16"/>
  <c r="AI25" i="16" s="1"/>
  <c r="AG25" i="16"/>
  <c r="AH24" i="16"/>
  <c r="AI24" i="16" s="1"/>
  <c r="AG24" i="16"/>
  <c r="AH23" i="16"/>
  <c r="AI23" i="16" s="1"/>
  <c r="AG23" i="16"/>
  <c r="AH22" i="16"/>
  <c r="AI22" i="16" s="1"/>
  <c r="AG22" i="16"/>
  <c r="AH21" i="16"/>
  <c r="AI21" i="16" s="1"/>
  <c r="AG21" i="16"/>
  <c r="AH20" i="16"/>
  <c r="AI20" i="16" s="1"/>
  <c r="AG20" i="16"/>
  <c r="AH19" i="16"/>
  <c r="AI19" i="16" s="1"/>
  <c r="AG19" i="16"/>
  <c r="AH18" i="16"/>
  <c r="AI18" i="16" s="1"/>
  <c r="AG18" i="16"/>
  <c r="AH17" i="16"/>
  <c r="AI17" i="16" s="1"/>
  <c r="AG17" i="16"/>
  <c r="AH16" i="16"/>
  <c r="AI16" i="16" s="1"/>
  <c r="AG16" i="16"/>
  <c r="AH15" i="16"/>
  <c r="AI15" i="16" s="1"/>
  <c r="AG15" i="16"/>
  <c r="AH14" i="16"/>
  <c r="AI14" i="16" s="1"/>
  <c r="AG14" i="16"/>
  <c r="AH13" i="16"/>
  <c r="AI13" i="16" s="1"/>
  <c r="AG13" i="16"/>
  <c r="AH12" i="16"/>
  <c r="AI12" i="16" s="1"/>
  <c r="AG12" i="16"/>
  <c r="AH11" i="16"/>
  <c r="AI11" i="16" s="1"/>
  <c r="AG11" i="16"/>
  <c r="AH10" i="16"/>
  <c r="AI10" i="16" s="1"/>
  <c r="AG10" i="16"/>
  <c r="AH9" i="16"/>
  <c r="AI9" i="16" s="1"/>
  <c r="AG9" i="16"/>
  <c r="AH8" i="16"/>
  <c r="AI8" i="16" s="1"/>
  <c r="AG8" i="16"/>
  <c r="AH7" i="16"/>
  <c r="AI7" i="16" s="1"/>
  <c r="AG7" i="16"/>
  <c r="AH6" i="16"/>
  <c r="AI6" i="16" s="1"/>
  <c r="AG6" i="16"/>
  <c r="AH5" i="16"/>
  <c r="AI5" i="16" s="1"/>
  <c r="AG5" i="16"/>
  <c r="AQ348" i="13"/>
  <c r="AR348" i="13" s="1"/>
  <c r="AP348" i="13"/>
  <c r="AQ347" i="13"/>
  <c r="AR347" i="13" s="1"/>
  <c r="AP347" i="13"/>
  <c r="N347" i="13"/>
  <c r="AQ346" i="13"/>
  <c r="AR346" i="13" s="1"/>
  <c r="AP346" i="13"/>
  <c r="AQ345" i="13"/>
  <c r="AR345" i="13" s="1"/>
  <c r="AP345" i="13"/>
  <c r="AQ344" i="13"/>
  <c r="AR344" i="13" s="1"/>
  <c r="AP344" i="13"/>
  <c r="AQ343" i="13"/>
  <c r="AR343" i="13" s="1"/>
  <c r="AP343" i="13"/>
  <c r="AQ342" i="13"/>
  <c r="AR342" i="13" s="1"/>
  <c r="AP342" i="13"/>
  <c r="AQ341" i="13"/>
  <c r="AR341" i="13" s="1"/>
  <c r="AP341" i="13"/>
  <c r="AQ340" i="13"/>
  <c r="AR340" i="13" s="1"/>
  <c r="AP340" i="13"/>
  <c r="AQ339" i="13"/>
  <c r="AR339" i="13" s="1"/>
  <c r="AP339" i="13"/>
  <c r="AQ338" i="13"/>
  <c r="AR338" i="13" s="1"/>
  <c r="AP338" i="13"/>
  <c r="AQ337" i="13"/>
  <c r="AR337" i="13" s="1"/>
  <c r="AP337" i="13"/>
  <c r="AQ336" i="13"/>
  <c r="AR336" i="13" s="1"/>
  <c r="AP336" i="13"/>
  <c r="AQ335" i="13"/>
  <c r="AR335" i="13" s="1"/>
  <c r="AP335" i="13"/>
  <c r="AQ334" i="13"/>
  <c r="AR334" i="13" s="1"/>
  <c r="AP334" i="13"/>
  <c r="AQ333" i="13"/>
  <c r="AR333" i="13" s="1"/>
  <c r="AP333" i="13"/>
  <c r="AQ332" i="13"/>
  <c r="AR332" i="13" s="1"/>
  <c r="AP332" i="13"/>
  <c r="AQ331" i="13"/>
  <c r="AR331" i="13" s="1"/>
  <c r="AP331" i="13"/>
  <c r="AQ330" i="13"/>
  <c r="AR330" i="13" s="1"/>
  <c r="AP330" i="13"/>
  <c r="AQ329" i="13"/>
  <c r="AR329" i="13" s="1"/>
  <c r="AP329" i="13"/>
  <c r="AQ328" i="13"/>
  <c r="AR328" i="13" s="1"/>
  <c r="AP328" i="13"/>
  <c r="AQ327" i="13"/>
  <c r="AR327" i="13" s="1"/>
  <c r="AP327" i="13"/>
  <c r="AQ326" i="13"/>
  <c r="AR326" i="13" s="1"/>
  <c r="AP326" i="13"/>
  <c r="AQ325" i="13"/>
  <c r="AR325" i="13" s="1"/>
  <c r="AP325" i="13"/>
  <c r="AQ324" i="13"/>
  <c r="AR324" i="13" s="1"/>
  <c r="AP324" i="13"/>
  <c r="N324" i="13"/>
  <c r="AQ323" i="13"/>
  <c r="AR323" i="13" s="1"/>
  <c r="AP323" i="13"/>
  <c r="N323" i="13"/>
  <c r="AQ322" i="13"/>
  <c r="AR322" i="13" s="1"/>
  <c r="AP322" i="13"/>
  <c r="AQ321" i="13"/>
  <c r="AR321" i="13" s="1"/>
  <c r="AP321" i="13"/>
  <c r="AQ320" i="13"/>
  <c r="AR320" i="13" s="1"/>
  <c r="AP320" i="13"/>
  <c r="AQ319" i="13"/>
  <c r="AR319" i="13" s="1"/>
  <c r="AP319" i="13"/>
  <c r="AQ318" i="13"/>
  <c r="AR318" i="13" s="1"/>
  <c r="AP318" i="13"/>
  <c r="AQ317" i="13"/>
  <c r="AR317" i="13" s="1"/>
  <c r="AP317" i="13"/>
  <c r="AQ316" i="13"/>
  <c r="AR316" i="13" s="1"/>
  <c r="AP316" i="13"/>
  <c r="AQ315" i="13"/>
  <c r="AR315" i="13" s="1"/>
  <c r="AP315" i="13"/>
  <c r="AQ314" i="13"/>
  <c r="AR314" i="13" s="1"/>
  <c r="AP314" i="13"/>
  <c r="AQ313" i="13"/>
  <c r="AR313" i="13" s="1"/>
  <c r="AP313" i="13"/>
  <c r="AQ312" i="13"/>
  <c r="AR312" i="13" s="1"/>
  <c r="AP312" i="13"/>
  <c r="AQ311" i="13"/>
  <c r="AR311" i="13" s="1"/>
  <c r="AP311" i="13"/>
  <c r="AQ310" i="13"/>
  <c r="AR310" i="13" s="1"/>
  <c r="AP310" i="13"/>
  <c r="N310" i="13"/>
  <c r="AQ309" i="13"/>
  <c r="AR309" i="13" s="1"/>
  <c r="AP309" i="13"/>
  <c r="AQ308" i="13"/>
  <c r="AR308" i="13" s="1"/>
  <c r="AP308" i="13"/>
  <c r="AQ307" i="13"/>
  <c r="AR307" i="13" s="1"/>
  <c r="AP307" i="13"/>
  <c r="AQ306" i="13"/>
  <c r="AR306" i="13" s="1"/>
  <c r="AP306" i="13"/>
  <c r="AQ305" i="13"/>
  <c r="AR305" i="13" s="1"/>
  <c r="AP305" i="13"/>
  <c r="AQ304" i="13"/>
  <c r="AR304" i="13" s="1"/>
  <c r="AP304" i="13"/>
  <c r="AQ303" i="13"/>
  <c r="AR303" i="13" s="1"/>
  <c r="AP303" i="13"/>
  <c r="AQ302" i="13"/>
  <c r="AR302" i="13" s="1"/>
  <c r="AP302" i="13"/>
  <c r="AQ301" i="13"/>
  <c r="AR301" i="13" s="1"/>
  <c r="AP301" i="13"/>
  <c r="AQ300" i="13"/>
  <c r="AR300" i="13" s="1"/>
  <c r="AP300" i="13"/>
  <c r="AQ299" i="13"/>
  <c r="AR299" i="13" s="1"/>
  <c r="AP299" i="13"/>
  <c r="AQ298" i="13"/>
  <c r="AR298" i="13" s="1"/>
  <c r="AP298" i="13"/>
  <c r="AQ297" i="13"/>
  <c r="AR297" i="13" s="1"/>
  <c r="AP297" i="13"/>
  <c r="AQ296" i="13"/>
  <c r="AR296" i="13" s="1"/>
  <c r="AP296" i="13"/>
  <c r="AQ295" i="13"/>
  <c r="AR295" i="13" s="1"/>
  <c r="AP295" i="13"/>
  <c r="AQ294" i="13"/>
  <c r="AR294" i="13" s="1"/>
  <c r="AP294" i="13"/>
  <c r="AQ293" i="13"/>
  <c r="AR293" i="13" s="1"/>
  <c r="AP293" i="13"/>
  <c r="AQ292" i="13"/>
  <c r="AR292" i="13" s="1"/>
  <c r="AP292" i="13"/>
  <c r="AQ291" i="13"/>
  <c r="AR291" i="13" s="1"/>
  <c r="AP291" i="13"/>
  <c r="AQ290" i="13"/>
  <c r="AR290" i="13" s="1"/>
  <c r="AP290" i="13"/>
  <c r="AQ289" i="13"/>
  <c r="AR289" i="13" s="1"/>
  <c r="AP289" i="13"/>
  <c r="AQ288" i="13"/>
  <c r="AR288" i="13" s="1"/>
  <c r="AP288" i="13"/>
  <c r="AQ287" i="13"/>
  <c r="AR287" i="13" s="1"/>
  <c r="AP287" i="13"/>
  <c r="AQ286" i="13"/>
  <c r="AR286" i="13" s="1"/>
  <c r="AP286" i="13"/>
  <c r="AQ285" i="13"/>
  <c r="AR285" i="13" s="1"/>
  <c r="AP285" i="13"/>
  <c r="AQ284" i="13"/>
  <c r="AR284" i="13" s="1"/>
  <c r="AP284" i="13"/>
  <c r="AQ283" i="13"/>
  <c r="AR283" i="13" s="1"/>
  <c r="AP283" i="13"/>
  <c r="AQ282" i="13"/>
  <c r="AR282" i="13" s="1"/>
  <c r="AP282" i="13"/>
  <c r="AQ281" i="13"/>
  <c r="AR281" i="13" s="1"/>
  <c r="AP281" i="13"/>
  <c r="AQ280" i="13"/>
  <c r="AR280" i="13" s="1"/>
  <c r="AP280" i="13"/>
  <c r="AQ279" i="13"/>
  <c r="AR279" i="13" s="1"/>
  <c r="AP279" i="13"/>
  <c r="AQ278" i="13"/>
  <c r="AR278" i="13" s="1"/>
  <c r="AP278" i="13"/>
  <c r="AQ277" i="13"/>
  <c r="AR277" i="13" s="1"/>
  <c r="AP277" i="13"/>
  <c r="AQ276" i="13"/>
  <c r="AR276" i="13" s="1"/>
  <c r="AP276" i="13"/>
  <c r="AQ275" i="13"/>
  <c r="AR275" i="13" s="1"/>
  <c r="AP275" i="13"/>
  <c r="AQ274" i="13"/>
  <c r="AR274" i="13" s="1"/>
  <c r="AP274" i="13"/>
  <c r="AQ273" i="13"/>
  <c r="AR273" i="13" s="1"/>
  <c r="AP273" i="13"/>
  <c r="AQ272" i="13"/>
  <c r="AR272" i="13" s="1"/>
  <c r="AP272" i="13"/>
  <c r="AQ271" i="13"/>
  <c r="AR271" i="13" s="1"/>
  <c r="AP271" i="13"/>
  <c r="AQ270" i="13"/>
  <c r="AR270" i="13" s="1"/>
  <c r="AP270" i="13"/>
  <c r="AQ269" i="13"/>
  <c r="AR269" i="13" s="1"/>
  <c r="AP269" i="13"/>
  <c r="AQ268" i="13"/>
  <c r="AR268" i="13" s="1"/>
  <c r="AP268" i="13"/>
  <c r="AQ267" i="13"/>
  <c r="AR267" i="13" s="1"/>
  <c r="AP267" i="13"/>
  <c r="AQ266" i="13"/>
  <c r="AR266" i="13" s="1"/>
  <c r="AP266" i="13"/>
  <c r="AQ265" i="13"/>
  <c r="AR265" i="13" s="1"/>
  <c r="AP265" i="13"/>
  <c r="AQ264" i="13"/>
  <c r="AR264" i="13" s="1"/>
  <c r="AP264" i="13"/>
  <c r="AQ263" i="13"/>
  <c r="AR263" i="13" s="1"/>
  <c r="AP263" i="13"/>
  <c r="AQ262" i="13"/>
  <c r="AR262" i="13" s="1"/>
  <c r="AP262" i="13"/>
  <c r="AQ261" i="13"/>
  <c r="AR261" i="13" s="1"/>
  <c r="AP261" i="13"/>
  <c r="AQ260" i="13"/>
  <c r="AR260" i="13" s="1"/>
  <c r="AP260" i="13"/>
  <c r="AQ259" i="13"/>
  <c r="AR259" i="13" s="1"/>
  <c r="AP259" i="13"/>
  <c r="AQ258" i="13"/>
  <c r="AR258" i="13" s="1"/>
  <c r="AP258" i="13"/>
  <c r="AQ257" i="13"/>
  <c r="AR257" i="13" s="1"/>
  <c r="AP257" i="13"/>
  <c r="AQ256" i="13"/>
  <c r="AR256" i="13" s="1"/>
  <c r="AP256" i="13"/>
  <c r="AQ255" i="13"/>
  <c r="AR255" i="13" s="1"/>
  <c r="AP255" i="13"/>
  <c r="AQ254" i="13"/>
  <c r="AR254" i="13" s="1"/>
  <c r="AP254" i="13"/>
  <c r="AQ253" i="13"/>
  <c r="AR253" i="13" s="1"/>
  <c r="AP253" i="13"/>
  <c r="AQ252" i="13"/>
  <c r="AR252" i="13" s="1"/>
  <c r="AP252" i="13"/>
  <c r="AQ251" i="13"/>
  <c r="AR251" i="13" s="1"/>
  <c r="AP251" i="13"/>
  <c r="AQ250" i="13"/>
  <c r="AR250" i="13" s="1"/>
  <c r="AP250" i="13"/>
  <c r="AQ249" i="13"/>
  <c r="AR249" i="13" s="1"/>
  <c r="AP249" i="13"/>
  <c r="AQ248" i="13"/>
  <c r="AR248" i="13" s="1"/>
  <c r="AP248" i="13"/>
  <c r="AQ247" i="13"/>
  <c r="AR247" i="13" s="1"/>
  <c r="AP247" i="13"/>
  <c r="AQ246" i="13"/>
  <c r="AR246" i="13" s="1"/>
  <c r="AP246" i="13"/>
  <c r="AQ245" i="13"/>
  <c r="AR245" i="13" s="1"/>
  <c r="AP245" i="13"/>
  <c r="AQ244" i="13"/>
  <c r="AR244" i="13" s="1"/>
  <c r="AP244" i="13"/>
  <c r="AQ243" i="13"/>
  <c r="AR243" i="13" s="1"/>
  <c r="AP243" i="13"/>
  <c r="AQ242" i="13"/>
  <c r="AR242" i="13" s="1"/>
  <c r="AP242" i="13"/>
  <c r="AQ241" i="13"/>
  <c r="AR241" i="13" s="1"/>
  <c r="AP241" i="13"/>
  <c r="N241" i="13"/>
  <c r="AQ240" i="13"/>
  <c r="AR240" i="13" s="1"/>
  <c r="AP240" i="13"/>
  <c r="AQ239" i="13"/>
  <c r="AR239" i="13" s="1"/>
  <c r="AP239" i="13"/>
  <c r="AQ238" i="13"/>
  <c r="AR238" i="13" s="1"/>
  <c r="AP238" i="13"/>
  <c r="AQ237" i="13"/>
  <c r="AR237" i="13" s="1"/>
  <c r="AP237" i="13"/>
  <c r="AQ236" i="13"/>
  <c r="AR236" i="13" s="1"/>
  <c r="AP236" i="13"/>
  <c r="AQ235" i="13"/>
  <c r="AR235" i="13" s="1"/>
  <c r="AP235" i="13"/>
  <c r="AQ234" i="13"/>
  <c r="AR234" i="13" s="1"/>
  <c r="AP234" i="13"/>
  <c r="AQ233" i="13"/>
  <c r="AR233" i="13" s="1"/>
  <c r="AP233" i="13"/>
  <c r="AQ232" i="13"/>
  <c r="AR232" i="13" s="1"/>
  <c r="AP232" i="13"/>
  <c r="AQ231" i="13"/>
  <c r="AR231" i="13" s="1"/>
  <c r="AP231" i="13"/>
  <c r="AQ230" i="13"/>
  <c r="AR230" i="13" s="1"/>
  <c r="AP230" i="13"/>
  <c r="AQ229" i="13"/>
  <c r="AR229" i="13" s="1"/>
  <c r="AP229" i="13"/>
  <c r="AQ228" i="13"/>
  <c r="AR228" i="13" s="1"/>
  <c r="AP228" i="13"/>
  <c r="AQ227" i="13"/>
  <c r="AR227" i="13" s="1"/>
  <c r="AP227" i="13"/>
  <c r="AQ226" i="13"/>
  <c r="AR226" i="13" s="1"/>
  <c r="AP226" i="13"/>
  <c r="AQ225" i="13"/>
  <c r="AR225" i="13" s="1"/>
  <c r="AP225" i="13"/>
  <c r="AQ224" i="13"/>
  <c r="AR224" i="13" s="1"/>
  <c r="AP224" i="13"/>
  <c r="AQ223" i="13"/>
  <c r="AR223" i="13" s="1"/>
  <c r="AP223" i="13"/>
  <c r="AQ222" i="13"/>
  <c r="AR222" i="13" s="1"/>
  <c r="AP222" i="13"/>
  <c r="AQ221" i="13"/>
  <c r="AR221" i="13" s="1"/>
  <c r="AP221" i="13"/>
  <c r="AQ220" i="13"/>
  <c r="AR220" i="13" s="1"/>
  <c r="AP220" i="13"/>
  <c r="AQ219" i="13"/>
  <c r="AR219" i="13" s="1"/>
  <c r="AP219" i="13"/>
  <c r="AQ218" i="13"/>
  <c r="AR218" i="13" s="1"/>
  <c r="AP218" i="13"/>
  <c r="AQ217" i="13"/>
  <c r="AR217" i="13" s="1"/>
  <c r="AP217" i="13"/>
  <c r="AQ216" i="13"/>
  <c r="AR216" i="13" s="1"/>
  <c r="AP216" i="13"/>
  <c r="AQ215" i="13"/>
  <c r="AR215" i="13" s="1"/>
  <c r="AP215" i="13"/>
  <c r="AQ214" i="13"/>
  <c r="AR214" i="13" s="1"/>
  <c r="AP214" i="13"/>
  <c r="AQ213" i="13"/>
  <c r="AR213" i="13" s="1"/>
  <c r="AP213" i="13"/>
  <c r="AQ212" i="13"/>
  <c r="AR212" i="13" s="1"/>
  <c r="AP212" i="13"/>
  <c r="AQ211" i="13"/>
  <c r="AR211" i="13" s="1"/>
  <c r="AP211" i="13"/>
  <c r="AQ210" i="13"/>
  <c r="AR210" i="13" s="1"/>
  <c r="AP210" i="13"/>
  <c r="AQ209" i="13"/>
  <c r="AR209" i="13" s="1"/>
  <c r="AP209" i="13"/>
  <c r="AQ208" i="13"/>
  <c r="AR208" i="13" s="1"/>
  <c r="AP208" i="13"/>
  <c r="AQ207" i="13"/>
  <c r="AR207" i="13" s="1"/>
  <c r="AP207" i="13"/>
  <c r="AQ206" i="13"/>
  <c r="AR206" i="13" s="1"/>
  <c r="AP206" i="13"/>
  <c r="AQ205" i="13"/>
  <c r="AR205" i="13" s="1"/>
  <c r="AP205" i="13"/>
  <c r="AQ204" i="13"/>
  <c r="AR204" i="13" s="1"/>
  <c r="AP204" i="13"/>
  <c r="AQ203" i="13"/>
  <c r="AR203" i="13" s="1"/>
  <c r="AP203" i="13"/>
  <c r="AQ202" i="13"/>
  <c r="AR202" i="13" s="1"/>
  <c r="AP202" i="13"/>
  <c r="AQ201" i="13"/>
  <c r="AR201" i="13" s="1"/>
  <c r="AP201" i="13"/>
  <c r="AQ200" i="13"/>
  <c r="AR200" i="13" s="1"/>
  <c r="AP200" i="13"/>
  <c r="AQ199" i="13"/>
  <c r="AR199" i="13" s="1"/>
  <c r="AP199" i="13"/>
  <c r="AQ198" i="13"/>
  <c r="AR198" i="13" s="1"/>
  <c r="AP198" i="13"/>
  <c r="AQ197" i="13"/>
  <c r="AR197" i="13" s="1"/>
  <c r="AP197" i="13"/>
  <c r="AQ196" i="13"/>
  <c r="AR196" i="13" s="1"/>
  <c r="AP196" i="13"/>
  <c r="AQ195" i="13"/>
  <c r="AR195" i="13" s="1"/>
  <c r="AP195" i="13"/>
  <c r="AQ194" i="13"/>
  <c r="AR194" i="13" s="1"/>
  <c r="AP194" i="13"/>
  <c r="AQ193" i="13"/>
  <c r="AR193" i="13" s="1"/>
  <c r="AP193" i="13"/>
  <c r="AQ192" i="13"/>
  <c r="AR192" i="13" s="1"/>
  <c r="AP192" i="13"/>
  <c r="AQ191" i="13"/>
  <c r="AR191" i="13" s="1"/>
  <c r="AP191" i="13"/>
  <c r="AQ190" i="13"/>
  <c r="AR190" i="13" s="1"/>
  <c r="AP190" i="13"/>
  <c r="AQ189" i="13"/>
  <c r="AR189" i="13" s="1"/>
  <c r="AP189" i="13"/>
  <c r="AQ188" i="13"/>
  <c r="AR188" i="13" s="1"/>
  <c r="AP188" i="13"/>
  <c r="AQ187" i="13"/>
  <c r="AR187" i="13" s="1"/>
  <c r="AP187" i="13"/>
  <c r="AQ186" i="13"/>
  <c r="AR186" i="13" s="1"/>
  <c r="AP186" i="13"/>
  <c r="AQ185" i="13"/>
  <c r="AR185" i="13" s="1"/>
  <c r="AP185" i="13"/>
  <c r="AQ184" i="13"/>
  <c r="AR184" i="13" s="1"/>
  <c r="AP184" i="13"/>
  <c r="AQ183" i="13"/>
  <c r="AR183" i="13" s="1"/>
  <c r="AP183" i="13"/>
  <c r="AQ182" i="13"/>
  <c r="AR182" i="13" s="1"/>
  <c r="AP182" i="13"/>
  <c r="AQ181" i="13"/>
  <c r="AR181" i="13" s="1"/>
  <c r="AP181" i="13"/>
  <c r="AQ180" i="13"/>
  <c r="AR180" i="13" s="1"/>
  <c r="AP180" i="13"/>
  <c r="AQ179" i="13"/>
  <c r="AR179" i="13" s="1"/>
  <c r="AP179" i="13"/>
  <c r="AQ178" i="13"/>
  <c r="AR178" i="13" s="1"/>
  <c r="AP178" i="13"/>
  <c r="AQ177" i="13"/>
  <c r="AR177" i="13" s="1"/>
  <c r="AP177" i="13"/>
  <c r="AQ176" i="13"/>
  <c r="AR176" i="13" s="1"/>
  <c r="AP176" i="13"/>
  <c r="AQ175" i="13"/>
  <c r="AR175" i="13" s="1"/>
  <c r="AP175" i="13"/>
  <c r="AQ174" i="13"/>
  <c r="AR174" i="13" s="1"/>
  <c r="AP174" i="13"/>
  <c r="AQ173" i="13"/>
  <c r="AR173" i="13" s="1"/>
  <c r="AP173" i="13"/>
  <c r="AQ172" i="13"/>
  <c r="AR172" i="13" s="1"/>
  <c r="AP172" i="13"/>
  <c r="AQ171" i="13"/>
  <c r="AR171" i="13" s="1"/>
  <c r="AP171" i="13"/>
  <c r="AQ170" i="13"/>
  <c r="AR170" i="13" s="1"/>
  <c r="AP170" i="13"/>
  <c r="AQ169" i="13"/>
  <c r="AR169" i="13" s="1"/>
  <c r="AP169" i="13"/>
  <c r="AQ168" i="13"/>
  <c r="AR168" i="13" s="1"/>
  <c r="AP168" i="13"/>
  <c r="AQ167" i="13"/>
  <c r="AR167" i="13" s="1"/>
  <c r="AP167" i="13"/>
  <c r="AQ166" i="13"/>
  <c r="AR166" i="13" s="1"/>
  <c r="AP166" i="13"/>
  <c r="AQ165" i="13"/>
  <c r="AR165" i="13" s="1"/>
  <c r="AP165" i="13"/>
  <c r="AQ164" i="13"/>
  <c r="AR164" i="13" s="1"/>
  <c r="AP164" i="13"/>
  <c r="AQ163" i="13"/>
  <c r="AR163" i="13" s="1"/>
  <c r="AP163" i="13"/>
  <c r="AQ162" i="13"/>
  <c r="AR162" i="13" s="1"/>
  <c r="AP162" i="13"/>
  <c r="AQ161" i="13"/>
  <c r="AR161" i="13" s="1"/>
  <c r="AP161" i="13"/>
  <c r="AQ160" i="13"/>
  <c r="AR160" i="13" s="1"/>
  <c r="AP160" i="13"/>
  <c r="AQ159" i="13"/>
  <c r="AR159" i="13" s="1"/>
  <c r="AP159" i="13"/>
  <c r="AQ158" i="13"/>
  <c r="AR158" i="13" s="1"/>
  <c r="AP158" i="13"/>
  <c r="AQ157" i="13"/>
  <c r="AR157" i="13" s="1"/>
  <c r="AP157" i="13"/>
  <c r="AQ156" i="13"/>
  <c r="AR156" i="13" s="1"/>
  <c r="AP156" i="13"/>
  <c r="AQ155" i="13"/>
  <c r="AR155" i="13" s="1"/>
  <c r="AP155" i="13"/>
  <c r="AQ154" i="13"/>
  <c r="AR154" i="13" s="1"/>
  <c r="AP154" i="13"/>
  <c r="AQ153" i="13"/>
  <c r="AR153" i="13" s="1"/>
  <c r="AP153" i="13"/>
  <c r="AQ152" i="13"/>
  <c r="AR152" i="13" s="1"/>
  <c r="AP152" i="13"/>
  <c r="AQ151" i="13"/>
  <c r="AR151" i="13" s="1"/>
  <c r="AP151" i="13"/>
  <c r="AQ150" i="13"/>
  <c r="AR150" i="13" s="1"/>
  <c r="AP150" i="13"/>
  <c r="AQ149" i="13"/>
  <c r="AR149" i="13" s="1"/>
  <c r="AP149" i="13"/>
  <c r="AQ148" i="13"/>
  <c r="AR148" i="13" s="1"/>
  <c r="AP148" i="13"/>
  <c r="AQ147" i="13"/>
  <c r="AR147" i="13" s="1"/>
  <c r="AP147" i="13"/>
  <c r="AQ146" i="13"/>
  <c r="AR146" i="13" s="1"/>
  <c r="AP146" i="13"/>
  <c r="AQ145" i="13"/>
  <c r="AR145" i="13" s="1"/>
  <c r="AP145" i="13"/>
  <c r="AQ144" i="13"/>
  <c r="AR144" i="13" s="1"/>
  <c r="AP144" i="13"/>
  <c r="AQ143" i="13"/>
  <c r="AR143" i="13" s="1"/>
  <c r="AP143" i="13"/>
  <c r="AQ142" i="13"/>
  <c r="AR142" i="13" s="1"/>
  <c r="AP142" i="13"/>
  <c r="AQ141" i="13"/>
  <c r="AR141" i="13" s="1"/>
  <c r="AP141" i="13"/>
  <c r="AQ140" i="13"/>
  <c r="AR140" i="13" s="1"/>
  <c r="AP140" i="13"/>
  <c r="AQ139" i="13"/>
  <c r="AR139" i="13" s="1"/>
  <c r="AP139" i="13"/>
  <c r="AQ138" i="13"/>
  <c r="AR138" i="13" s="1"/>
  <c r="AP138" i="13"/>
  <c r="AQ137" i="13"/>
  <c r="AR137" i="13" s="1"/>
  <c r="AP137" i="13"/>
  <c r="AQ136" i="13"/>
  <c r="AR136" i="13" s="1"/>
  <c r="AP136" i="13"/>
  <c r="AQ135" i="13"/>
  <c r="AR135" i="13" s="1"/>
  <c r="AP135" i="13"/>
  <c r="AQ134" i="13"/>
  <c r="AR134" i="13" s="1"/>
  <c r="AP134" i="13"/>
  <c r="AQ133" i="13"/>
  <c r="AR133" i="13" s="1"/>
  <c r="AP133" i="13"/>
  <c r="AQ132" i="13"/>
  <c r="AR132" i="13" s="1"/>
  <c r="AP132" i="13"/>
  <c r="AQ131" i="13"/>
  <c r="AR131" i="13" s="1"/>
  <c r="AP131" i="13"/>
  <c r="AQ130" i="13"/>
  <c r="AR130" i="13" s="1"/>
  <c r="AP130" i="13"/>
  <c r="AQ129" i="13"/>
  <c r="AR129" i="13" s="1"/>
  <c r="AP129" i="13"/>
  <c r="AQ128" i="13"/>
  <c r="AR128" i="13" s="1"/>
  <c r="AP128" i="13"/>
  <c r="AQ127" i="13"/>
  <c r="AR127" i="13" s="1"/>
  <c r="AP127" i="13"/>
  <c r="AQ126" i="13"/>
  <c r="AR126" i="13" s="1"/>
  <c r="AP126" i="13"/>
  <c r="AQ125" i="13"/>
  <c r="AR125" i="13" s="1"/>
  <c r="AP125" i="13"/>
  <c r="AQ124" i="13"/>
  <c r="AR124" i="13" s="1"/>
  <c r="AP124" i="13"/>
  <c r="AQ123" i="13"/>
  <c r="AR123" i="13" s="1"/>
  <c r="AP123" i="13"/>
  <c r="AQ122" i="13"/>
  <c r="AR122" i="13" s="1"/>
  <c r="AP122" i="13"/>
  <c r="AQ121" i="13"/>
  <c r="AR121" i="13" s="1"/>
  <c r="AP121" i="13"/>
  <c r="AQ120" i="13"/>
  <c r="AR120" i="13" s="1"/>
  <c r="AP120" i="13"/>
  <c r="AQ119" i="13"/>
  <c r="AR119" i="13" s="1"/>
  <c r="AP119" i="13"/>
  <c r="AQ118" i="13"/>
  <c r="AR118" i="13" s="1"/>
  <c r="AP118" i="13"/>
  <c r="AQ117" i="13"/>
  <c r="AR117" i="13" s="1"/>
  <c r="AP117" i="13"/>
  <c r="AQ116" i="13"/>
  <c r="AR116" i="13" s="1"/>
  <c r="AP116" i="13"/>
  <c r="AQ115" i="13"/>
  <c r="AR115" i="13" s="1"/>
  <c r="AP115" i="13"/>
  <c r="AQ114" i="13"/>
  <c r="AR114" i="13" s="1"/>
  <c r="AP114" i="13"/>
  <c r="AQ113" i="13"/>
  <c r="AR113" i="13" s="1"/>
  <c r="AP113" i="13"/>
  <c r="AQ112" i="13"/>
  <c r="AR112" i="13" s="1"/>
  <c r="AP112" i="13"/>
  <c r="AQ111" i="13"/>
  <c r="AR111" i="13" s="1"/>
  <c r="AP111" i="13"/>
  <c r="AQ110" i="13"/>
  <c r="AR110" i="13" s="1"/>
  <c r="AP110" i="13"/>
  <c r="AQ109" i="13"/>
  <c r="AR109" i="13" s="1"/>
  <c r="AP109" i="13"/>
  <c r="AQ108" i="13"/>
  <c r="AR108" i="13" s="1"/>
  <c r="AP108" i="13"/>
  <c r="AQ107" i="13"/>
  <c r="AR107" i="13" s="1"/>
  <c r="AP107" i="13"/>
  <c r="AQ106" i="13"/>
  <c r="AR106" i="13" s="1"/>
  <c r="AP106" i="13"/>
  <c r="AQ105" i="13"/>
  <c r="AR105" i="13" s="1"/>
  <c r="AP105" i="13"/>
  <c r="AQ104" i="13"/>
  <c r="AR104" i="13" s="1"/>
  <c r="AP104" i="13"/>
  <c r="AQ103" i="13"/>
  <c r="AR103" i="13" s="1"/>
  <c r="AP103" i="13"/>
  <c r="AQ102" i="13"/>
  <c r="AR102" i="13" s="1"/>
  <c r="AP102" i="13"/>
  <c r="AQ101" i="13"/>
  <c r="AR101" i="13" s="1"/>
  <c r="AP101" i="13"/>
  <c r="AQ100" i="13"/>
  <c r="AR100" i="13" s="1"/>
  <c r="AP100" i="13"/>
  <c r="AQ99" i="13"/>
  <c r="AR99" i="13" s="1"/>
  <c r="AP99" i="13"/>
  <c r="AQ98" i="13"/>
  <c r="AR98" i="13" s="1"/>
  <c r="AP98" i="13"/>
  <c r="AQ97" i="13"/>
  <c r="AR97" i="13" s="1"/>
  <c r="AP97" i="13"/>
  <c r="AQ96" i="13"/>
  <c r="AR96" i="13" s="1"/>
  <c r="AP96" i="13"/>
  <c r="AQ95" i="13"/>
  <c r="AR95" i="13" s="1"/>
  <c r="AP95" i="13"/>
  <c r="AQ94" i="13"/>
  <c r="AR94" i="13" s="1"/>
  <c r="AP94" i="13"/>
  <c r="AQ93" i="13"/>
  <c r="AR93" i="13" s="1"/>
  <c r="AP93" i="13"/>
  <c r="AQ92" i="13"/>
  <c r="AR92" i="13" s="1"/>
  <c r="AP92" i="13"/>
  <c r="AQ91" i="13"/>
  <c r="AR91" i="13" s="1"/>
  <c r="AP91" i="13"/>
  <c r="AQ90" i="13"/>
  <c r="AR90" i="13" s="1"/>
  <c r="AP90" i="13"/>
  <c r="AQ89" i="13"/>
  <c r="AR89" i="13" s="1"/>
  <c r="AP89" i="13"/>
  <c r="AQ88" i="13"/>
  <c r="AR88" i="13" s="1"/>
  <c r="AP88" i="13"/>
  <c r="AQ87" i="13"/>
  <c r="AR87" i="13" s="1"/>
  <c r="AP87" i="13"/>
  <c r="AQ86" i="13"/>
  <c r="AR86" i="13" s="1"/>
  <c r="AP86" i="13"/>
  <c r="N86" i="13"/>
  <c r="AQ85" i="13"/>
  <c r="AR85" i="13" s="1"/>
  <c r="AP85" i="13"/>
  <c r="AQ84" i="13"/>
  <c r="AR84" i="13" s="1"/>
  <c r="AP84" i="13"/>
  <c r="AQ83" i="13"/>
  <c r="AR83" i="13" s="1"/>
  <c r="AP83" i="13"/>
  <c r="AQ82" i="13"/>
  <c r="AR82" i="13" s="1"/>
  <c r="AP82" i="13"/>
  <c r="AQ81" i="13"/>
  <c r="AR81" i="13" s="1"/>
  <c r="AP81" i="13"/>
  <c r="AQ80" i="13"/>
  <c r="AR80" i="13" s="1"/>
  <c r="AP80" i="13"/>
  <c r="AQ79" i="13"/>
  <c r="AR79" i="13" s="1"/>
  <c r="AP79" i="13"/>
  <c r="AQ78" i="13"/>
  <c r="AR78" i="13" s="1"/>
  <c r="AP78" i="13"/>
  <c r="AQ77" i="13"/>
  <c r="AR77" i="13" s="1"/>
  <c r="AP77" i="13"/>
  <c r="AQ76" i="13"/>
  <c r="AR76" i="13" s="1"/>
  <c r="AP76" i="13"/>
  <c r="AQ75" i="13"/>
  <c r="AR75" i="13" s="1"/>
  <c r="AP75" i="13"/>
  <c r="AQ74" i="13"/>
  <c r="AR74" i="13" s="1"/>
  <c r="AP74" i="13"/>
  <c r="AQ73" i="13"/>
  <c r="AR73" i="13" s="1"/>
  <c r="AP73" i="13"/>
  <c r="AQ72" i="13"/>
  <c r="AR72" i="13" s="1"/>
  <c r="AP72" i="13"/>
  <c r="AQ71" i="13"/>
  <c r="AR71" i="13" s="1"/>
  <c r="AP71" i="13"/>
  <c r="AQ70" i="13"/>
  <c r="AR70" i="13" s="1"/>
  <c r="AP70" i="13"/>
  <c r="AQ69" i="13"/>
  <c r="AR69" i="13" s="1"/>
  <c r="AP69" i="13"/>
  <c r="AQ68" i="13"/>
  <c r="AR68" i="13" s="1"/>
  <c r="AP68" i="13"/>
  <c r="AQ67" i="13"/>
  <c r="AR67" i="13" s="1"/>
  <c r="AP67" i="13"/>
  <c r="AQ66" i="13"/>
  <c r="AR66" i="13" s="1"/>
  <c r="AP66" i="13"/>
  <c r="AQ65" i="13"/>
  <c r="AR65" i="13" s="1"/>
  <c r="AP65" i="13"/>
  <c r="AQ64" i="13"/>
  <c r="AR64" i="13" s="1"/>
  <c r="AP64" i="13"/>
  <c r="AQ63" i="13"/>
  <c r="AR63" i="13" s="1"/>
  <c r="AP63" i="13"/>
  <c r="AQ62" i="13"/>
  <c r="AR62" i="13" s="1"/>
  <c r="AP62" i="13"/>
  <c r="AQ61" i="13"/>
  <c r="AR61" i="13" s="1"/>
  <c r="AP61" i="13"/>
  <c r="AQ60" i="13"/>
  <c r="AR60" i="13" s="1"/>
  <c r="AP60" i="13"/>
  <c r="AQ59" i="13"/>
  <c r="AR59" i="13" s="1"/>
  <c r="AP59" i="13"/>
  <c r="AQ58" i="13"/>
  <c r="AR58" i="13" s="1"/>
  <c r="AP58" i="13"/>
  <c r="AQ57" i="13"/>
  <c r="AR57" i="13" s="1"/>
  <c r="AP57" i="13"/>
  <c r="AQ56" i="13"/>
  <c r="AR56" i="13" s="1"/>
  <c r="AP56" i="13"/>
  <c r="AQ55" i="13"/>
  <c r="AR55" i="13" s="1"/>
  <c r="AP55" i="13"/>
  <c r="AQ54" i="13"/>
  <c r="AR54" i="13" s="1"/>
  <c r="AP54" i="13"/>
  <c r="AQ53" i="13"/>
  <c r="AR53" i="13" s="1"/>
  <c r="AP53" i="13"/>
  <c r="AQ52" i="13"/>
  <c r="AR52" i="13" s="1"/>
  <c r="AP52" i="13"/>
  <c r="AQ51" i="13"/>
  <c r="AR51" i="13" s="1"/>
  <c r="AP51" i="13"/>
  <c r="AQ50" i="13"/>
  <c r="AR50" i="13" s="1"/>
  <c r="AP50" i="13"/>
  <c r="AQ49" i="13"/>
  <c r="AR49" i="13" s="1"/>
  <c r="AP49" i="13"/>
  <c r="AQ48" i="13"/>
  <c r="AR48" i="13" s="1"/>
  <c r="AP48" i="13"/>
  <c r="AQ47" i="13"/>
  <c r="AR47" i="13" s="1"/>
  <c r="AP47" i="13"/>
  <c r="AQ46" i="13"/>
  <c r="AR46" i="13" s="1"/>
  <c r="AP46" i="13"/>
  <c r="AQ45" i="13"/>
  <c r="AR45" i="13" s="1"/>
  <c r="AP45" i="13"/>
  <c r="AQ44" i="13"/>
  <c r="AR44" i="13" s="1"/>
  <c r="AP44" i="13"/>
  <c r="AQ43" i="13"/>
  <c r="AR43" i="13" s="1"/>
  <c r="AP43" i="13"/>
  <c r="AQ42" i="13"/>
  <c r="AR42" i="13" s="1"/>
  <c r="AP42" i="13"/>
  <c r="AQ41" i="13"/>
  <c r="AR41" i="13" s="1"/>
  <c r="AP41" i="13"/>
  <c r="AQ40" i="13"/>
  <c r="AR40" i="13" s="1"/>
  <c r="AP40" i="13"/>
  <c r="AQ39" i="13"/>
  <c r="AR39" i="13" s="1"/>
  <c r="AP39" i="13"/>
  <c r="AQ38" i="13"/>
  <c r="AR38" i="13" s="1"/>
  <c r="AP38" i="13"/>
  <c r="AQ37" i="13"/>
  <c r="AR37" i="13" s="1"/>
  <c r="AP37" i="13"/>
  <c r="AQ36" i="13"/>
  <c r="AR36" i="13" s="1"/>
  <c r="AP36" i="13"/>
  <c r="AQ35" i="13"/>
  <c r="AR35" i="13" s="1"/>
  <c r="AP35" i="13"/>
  <c r="AQ34" i="13"/>
  <c r="AR34" i="13" s="1"/>
  <c r="AP34" i="13"/>
  <c r="AQ33" i="13"/>
  <c r="AR33" i="13" s="1"/>
  <c r="AP33" i="13"/>
  <c r="AQ32" i="13"/>
  <c r="AR32" i="13" s="1"/>
  <c r="AP32" i="13"/>
  <c r="AQ31" i="13"/>
  <c r="AR31" i="13" s="1"/>
  <c r="AP31" i="13"/>
  <c r="AQ30" i="13"/>
  <c r="AR30" i="13" s="1"/>
  <c r="AP30" i="13"/>
  <c r="AQ29" i="13"/>
  <c r="AR29" i="13" s="1"/>
  <c r="AP29" i="13"/>
  <c r="AQ28" i="13"/>
  <c r="AR28" i="13" s="1"/>
  <c r="AP28" i="13"/>
  <c r="AQ27" i="13"/>
  <c r="AR27" i="13" s="1"/>
  <c r="AP27" i="13"/>
  <c r="AQ26" i="13"/>
  <c r="AR26" i="13" s="1"/>
  <c r="AP26" i="13"/>
  <c r="AQ25" i="13"/>
  <c r="AR25" i="13" s="1"/>
  <c r="AP25" i="13"/>
  <c r="AQ24" i="13"/>
  <c r="AR24" i="13" s="1"/>
  <c r="AP24" i="13"/>
  <c r="AQ23" i="13"/>
  <c r="AR23" i="13" s="1"/>
  <c r="AP23" i="13"/>
  <c r="AQ22" i="13"/>
  <c r="AR22" i="13" s="1"/>
  <c r="AP22" i="13"/>
  <c r="AQ21" i="13"/>
  <c r="AR21" i="13" s="1"/>
  <c r="AP21" i="13"/>
  <c r="AQ20" i="13"/>
  <c r="AR20" i="13" s="1"/>
  <c r="AP20" i="13"/>
  <c r="AQ19" i="13"/>
  <c r="AR19" i="13" s="1"/>
  <c r="AP19" i="13"/>
  <c r="AQ18" i="13"/>
  <c r="AR18" i="13" s="1"/>
  <c r="AP18" i="13"/>
  <c r="AQ17" i="13"/>
  <c r="AR17" i="13" s="1"/>
  <c r="AP17" i="13"/>
  <c r="AQ16" i="13"/>
  <c r="AR16" i="13" s="1"/>
  <c r="AP16" i="13"/>
  <c r="AQ15" i="13"/>
  <c r="AR15" i="13" s="1"/>
  <c r="AP15" i="13"/>
  <c r="AQ14" i="13"/>
  <c r="AR14" i="13" s="1"/>
  <c r="AP14" i="13"/>
  <c r="AQ13" i="13"/>
  <c r="AR13" i="13" s="1"/>
  <c r="AP13" i="13"/>
  <c r="AQ12" i="13"/>
  <c r="AR12" i="13" s="1"/>
  <c r="AP12" i="13"/>
  <c r="AQ11" i="13"/>
  <c r="AR11" i="13" s="1"/>
  <c r="AP11" i="13"/>
  <c r="AQ10" i="13"/>
  <c r="AR10" i="13" s="1"/>
  <c r="AP10" i="13"/>
  <c r="AQ9" i="13"/>
  <c r="AR9" i="13" s="1"/>
  <c r="AP9" i="13"/>
  <c r="AQ8" i="13"/>
  <c r="AR8" i="13" s="1"/>
  <c r="AP8" i="13"/>
  <c r="AQ7" i="13"/>
  <c r="AR7" i="13" s="1"/>
  <c r="AP7" i="13"/>
  <c r="AQ6" i="13"/>
  <c r="AR6" i="13" s="1"/>
  <c r="AP6" i="13"/>
  <c r="AQ5" i="13"/>
  <c r="AP5" i="13"/>
  <c r="K114" i="12"/>
  <c r="J111" i="12"/>
  <c r="J110" i="12"/>
  <c r="I108" i="12"/>
  <c r="BJ107" i="12"/>
  <c r="BJ106" i="12"/>
  <c r="BJ105" i="12"/>
  <c r="I105" i="12"/>
  <c r="BJ104" i="12"/>
  <c r="BJ103" i="12"/>
  <c r="I103" i="12"/>
  <c r="BJ102" i="12"/>
  <c r="AP102" i="12"/>
  <c r="AQ102" i="12" s="1"/>
  <c r="AO102" i="12"/>
  <c r="BJ101" i="12"/>
  <c r="BJ100" i="12"/>
  <c r="J100" i="12"/>
  <c r="BJ98" i="12"/>
  <c r="BJ97" i="12"/>
  <c r="BJ96" i="12"/>
  <c r="I96" i="12"/>
  <c r="BJ95" i="12"/>
  <c r="BJ94" i="12"/>
  <c r="BJ93" i="12"/>
  <c r="J93" i="12"/>
  <c r="BJ92" i="12"/>
  <c r="BJ91" i="12"/>
  <c r="BJ90" i="12"/>
  <c r="BJ89" i="12"/>
  <c r="J89" i="12"/>
  <c r="BJ88" i="12"/>
  <c r="BJ86" i="12"/>
  <c r="BJ85" i="12"/>
  <c r="BJ84" i="12"/>
  <c r="BJ80" i="12"/>
  <c r="J80" i="12"/>
  <c r="I80" i="12" s="1"/>
  <c r="BJ79" i="12"/>
  <c r="BJ78" i="12"/>
  <c r="BJ77" i="12"/>
  <c r="I77" i="12"/>
  <c r="BJ76" i="12"/>
  <c r="BJ75" i="12"/>
  <c r="BJ74" i="12"/>
  <c r="J74" i="12"/>
  <c r="I74" i="12" s="1"/>
  <c r="BJ73" i="12"/>
  <c r="BJ72" i="12"/>
  <c r="I72" i="12"/>
  <c r="BJ71" i="12"/>
  <c r="I71" i="12"/>
  <c r="BJ70" i="12"/>
  <c r="J70" i="12"/>
  <c r="BJ69" i="12"/>
  <c r="BJ68" i="12"/>
  <c r="BJ67" i="12"/>
  <c r="BJ66" i="12"/>
  <c r="BJ65" i="12"/>
  <c r="BJ64" i="12"/>
  <c r="I64" i="12"/>
  <c r="BJ63" i="12"/>
  <c r="J63" i="12"/>
  <c r="I63" i="12" s="1"/>
  <c r="BJ62" i="12"/>
  <c r="BJ61" i="12"/>
  <c r="J61" i="12"/>
  <c r="I61" i="12" s="1"/>
  <c r="BJ60" i="12"/>
  <c r="BJ59" i="12"/>
  <c r="BJ58" i="12"/>
  <c r="BJ57" i="12"/>
  <c r="BJ56" i="12"/>
  <c r="BJ55" i="12"/>
  <c r="BJ54" i="12"/>
  <c r="BJ53" i="12"/>
  <c r="BJ52" i="12"/>
  <c r="BJ51" i="12"/>
  <c r="I51" i="12"/>
  <c r="BJ50" i="12"/>
  <c r="I50" i="12"/>
  <c r="BJ49" i="12"/>
  <c r="BJ48" i="12"/>
  <c r="BJ47" i="12"/>
  <c r="BJ46" i="12"/>
  <c r="BJ45" i="12"/>
  <c r="BJ44" i="12"/>
  <c r="J44" i="12"/>
  <c r="I43" i="12"/>
  <c r="BJ42" i="12"/>
  <c r="BJ41" i="12"/>
  <c r="BJ40" i="12"/>
  <c r="BJ39" i="12"/>
  <c r="BJ38" i="12"/>
  <c r="I38" i="12"/>
  <c r="BJ37" i="12"/>
  <c r="I37" i="12"/>
  <c r="BJ36" i="12"/>
  <c r="BJ35" i="12"/>
  <c r="BJ34" i="12"/>
  <c r="BJ33" i="12"/>
  <c r="BJ32" i="12"/>
  <c r="BJ31" i="12"/>
  <c r="BJ30" i="12"/>
  <c r="BJ29" i="12"/>
  <c r="BJ27" i="12"/>
  <c r="J27" i="12"/>
  <c r="BJ26" i="12"/>
  <c r="I26" i="12"/>
  <c r="BJ25" i="12"/>
  <c r="BJ24" i="12"/>
  <c r="BJ23" i="12"/>
  <c r="BJ22" i="12"/>
  <c r="BJ21" i="12"/>
  <c r="J21" i="12"/>
  <c r="BJ20" i="12"/>
  <c r="I20" i="12"/>
  <c r="BJ19" i="12"/>
  <c r="BJ17" i="12"/>
  <c r="BJ16" i="12"/>
  <c r="BJ15" i="12"/>
  <c r="BJ14" i="12"/>
  <c r="BJ13" i="12"/>
  <c r="BJ12" i="12"/>
  <c r="BJ10" i="12"/>
  <c r="BJ9" i="12"/>
  <c r="I9" i="12"/>
  <c r="BJ8" i="12"/>
  <c r="BJ7" i="12"/>
  <c r="AF27" i="5"/>
  <c r="AG27" i="5" s="1"/>
  <c r="AE27" i="5"/>
  <c r="AF26" i="5"/>
  <c r="AG26" i="5" s="1"/>
  <c r="AE26" i="5"/>
  <c r="AF25" i="5"/>
  <c r="AG25" i="5" s="1"/>
  <c r="AE25" i="5"/>
  <c r="AF24" i="5"/>
  <c r="AG24" i="5" s="1"/>
  <c r="AE24" i="5"/>
  <c r="AF23" i="5"/>
  <c r="AG23" i="5" s="1"/>
  <c r="AE23" i="5"/>
  <c r="AF22" i="5"/>
  <c r="AG22" i="5" s="1"/>
  <c r="AE22" i="5"/>
  <c r="AF21" i="5"/>
  <c r="AG21" i="5" s="1"/>
  <c r="AE21" i="5"/>
  <c r="AF20" i="5"/>
  <c r="AG20" i="5" s="1"/>
  <c r="AE20" i="5"/>
  <c r="AF19" i="5"/>
  <c r="AG19" i="5" s="1"/>
  <c r="AE19" i="5"/>
  <c r="AF18" i="5"/>
  <c r="AG18" i="5" s="1"/>
  <c r="AE18" i="5"/>
  <c r="AF17" i="5"/>
  <c r="AG17" i="5" s="1"/>
  <c r="AE17" i="5"/>
  <c r="AF16" i="5"/>
  <c r="AG16" i="5" s="1"/>
  <c r="AE16" i="5"/>
  <c r="AF15" i="5"/>
  <c r="AG15" i="5" s="1"/>
  <c r="AE15" i="5"/>
  <c r="AF14" i="5"/>
  <c r="AG14" i="5" s="1"/>
  <c r="AE14" i="5"/>
  <c r="AF13" i="5"/>
  <c r="AG13" i="5" s="1"/>
  <c r="AE13" i="5"/>
  <c r="AF12" i="5"/>
  <c r="AG12" i="5" s="1"/>
  <c r="AE12" i="5"/>
  <c r="AF11" i="5"/>
  <c r="AG11" i="5" s="1"/>
  <c r="AE11" i="5"/>
  <c r="AF10" i="5"/>
  <c r="AG10" i="5" s="1"/>
  <c r="AE10" i="5"/>
  <c r="AF9" i="5"/>
  <c r="AG9" i="5" s="1"/>
  <c r="AE9" i="5"/>
  <c r="AF8" i="5"/>
  <c r="AG8" i="5" s="1"/>
  <c r="AE8" i="5"/>
  <c r="AF7" i="5"/>
  <c r="AG7" i="5" s="1"/>
  <c r="AE7" i="5"/>
  <c r="AF6" i="5"/>
  <c r="AG6" i="5" s="1"/>
  <c r="AE6" i="5"/>
  <c r="AF5" i="5"/>
  <c r="AG5" i="5" s="1"/>
  <c r="AE5" i="5"/>
  <c r="AE57" i="4"/>
  <c r="AF57" i="4" s="1"/>
  <c r="AE56" i="4"/>
  <c r="AF56" i="4" s="1"/>
  <c r="AE55" i="4"/>
  <c r="AF55" i="4" s="1"/>
  <c r="AE54" i="4"/>
  <c r="AF54" i="4" s="1"/>
  <c r="AE53" i="4"/>
  <c r="AF53" i="4" s="1"/>
  <c r="AE52" i="4"/>
  <c r="AF52" i="4" s="1"/>
  <c r="AE51" i="4"/>
  <c r="AF51" i="4" s="1"/>
  <c r="AE50" i="4"/>
  <c r="AF50" i="4" s="1"/>
  <c r="AE49" i="4"/>
  <c r="AF49" i="4" s="1"/>
  <c r="AE48" i="4"/>
  <c r="AF48" i="4" s="1"/>
  <c r="AE47" i="4"/>
  <c r="AF47" i="4" s="1"/>
  <c r="AE46" i="4"/>
  <c r="AF46" i="4" s="1"/>
  <c r="AE45" i="4"/>
  <c r="AF45" i="4" s="1"/>
  <c r="AE44" i="4"/>
  <c r="AF44" i="4" s="1"/>
  <c r="AE43" i="4"/>
  <c r="AF43" i="4" s="1"/>
  <c r="AE42" i="4"/>
  <c r="AF42" i="4" s="1"/>
  <c r="AE41" i="4"/>
  <c r="AF41" i="4" s="1"/>
  <c r="AE40" i="4"/>
  <c r="AF40" i="4" s="1"/>
  <c r="AE39" i="4"/>
  <c r="AF39" i="4" s="1"/>
  <c r="AE38" i="4"/>
  <c r="AF38" i="4" s="1"/>
  <c r="AE37" i="4"/>
  <c r="AF37" i="4" s="1"/>
  <c r="AE36" i="4"/>
  <c r="AF36" i="4" s="1"/>
  <c r="AE35" i="4"/>
  <c r="AF35" i="4" s="1"/>
  <c r="AE34" i="4"/>
  <c r="AF34" i="4" s="1"/>
  <c r="AE33" i="4"/>
  <c r="AF33" i="4" s="1"/>
  <c r="AE32" i="4"/>
  <c r="AF32" i="4" s="1"/>
  <c r="AE31" i="4"/>
  <c r="AF31" i="4" s="1"/>
  <c r="AE30" i="4"/>
  <c r="AF30" i="4" s="1"/>
  <c r="AE29" i="4"/>
  <c r="AF29" i="4" s="1"/>
  <c r="AE28" i="4"/>
  <c r="AF28" i="4" s="1"/>
  <c r="AE27" i="4"/>
  <c r="AF27" i="4" s="1"/>
  <c r="AE26" i="4"/>
  <c r="AF26" i="4" s="1"/>
  <c r="AE25" i="4"/>
  <c r="AF25" i="4" s="1"/>
  <c r="AE24" i="4"/>
  <c r="AF24" i="4" s="1"/>
  <c r="AE23" i="4"/>
  <c r="AF23" i="4" s="1"/>
  <c r="AE22" i="4"/>
  <c r="AF22" i="4" s="1"/>
  <c r="AE21" i="4"/>
  <c r="AF21" i="4" s="1"/>
  <c r="AE20" i="4"/>
  <c r="AF20" i="4" s="1"/>
  <c r="AE19" i="4"/>
  <c r="AF19" i="4" s="1"/>
  <c r="AE18" i="4"/>
  <c r="AF18" i="4" s="1"/>
  <c r="AE17" i="4"/>
  <c r="AF17" i="4" s="1"/>
  <c r="AE16" i="4"/>
  <c r="AF16" i="4" s="1"/>
  <c r="AE15" i="4"/>
  <c r="AF15" i="4" s="1"/>
  <c r="AE14" i="4"/>
  <c r="AF14" i="4" s="1"/>
  <c r="AE13" i="4"/>
  <c r="AF13" i="4" s="1"/>
  <c r="AE12" i="4"/>
  <c r="AF12" i="4" s="1"/>
  <c r="AE11" i="4"/>
  <c r="AF11" i="4" s="1"/>
  <c r="AE10" i="4"/>
  <c r="AF10" i="4" s="1"/>
  <c r="AE9" i="4"/>
  <c r="AF9" i="4" s="1"/>
  <c r="AE8" i="4"/>
  <c r="AF8" i="4" s="1"/>
  <c r="AE7" i="4"/>
  <c r="AF7" i="4" s="1"/>
  <c r="AE6" i="4"/>
  <c r="AF6" i="4" s="1"/>
  <c r="AE5" i="4"/>
  <c r="AF5" i="4" s="1"/>
  <c r="AE95" i="3"/>
  <c r="AF95" i="3" s="1"/>
  <c r="AE94" i="3"/>
  <c r="AF94" i="3" s="1"/>
  <c r="AE93" i="3"/>
  <c r="AF93" i="3" s="1"/>
  <c r="AE92" i="3"/>
  <c r="AF92" i="3" s="1"/>
  <c r="AE91" i="3"/>
  <c r="AF91" i="3" s="1"/>
  <c r="AE90" i="3"/>
  <c r="AF90" i="3" s="1"/>
  <c r="AE89" i="3"/>
  <c r="AF89" i="3" s="1"/>
  <c r="AE88" i="3"/>
  <c r="AF88" i="3" s="1"/>
  <c r="AE87" i="3"/>
  <c r="AF87" i="3" s="1"/>
  <c r="AE86" i="3"/>
  <c r="AF86" i="3" s="1"/>
  <c r="AE85" i="3"/>
  <c r="AF85" i="3" s="1"/>
  <c r="AE84" i="3"/>
  <c r="AF84" i="3" s="1"/>
  <c r="AE83" i="3"/>
  <c r="AF83" i="3" s="1"/>
  <c r="AE82" i="3"/>
  <c r="AF82" i="3" s="1"/>
  <c r="AE81" i="3"/>
  <c r="AF81" i="3" s="1"/>
  <c r="AE80" i="3"/>
  <c r="AF80" i="3" s="1"/>
  <c r="AE79" i="3"/>
  <c r="AF79" i="3" s="1"/>
  <c r="AE78" i="3"/>
  <c r="AF78" i="3" s="1"/>
  <c r="AE77" i="3"/>
  <c r="AF77" i="3" s="1"/>
  <c r="AE76" i="3"/>
  <c r="AF76" i="3" s="1"/>
  <c r="AE75" i="3"/>
  <c r="AF75" i="3" s="1"/>
  <c r="AE74" i="3"/>
  <c r="AF74" i="3" s="1"/>
  <c r="AE73" i="3"/>
  <c r="AF73" i="3" s="1"/>
  <c r="AE72" i="3"/>
  <c r="AF72" i="3" s="1"/>
  <c r="AE71" i="3"/>
  <c r="AF71" i="3" s="1"/>
  <c r="AE70" i="3"/>
  <c r="AF70" i="3" s="1"/>
  <c r="AE69" i="3"/>
  <c r="AF69" i="3" s="1"/>
  <c r="AE68" i="3"/>
  <c r="AF68" i="3" s="1"/>
  <c r="AE67" i="3"/>
  <c r="AF67" i="3" s="1"/>
  <c r="AE66" i="3"/>
  <c r="AF66" i="3" s="1"/>
  <c r="AE65" i="3"/>
  <c r="AF65" i="3" s="1"/>
  <c r="AE64" i="3"/>
  <c r="AF64" i="3" s="1"/>
  <c r="AE63" i="3"/>
  <c r="AF63" i="3" s="1"/>
  <c r="AE62" i="3"/>
  <c r="AF62" i="3" s="1"/>
  <c r="AE61" i="3"/>
  <c r="AF61" i="3" s="1"/>
  <c r="AE60" i="3"/>
  <c r="AF60" i="3" s="1"/>
  <c r="AE59" i="3"/>
  <c r="AF59" i="3" s="1"/>
  <c r="AE58" i="3"/>
  <c r="AF58" i="3" s="1"/>
  <c r="AE57" i="3"/>
  <c r="AF57" i="3" s="1"/>
  <c r="AE56" i="3"/>
  <c r="AF56" i="3" s="1"/>
  <c r="AE55" i="3"/>
  <c r="AF55" i="3" s="1"/>
  <c r="AE54" i="3"/>
  <c r="AF54" i="3" s="1"/>
  <c r="AE53" i="3"/>
  <c r="AF53" i="3" s="1"/>
  <c r="AE52" i="3"/>
  <c r="AF52" i="3" s="1"/>
  <c r="AE51" i="3"/>
  <c r="AF51" i="3" s="1"/>
  <c r="AE50" i="3"/>
  <c r="AF50" i="3" s="1"/>
  <c r="AE49" i="3"/>
  <c r="AF49" i="3" s="1"/>
  <c r="AE48" i="3"/>
  <c r="AF48" i="3" s="1"/>
  <c r="AE47" i="3"/>
  <c r="AF47" i="3" s="1"/>
  <c r="AE46" i="3"/>
  <c r="AF46" i="3" s="1"/>
  <c r="AE45" i="3"/>
  <c r="AF45" i="3" s="1"/>
  <c r="AE44" i="3"/>
  <c r="AF44" i="3" s="1"/>
  <c r="AE43" i="3"/>
  <c r="AF43" i="3" s="1"/>
  <c r="AE42" i="3"/>
  <c r="AF42" i="3" s="1"/>
  <c r="AE41" i="3"/>
  <c r="AF41" i="3" s="1"/>
  <c r="AE40" i="3"/>
  <c r="AF40" i="3" s="1"/>
  <c r="AE39" i="3"/>
  <c r="AF39" i="3" s="1"/>
  <c r="AE38" i="3"/>
  <c r="AF38" i="3" s="1"/>
  <c r="AE37" i="3"/>
  <c r="AF37" i="3" s="1"/>
  <c r="AE36" i="3"/>
  <c r="AF36" i="3" s="1"/>
  <c r="AE35" i="3"/>
  <c r="AF35" i="3" s="1"/>
  <c r="AE34" i="3"/>
  <c r="AF34" i="3" s="1"/>
  <c r="AE33" i="3"/>
  <c r="AF33" i="3" s="1"/>
  <c r="AE32" i="3"/>
  <c r="AF32" i="3" s="1"/>
  <c r="AE31" i="3"/>
  <c r="AF31" i="3" s="1"/>
  <c r="AE30" i="3"/>
  <c r="AF30" i="3" s="1"/>
  <c r="AE29" i="3"/>
  <c r="AF29" i="3" s="1"/>
  <c r="AE28" i="3"/>
  <c r="AF28" i="3" s="1"/>
  <c r="AE27" i="3"/>
  <c r="AF27" i="3" s="1"/>
  <c r="AE26" i="3"/>
  <c r="AF26" i="3" s="1"/>
  <c r="AE25" i="3"/>
  <c r="AF25" i="3" s="1"/>
  <c r="AE24" i="3"/>
  <c r="AF24" i="3" s="1"/>
  <c r="AE23" i="3"/>
  <c r="AF23" i="3" s="1"/>
  <c r="AE22" i="3"/>
  <c r="AF22" i="3" s="1"/>
  <c r="AE21" i="3"/>
  <c r="AF21" i="3" s="1"/>
  <c r="AE20" i="3"/>
  <c r="AF20" i="3" s="1"/>
  <c r="AE19" i="3"/>
  <c r="AF19" i="3" s="1"/>
  <c r="AE18" i="3"/>
  <c r="AF18" i="3" s="1"/>
  <c r="AE17" i="3"/>
  <c r="AF17" i="3" s="1"/>
  <c r="AE16" i="3"/>
  <c r="AF16" i="3" s="1"/>
  <c r="AE15" i="3"/>
  <c r="AF15" i="3" s="1"/>
  <c r="AE14" i="3"/>
  <c r="AF14" i="3" s="1"/>
  <c r="AE13" i="3"/>
  <c r="AF13" i="3" s="1"/>
  <c r="AE12" i="3"/>
  <c r="AF12" i="3" s="1"/>
  <c r="AE11" i="3"/>
  <c r="AF11" i="3" s="1"/>
  <c r="AE10" i="3"/>
  <c r="AF10" i="3" s="1"/>
  <c r="AE9" i="3"/>
  <c r="AF9" i="3" s="1"/>
  <c r="AE8" i="3"/>
  <c r="AF8" i="3" s="1"/>
  <c r="AE7" i="3"/>
  <c r="AF7" i="3" s="1"/>
  <c r="AE6" i="3"/>
  <c r="AF6" i="3" s="1"/>
  <c r="AE5" i="3"/>
  <c r="AF5" i="3" s="1"/>
  <c r="AF618" i="6"/>
  <c r="AG618" i="6" s="1"/>
  <c r="AF617" i="6"/>
  <c r="AG617" i="6" s="1"/>
  <c r="AF616" i="6"/>
  <c r="AG616" i="6" s="1"/>
  <c r="AF615" i="6"/>
  <c r="AG615" i="6" s="1"/>
  <c r="AE615" i="6"/>
  <c r="AF614" i="6"/>
  <c r="AG614" i="6" s="1"/>
  <c r="AF613" i="6"/>
  <c r="AG613" i="6" s="1"/>
  <c r="AF612" i="6"/>
  <c r="AG612" i="6" s="1"/>
  <c r="AF611" i="6"/>
  <c r="AG611" i="6" s="1"/>
  <c r="AE611" i="6"/>
  <c r="AF610" i="6"/>
  <c r="AG610" i="6" s="1"/>
  <c r="AF609" i="6"/>
  <c r="AG609" i="6" s="1"/>
  <c r="AE609" i="6"/>
  <c r="AF608" i="6"/>
  <c r="AG608" i="6" s="1"/>
  <c r="AF607" i="6"/>
  <c r="AG607" i="6" s="1"/>
  <c r="AF606" i="6"/>
  <c r="AG606" i="6" s="1"/>
  <c r="AF605" i="6"/>
  <c r="AG605" i="6" s="1"/>
  <c r="AF604" i="6"/>
  <c r="AG604" i="6" s="1"/>
  <c r="AF603" i="6"/>
  <c r="AG603" i="6" s="1"/>
  <c r="AF602" i="6"/>
  <c r="AG602" i="6" s="1"/>
  <c r="AF601" i="6"/>
  <c r="AG601" i="6" s="1"/>
  <c r="AF600" i="6"/>
  <c r="AG600" i="6" s="1"/>
  <c r="AF599" i="6"/>
  <c r="AG599" i="6" s="1"/>
  <c r="AE599" i="6"/>
  <c r="AF598" i="6"/>
  <c r="AG598" i="6" s="1"/>
  <c r="AE598" i="6"/>
  <c r="AF597" i="6"/>
  <c r="AG597" i="6" s="1"/>
  <c r="AE597" i="6"/>
  <c r="AF596" i="6"/>
  <c r="AG596" i="6" s="1"/>
  <c r="AE596" i="6"/>
  <c r="AF595" i="6"/>
  <c r="AG595" i="6" s="1"/>
  <c r="AE595" i="6"/>
  <c r="AF594" i="6"/>
  <c r="AG594" i="6" s="1"/>
  <c r="AE594" i="6"/>
  <c r="AF593" i="6"/>
  <c r="AG593" i="6" s="1"/>
  <c r="AE593" i="6"/>
  <c r="AF592" i="6"/>
  <c r="AG592" i="6" s="1"/>
  <c r="AE592" i="6"/>
  <c r="AF591" i="6"/>
  <c r="AG591" i="6" s="1"/>
  <c r="AE591" i="6"/>
  <c r="AF590" i="6"/>
  <c r="AG590" i="6" s="1"/>
  <c r="AF589" i="6"/>
  <c r="AG589" i="6" s="1"/>
  <c r="AF588" i="6"/>
  <c r="AG588" i="6" s="1"/>
  <c r="AF587" i="6"/>
  <c r="AG587" i="6" s="1"/>
  <c r="AF586" i="6"/>
  <c r="AG586" i="6" s="1"/>
  <c r="AF585" i="6"/>
  <c r="AG585" i="6" s="1"/>
  <c r="AF584" i="6"/>
  <c r="AG584" i="6" s="1"/>
  <c r="AF583" i="6"/>
  <c r="AG583" i="6" s="1"/>
  <c r="AE583" i="6"/>
  <c r="AF582" i="6"/>
  <c r="AG582" i="6" s="1"/>
  <c r="AF581" i="6"/>
  <c r="AG581" i="6" s="1"/>
  <c r="AF580" i="6"/>
  <c r="AG580" i="6" s="1"/>
  <c r="AF579" i="6"/>
  <c r="AG579" i="6" s="1"/>
  <c r="AF578" i="6"/>
  <c r="AG578" i="6" s="1"/>
  <c r="AE578" i="6"/>
  <c r="AF577" i="6"/>
  <c r="AG577" i="6" s="1"/>
  <c r="AE577" i="6"/>
  <c r="AF576" i="6"/>
  <c r="AG576" i="6" s="1"/>
  <c r="AE576" i="6"/>
  <c r="AF575" i="6"/>
  <c r="AG575" i="6" s="1"/>
  <c r="AE575" i="6"/>
  <c r="AF574" i="6"/>
  <c r="AG574" i="6" s="1"/>
  <c r="AE574" i="6"/>
  <c r="AF573" i="6"/>
  <c r="AG573" i="6" s="1"/>
  <c r="AF572" i="6"/>
  <c r="AG572" i="6" s="1"/>
  <c r="AE572" i="6"/>
  <c r="AF571" i="6"/>
  <c r="AG571" i="6" s="1"/>
  <c r="AE571" i="6"/>
  <c r="AF570" i="6"/>
  <c r="AG570" i="6" s="1"/>
  <c r="AE570" i="6"/>
  <c r="AF569" i="6"/>
  <c r="AG569" i="6" s="1"/>
  <c r="AE569" i="6"/>
  <c r="AF568" i="6"/>
  <c r="AG568" i="6" s="1"/>
  <c r="AE568" i="6"/>
  <c r="AF567" i="6"/>
  <c r="AG567" i="6" s="1"/>
  <c r="AE567" i="6"/>
  <c r="AF566" i="6"/>
  <c r="AG566" i="6" s="1"/>
  <c r="AF565" i="6"/>
  <c r="AG565" i="6" s="1"/>
  <c r="AF564" i="6"/>
  <c r="AG564" i="6" s="1"/>
  <c r="AE564" i="6"/>
  <c r="AF563" i="6"/>
  <c r="AG563" i="6" s="1"/>
  <c r="AE563" i="6"/>
  <c r="AF562" i="6"/>
  <c r="AG562" i="6" s="1"/>
  <c r="AE562" i="6"/>
  <c r="AF561" i="6"/>
  <c r="AG561" i="6" s="1"/>
  <c r="AE561" i="6"/>
  <c r="AF560" i="6"/>
  <c r="AG560" i="6" s="1"/>
  <c r="AE560" i="6"/>
  <c r="AF559" i="6"/>
  <c r="AG559" i="6" s="1"/>
  <c r="AE559" i="6"/>
  <c r="AF558" i="6"/>
  <c r="AG558" i="6" s="1"/>
  <c r="AE558" i="6"/>
  <c r="AF557" i="6"/>
  <c r="AG557" i="6" s="1"/>
  <c r="AE557" i="6"/>
  <c r="AF556" i="6"/>
  <c r="AG556" i="6" s="1"/>
  <c r="AE556" i="6"/>
  <c r="AF555" i="6"/>
  <c r="AG555" i="6" s="1"/>
  <c r="AE555" i="6"/>
  <c r="AF554" i="6"/>
  <c r="AG554" i="6" s="1"/>
  <c r="AE554" i="6"/>
  <c r="AF553" i="6"/>
  <c r="AG553" i="6" s="1"/>
  <c r="AE553" i="6"/>
  <c r="AF552" i="6"/>
  <c r="AG552" i="6" s="1"/>
  <c r="AE552" i="6"/>
  <c r="AF551" i="6"/>
  <c r="AG551" i="6" s="1"/>
  <c r="AE551" i="6"/>
  <c r="AF550" i="6"/>
  <c r="AG550" i="6" s="1"/>
  <c r="AE550" i="6"/>
  <c r="AF549" i="6"/>
  <c r="AG549" i="6" s="1"/>
  <c r="AF548" i="6"/>
  <c r="AG548" i="6" s="1"/>
  <c r="AE548" i="6"/>
  <c r="AF547" i="6"/>
  <c r="AG547" i="6" s="1"/>
  <c r="AE547" i="6"/>
  <c r="AF546" i="6"/>
  <c r="AG546" i="6" s="1"/>
  <c r="AF545" i="6"/>
  <c r="AG545" i="6" s="1"/>
  <c r="AF544" i="6"/>
  <c r="AG544" i="6" s="1"/>
  <c r="AE544" i="6"/>
  <c r="AF543" i="6"/>
  <c r="AG543" i="6" s="1"/>
  <c r="AE543" i="6"/>
  <c r="AF542" i="6"/>
  <c r="AG542" i="6" s="1"/>
  <c r="AE542" i="6"/>
  <c r="AF541" i="6"/>
  <c r="AG541" i="6" s="1"/>
  <c r="AE541" i="6"/>
  <c r="AF540" i="6"/>
  <c r="AG540" i="6" s="1"/>
  <c r="AE540" i="6"/>
  <c r="AF539" i="6"/>
  <c r="AG539" i="6" s="1"/>
  <c r="AF538" i="6"/>
  <c r="AG538" i="6" s="1"/>
  <c r="AE538" i="6"/>
  <c r="AF537" i="6"/>
  <c r="AG537" i="6" s="1"/>
  <c r="AE537" i="6"/>
  <c r="AF536" i="6"/>
  <c r="AG536" i="6" s="1"/>
  <c r="AF535" i="6"/>
  <c r="AG535" i="6" s="1"/>
  <c r="AF534" i="6"/>
  <c r="AG534" i="6" s="1"/>
  <c r="AF533" i="6"/>
  <c r="AG533" i="6" s="1"/>
  <c r="AE533" i="6"/>
  <c r="AF532" i="6"/>
  <c r="AG532" i="6" s="1"/>
  <c r="AE532" i="6"/>
  <c r="AF531" i="6"/>
  <c r="AG531" i="6" s="1"/>
  <c r="AF530" i="6"/>
  <c r="AG530" i="6" s="1"/>
  <c r="AE530" i="6"/>
  <c r="AF529" i="6"/>
  <c r="AG529" i="6" s="1"/>
  <c r="AE529" i="6"/>
  <c r="AF528" i="6"/>
  <c r="AG528" i="6" s="1"/>
  <c r="AF527" i="6"/>
  <c r="AG527" i="6" s="1"/>
  <c r="AF526" i="6"/>
  <c r="AG526" i="6" s="1"/>
  <c r="AF525" i="6"/>
  <c r="AG525" i="6" s="1"/>
  <c r="AE525" i="6"/>
  <c r="AF524" i="6"/>
  <c r="AG524" i="6" s="1"/>
  <c r="AE524" i="6"/>
  <c r="AF523" i="6"/>
  <c r="AG523" i="6" s="1"/>
  <c r="AE523" i="6"/>
  <c r="AF522" i="6"/>
  <c r="AG522" i="6" s="1"/>
  <c r="AE522" i="6"/>
  <c r="AF521" i="6"/>
  <c r="AG521" i="6" s="1"/>
  <c r="AE521" i="6"/>
  <c r="AF520" i="6"/>
  <c r="AG520" i="6" s="1"/>
  <c r="AE520" i="6"/>
  <c r="AF519" i="6"/>
  <c r="AG519" i="6" s="1"/>
  <c r="AE519" i="6"/>
  <c r="AF518" i="6"/>
  <c r="AG518" i="6" s="1"/>
  <c r="AE518" i="6"/>
  <c r="AF517" i="6"/>
  <c r="AG517" i="6" s="1"/>
  <c r="AE517" i="6"/>
  <c r="AF516" i="6"/>
  <c r="AG516" i="6" s="1"/>
  <c r="AE516" i="6"/>
  <c r="AF515" i="6"/>
  <c r="AG515" i="6" s="1"/>
  <c r="AE515" i="6"/>
  <c r="AF514" i="6"/>
  <c r="AG514" i="6" s="1"/>
  <c r="AE514" i="6"/>
  <c r="AF513" i="6"/>
  <c r="AG513" i="6" s="1"/>
  <c r="AE513" i="6"/>
  <c r="AF512" i="6"/>
  <c r="AG512" i="6" s="1"/>
  <c r="AE512" i="6"/>
  <c r="AF511" i="6"/>
  <c r="AG511" i="6" s="1"/>
  <c r="AF510" i="6"/>
  <c r="AG510" i="6" s="1"/>
  <c r="AF509" i="6"/>
  <c r="AG509" i="6" s="1"/>
  <c r="AF508" i="6"/>
  <c r="AG508" i="6" s="1"/>
  <c r="AE508" i="6"/>
  <c r="AF507" i="6"/>
  <c r="AG507" i="6" s="1"/>
  <c r="AF506" i="6"/>
  <c r="AG506" i="6" s="1"/>
  <c r="AF505" i="6"/>
  <c r="AG505" i="6" s="1"/>
  <c r="AE505" i="6"/>
  <c r="AF504" i="6"/>
  <c r="AG504" i="6" s="1"/>
  <c r="AE504" i="6"/>
  <c r="AF503" i="6"/>
  <c r="AG503" i="6" s="1"/>
  <c r="AE503" i="6"/>
  <c r="AF502" i="6"/>
  <c r="AG502" i="6" s="1"/>
  <c r="AE502" i="6"/>
  <c r="AF501" i="6"/>
  <c r="AG501" i="6" s="1"/>
  <c r="AE501" i="6"/>
  <c r="AF500" i="6"/>
  <c r="AG500" i="6" s="1"/>
  <c r="AE500" i="6"/>
  <c r="AF499" i="6"/>
  <c r="AG499" i="6" s="1"/>
  <c r="AE499" i="6"/>
  <c r="AF498" i="6"/>
  <c r="AG498" i="6" s="1"/>
  <c r="AF497" i="6"/>
  <c r="AG497" i="6" s="1"/>
  <c r="AE497" i="6"/>
  <c r="AF496" i="6"/>
  <c r="AG496" i="6" s="1"/>
  <c r="AE496" i="6"/>
  <c r="AF495" i="6"/>
  <c r="AG495" i="6" s="1"/>
  <c r="AF494" i="6"/>
  <c r="AG494" i="6" s="1"/>
  <c r="AE494" i="6"/>
  <c r="AF493" i="6"/>
  <c r="AG493" i="6" s="1"/>
  <c r="AF492" i="6"/>
  <c r="AG492" i="6" s="1"/>
  <c r="AF491" i="6"/>
  <c r="AG491" i="6" s="1"/>
  <c r="AE491" i="6"/>
  <c r="AF490" i="6"/>
  <c r="AG490" i="6" s="1"/>
  <c r="AE490" i="6"/>
  <c r="AF489" i="6"/>
  <c r="AG489" i="6" s="1"/>
  <c r="AE489" i="6"/>
  <c r="AF488" i="6"/>
  <c r="AG488" i="6" s="1"/>
  <c r="AE488" i="6"/>
  <c r="AF487" i="6"/>
  <c r="AG487" i="6" s="1"/>
  <c r="AE487" i="6"/>
  <c r="AF486" i="6"/>
  <c r="AG486" i="6" s="1"/>
  <c r="AF485" i="6"/>
  <c r="AG485" i="6" s="1"/>
  <c r="AE485" i="6"/>
  <c r="AF484" i="6"/>
  <c r="AG484" i="6" s="1"/>
  <c r="AE484" i="6"/>
  <c r="AF483" i="6"/>
  <c r="AG483" i="6" s="1"/>
  <c r="AE483" i="6"/>
  <c r="AF482" i="6"/>
  <c r="AG482" i="6" s="1"/>
  <c r="AE482" i="6"/>
  <c r="AF481" i="6"/>
  <c r="AG481" i="6" s="1"/>
  <c r="AE481" i="6"/>
  <c r="AF480" i="6"/>
  <c r="AG480" i="6" s="1"/>
  <c r="AF479" i="6"/>
  <c r="AG479" i="6" s="1"/>
  <c r="AE479" i="6"/>
  <c r="AF478" i="6"/>
  <c r="AG478" i="6" s="1"/>
  <c r="AE478" i="6"/>
  <c r="AF477" i="6"/>
  <c r="AG477" i="6" s="1"/>
  <c r="AF476" i="6"/>
  <c r="AG476" i="6" s="1"/>
  <c r="AE476" i="6"/>
  <c r="AF475" i="6"/>
  <c r="AG475" i="6" s="1"/>
  <c r="AE475" i="6"/>
  <c r="AF474" i="6"/>
  <c r="AG474" i="6" s="1"/>
  <c r="AE474" i="6"/>
  <c r="AF473" i="6"/>
  <c r="AG473" i="6" s="1"/>
  <c r="AE473" i="6"/>
  <c r="AF472" i="6"/>
  <c r="AG472" i="6" s="1"/>
  <c r="AE472" i="6"/>
  <c r="AF471" i="6"/>
  <c r="AG471" i="6" s="1"/>
  <c r="AF470" i="6"/>
  <c r="AG470" i="6" s="1"/>
  <c r="AE470" i="6"/>
  <c r="AF469" i="6"/>
  <c r="AG469" i="6" s="1"/>
  <c r="AF468" i="6"/>
  <c r="AG468" i="6" s="1"/>
  <c r="AF467" i="6"/>
  <c r="AG467" i="6" s="1"/>
  <c r="AF466" i="6"/>
  <c r="AG466" i="6" s="1"/>
  <c r="AE466" i="6"/>
  <c r="AF465" i="6"/>
  <c r="AG465" i="6" s="1"/>
  <c r="AE465" i="6"/>
  <c r="AF464" i="6"/>
  <c r="AG464" i="6" s="1"/>
  <c r="AE464" i="6"/>
  <c r="AF463" i="6"/>
  <c r="AG463" i="6" s="1"/>
  <c r="AE463" i="6"/>
  <c r="AF462" i="6"/>
  <c r="AG462" i="6" s="1"/>
  <c r="AE462" i="6"/>
  <c r="AF461" i="6"/>
  <c r="AG461" i="6" s="1"/>
  <c r="AE461" i="6"/>
  <c r="AF460" i="6"/>
  <c r="AG460" i="6" s="1"/>
  <c r="AE460" i="6"/>
  <c r="AF459" i="6"/>
  <c r="AG459" i="6" s="1"/>
  <c r="AE459" i="6"/>
  <c r="AF458" i="6"/>
  <c r="AG458" i="6" s="1"/>
  <c r="AE458" i="6"/>
  <c r="AF457" i="6"/>
  <c r="AG457" i="6" s="1"/>
  <c r="AE457" i="6"/>
  <c r="AF456" i="6"/>
  <c r="AG456" i="6" s="1"/>
  <c r="AE456" i="6"/>
  <c r="AF455" i="6"/>
  <c r="AG455" i="6" s="1"/>
  <c r="AE455" i="6"/>
  <c r="AF454" i="6"/>
  <c r="AG454" i="6" s="1"/>
  <c r="AE454" i="6"/>
  <c r="AF453" i="6"/>
  <c r="AG453" i="6" s="1"/>
  <c r="AE453" i="6"/>
  <c r="AF452" i="6"/>
  <c r="AG452" i="6" s="1"/>
  <c r="AE452" i="6"/>
  <c r="AF451" i="6"/>
  <c r="AG451" i="6" s="1"/>
  <c r="AE451" i="6"/>
  <c r="AF450" i="6"/>
  <c r="AG450" i="6" s="1"/>
  <c r="AF449" i="6"/>
  <c r="AG449" i="6" s="1"/>
  <c r="AE449" i="6"/>
  <c r="AF448" i="6"/>
  <c r="AG448" i="6" s="1"/>
  <c r="AE448" i="6"/>
  <c r="AF447" i="6"/>
  <c r="AG447" i="6" s="1"/>
  <c r="AE447" i="6"/>
  <c r="AF446" i="6"/>
  <c r="AG446" i="6" s="1"/>
  <c r="AE446" i="6"/>
  <c r="AF445" i="6"/>
  <c r="AG445" i="6" s="1"/>
  <c r="AE445" i="6"/>
  <c r="AF444" i="6"/>
  <c r="AG444" i="6" s="1"/>
  <c r="AE444" i="6"/>
  <c r="AF443" i="6"/>
  <c r="AG443" i="6" s="1"/>
  <c r="AE443" i="6"/>
  <c r="AF442" i="6"/>
  <c r="AG442" i="6" s="1"/>
  <c r="AE442" i="6"/>
  <c r="AF441" i="6"/>
  <c r="AG441" i="6" s="1"/>
  <c r="AE441" i="6"/>
  <c r="AF440" i="6"/>
  <c r="AG440" i="6" s="1"/>
  <c r="AE440" i="6"/>
  <c r="AF439" i="6"/>
  <c r="AG439" i="6" s="1"/>
  <c r="AE439" i="6"/>
  <c r="AF438" i="6"/>
  <c r="AG438" i="6" s="1"/>
  <c r="AE438" i="6"/>
  <c r="AF437" i="6"/>
  <c r="AG437" i="6" s="1"/>
  <c r="AE437" i="6"/>
  <c r="AF436" i="6"/>
  <c r="AG436" i="6" s="1"/>
  <c r="AF435" i="6"/>
  <c r="AG435" i="6" s="1"/>
  <c r="AF434" i="6"/>
  <c r="AG434" i="6" s="1"/>
  <c r="AF433" i="6"/>
  <c r="AG433" i="6" s="1"/>
  <c r="AE433" i="6"/>
  <c r="AF432" i="6"/>
  <c r="AG432" i="6" s="1"/>
  <c r="AE432" i="6"/>
  <c r="AF431" i="6"/>
  <c r="AG431" i="6" s="1"/>
  <c r="AE431" i="6"/>
  <c r="AF430" i="6"/>
  <c r="AG430" i="6" s="1"/>
  <c r="AE430" i="6"/>
  <c r="AF429" i="6"/>
  <c r="AG429" i="6" s="1"/>
  <c r="AE429" i="6"/>
  <c r="AF428" i="6"/>
  <c r="AG428" i="6" s="1"/>
  <c r="AE428" i="6"/>
  <c r="AF427" i="6"/>
  <c r="AG427" i="6" s="1"/>
  <c r="AE427" i="6"/>
  <c r="AF426" i="6"/>
  <c r="AG426" i="6" s="1"/>
  <c r="AE426" i="6"/>
  <c r="AF425" i="6"/>
  <c r="AG425" i="6" s="1"/>
  <c r="AE425" i="6"/>
  <c r="AF424" i="6"/>
  <c r="AG424" i="6" s="1"/>
  <c r="AE424" i="6"/>
  <c r="AF423" i="6"/>
  <c r="AG423" i="6" s="1"/>
  <c r="AF422" i="6"/>
  <c r="AG422" i="6" s="1"/>
  <c r="AE422" i="6"/>
  <c r="AF421" i="6"/>
  <c r="AG421" i="6" s="1"/>
  <c r="AE421" i="6"/>
  <c r="AF420" i="6"/>
  <c r="AG420" i="6" s="1"/>
  <c r="AE420" i="6"/>
  <c r="AF419" i="6"/>
  <c r="AG419" i="6" s="1"/>
  <c r="AF418" i="6"/>
  <c r="AG418" i="6" s="1"/>
  <c r="AF417" i="6"/>
  <c r="AG417" i="6" s="1"/>
  <c r="AF416" i="6"/>
  <c r="AG416" i="6" s="1"/>
  <c r="AE416" i="6"/>
  <c r="AF415" i="6"/>
  <c r="AG415" i="6" s="1"/>
  <c r="AF414" i="6"/>
  <c r="AG414" i="6" s="1"/>
  <c r="AE414" i="6"/>
  <c r="AF413" i="6"/>
  <c r="AG413" i="6" s="1"/>
  <c r="AE413" i="6"/>
  <c r="AF412" i="6"/>
  <c r="AG412" i="6" s="1"/>
  <c r="AE412" i="6"/>
  <c r="AF411" i="6"/>
  <c r="AG411" i="6" s="1"/>
  <c r="AE411" i="6"/>
  <c r="AF410" i="6"/>
  <c r="AG410" i="6" s="1"/>
  <c r="AE410" i="6"/>
  <c r="AF409" i="6"/>
  <c r="AG409" i="6" s="1"/>
  <c r="AE409" i="6"/>
  <c r="AF408" i="6"/>
  <c r="AG408" i="6" s="1"/>
  <c r="AE408" i="6"/>
  <c r="AF407" i="6"/>
  <c r="AG407" i="6" s="1"/>
  <c r="AE407" i="6"/>
  <c r="AF406" i="6"/>
  <c r="AG406" i="6" s="1"/>
  <c r="AE406" i="6"/>
  <c r="AF405" i="6"/>
  <c r="AG405" i="6" s="1"/>
  <c r="AE405" i="6"/>
  <c r="AF404" i="6"/>
  <c r="AG404" i="6" s="1"/>
  <c r="AE404" i="6"/>
  <c r="AF403" i="6"/>
  <c r="AG403" i="6" s="1"/>
  <c r="AE403" i="6"/>
  <c r="AF402" i="6"/>
  <c r="AG402" i="6" s="1"/>
  <c r="AE402" i="6"/>
  <c r="AF401" i="6"/>
  <c r="AG401" i="6" s="1"/>
  <c r="AE401" i="6"/>
  <c r="AF400" i="6"/>
  <c r="AG400" i="6" s="1"/>
  <c r="AE400" i="6"/>
  <c r="AF399" i="6"/>
  <c r="AG399" i="6" s="1"/>
  <c r="AF398" i="6"/>
  <c r="AG398" i="6" s="1"/>
  <c r="AE398" i="6"/>
  <c r="AF397" i="6"/>
  <c r="AG397" i="6" s="1"/>
  <c r="AE397" i="6"/>
  <c r="AF396" i="6"/>
  <c r="AG396" i="6" s="1"/>
  <c r="AE396" i="6"/>
  <c r="AF395" i="6"/>
  <c r="AG395" i="6" s="1"/>
  <c r="AE395" i="6"/>
  <c r="AF394" i="6"/>
  <c r="AG394" i="6" s="1"/>
  <c r="AF393" i="6"/>
  <c r="AG393" i="6" s="1"/>
  <c r="AE393" i="6"/>
  <c r="AF392" i="6"/>
  <c r="AG392" i="6" s="1"/>
  <c r="AE392" i="6"/>
  <c r="AF391" i="6"/>
  <c r="AG391" i="6" s="1"/>
  <c r="AF390" i="6"/>
  <c r="AG390" i="6" s="1"/>
  <c r="AF389" i="6"/>
  <c r="AG389" i="6" s="1"/>
  <c r="AF388" i="6"/>
  <c r="AG388" i="6" s="1"/>
  <c r="AF387" i="6"/>
  <c r="AG387" i="6" s="1"/>
  <c r="AE387" i="6"/>
  <c r="AF386" i="6"/>
  <c r="AG386" i="6" s="1"/>
  <c r="AE386" i="6"/>
  <c r="AF385" i="6"/>
  <c r="AG385" i="6" s="1"/>
  <c r="AE385" i="6"/>
  <c r="AF384" i="6"/>
  <c r="AG384" i="6" s="1"/>
  <c r="AF383" i="6"/>
  <c r="AG383" i="6" s="1"/>
  <c r="AE383" i="6"/>
  <c r="AF382" i="6"/>
  <c r="AG382" i="6" s="1"/>
  <c r="AE382" i="6"/>
  <c r="AF381" i="6"/>
  <c r="AG381" i="6" s="1"/>
  <c r="AE381" i="6"/>
  <c r="AF380" i="6"/>
  <c r="AG380" i="6" s="1"/>
  <c r="AE380" i="6"/>
  <c r="AF379" i="6"/>
  <c r="AG379" i="6" s="1"/>
  <c r="AF378" i="6"/>
  <c r="AG378" i="6" s="1"/>
  <c r="AE378" i="6"/>
  <c r="AF377" i="6"/>
  <c r="AG377" i="6" s="1"/>
  <c r="AF376" i="6"/>
  <c r="AG376" i="6" s="1"/>
  <c r="AE376" i="6"/>
  <c r="AF375" i="6"/>
  <c r="AG375" i="6" s="1"/>
  <c r="AE375" i="6"/>
  <c r="AF374" i="6"/>
  <c r="AG374" i="6" s="1"/>
  <c r="AF373" i="6"/>
  <c r="AG373" i="6" s="1"/>
  <c r="AE373" i="6"/>
  <c r="AF372" i="6"/>
  <c r="AG372" i="6" s="1"/>
  <c r="AE372" i="6"/>
  <c r="AF371" i="6"/>
  <c r="AG371" i="6" s="1"/>
  <c r="AE371" i="6"/>
  <c r="AF370" i="6"/>
  <c r="AG370" i="6" s="1"/>
  <c r="AF369" i="6"/>
  <c r="AG369" i="6" s="1"/>
  <c r="AF368" i="6"/>
  <c r="AG368" i="6" s="1"/>
  <c r="AF367" i="6"/>
  <c r="AG367" i="6" s="1"/>
  <c r="AE367" i="6"/>
  <c r="AF366" i="6"/>
  <c r="AG366" i="6" s="1"/>
  <c r="AE366" i="6"/>
  <c r="AF365" i="6"/>
  <c r="AG365" i="6" s="1"/>
  <c r="AE365" i="6"/>
  <c r="AF364" i="6"/>
  <c r="AG364" i="6" s="1"/>
  <c r="AE364" i="6"/>
  <c r="AF363" i="6"/>
  <c r="AG363" i="6" s="1"/>
  <c r="AE363" i="6"/>
  <c r="AF362" i="6"/>
  <c r="AG362" i="6" s="1"/>
  <c r="AF361" i="6"/>
  <c r="AG361" i="6" s="1"/>
  <c r="AF360" i="6"/>
  <c r="AG360" i="6" s="1"/>
  <c r="AE360" i="6"/>
  <c r="AF359" i="6"/>
  <c r="AG359" i="6" s="1"/>
  <c r="AE359" i="6"/>
  <c r="AF358" i="6"/>
  <c r="AG358" i="6" s="1"/>
  <c r="AE358" i="6"/>
  <c r="AF357" i="6"/>
  <c r="AG357" i="6" s="1"/>
  <c r="AE357" i="6"/>
  <c r="AF356" i="6"/>
  <c r="AG356" i="6" s="1"/>
  <c r="AE356" i="6"/>
  <c r="AF355" i="6"/>
  <c r="AG355" i="6" s="1"/>
  <c r="AE355" i="6"/>
  <c r="AF354" i="6"/>
  <c r="AG354" i="6" s="1"/>
  <c r="AE354" i="6"/>
  <c r="AF353" i="6"/>
  <c r="AG353" i="6" s="1"/>
  <c r="AE353" i="6"/>
  <c r="AF352" i="6"/>
  <c r="AG352" i="6" s="1"/>
  <c r="AE352" i="6"/>
  <c r="AF351" i="6"/>
  <c r="AG351" i="6" s="1"/>
  <c r="AE351" i="6"/>
  <c r="AF350" i="6"/>
  <c r="AG350" i="6" s="1"/>
  <c r="AE350" i="6"/>
  <c r="AF349" i="6"/>
  <c r="AG349" i="6" s="1"/>
  <c r="AE349" i="6"/>
  <c r="AF348" i="6"/>
  <c r="AG348" i="6" s="1"/>
  <c r="AE348" i="6"/>
  <c r="AF347" i="6"/>
  <c r="AG347" i="6" s="1"/>
  <c r="AE347" i="6"/>
  <c r="AF346" i="6"/>
  <c r="AG346" i="6" s="1"/>
  <c r="AE346" i="6"/>
  <c r="AF345" i="6"/>
  <c r="AG345" i="6" s="1"/>
  <c r="AE345" i="6"/>
  <c r="AF344" i="6"/>
  <c r="AG344" i="6" s="1"/>
  <c r="AE344" i="6"/>
  <c r="AF343" i="6"/>
  <c r="AG343" i="6" s="1"/>
  <c r="AE343" i="6"/>
  <c r="AF342" i="6"/>
  <c r="AG342" i="6" s="1"/>
  <c r="AF341" i="6"/>
  <c r="AG341" i="6" s="1"/>
  <c r="AE341" i="6"/>
  <c r="AF340" i="6"/>
  <c r="AG340" i="6" s="1"/>
  <c r="AE340" i="6"/>
  <c r="AF339" i="6"/>
  <c r="AG339" i="6" s="1"/>
  <c r="AF338" i="6"/>
  <c r="AG338" i="6" s="1"/>
  <c r="AF337" i="6"/>
  <c r="AG337" i="6" s="1"/>
  <c r="AE337" i="6"/>
  <c r="AF336" i="6"/>
  <c r="AG336" i="6" s="1"/>
  <c r="AE336" i="6"/>
  <c r="AF335" i="6"/>
  <c r="AG335" i="6" s="1"/>
  <c r="AF334" i="6"/>
  <c r="AG334" i="6" s="1"/>
  <c r="AE334" i="6"/>
  <c r="AF333" i="6"/>
  <c r="AG333" i="6" s="1"/>
  <c r="AE333" i="6"/>
  <c r="AF332" i="6"/>
  <c r="AG332" i="6" s="1"/>
  <c r="AE332" i="6"/>
  <c r="AF331" i="6"/>
  <c r="AG331" i="6" s="1"/>
  <c r="AE331" i="6"/>
  <c r="AF330" i="6"/>
  <c r="AG330" i="6" s="1"/>
  <c r="AE330" i="6"/>
  <c r="AF329" i="6"/>
  <c r="AG329" i="6" s="1"/>
  <c r="AE329" i="6"/>
  <c r="AF328" i="6"/>
  <c r="AG328" i="6" s="1"/>
  <c r="AE328" i="6"/>
  <c r="AF327" i="6"/>
  <c r="AG327" i="6" s="1"/>
  <c r="AE327" i="6"/>
  <c r="AF326" i="6"/>
  <c r="AG326" i="6" s="1"/>
  <c r="AE326" i="6"/>
  <c r="AF325" i="6"/>
  <c r="AG325" i="6" s="1"/>
  <c r="AF324" i="6"/>
  <c r="AG324" i="6" s="1"/>
  <c r="AF323" i="6"/>
  <c r="AG323" i="6" s="1"/>
  <c r="AF322" i="6"/>
  <c r="AG322" i="6" s="1"/>
  <c r="AE322" i="6"/>
  <c r="AF321" i="6"/>
  <c r="AG321" i="6" s="1"/>
  <c r="AF320" i="6"/>
  <c r="AG320" i="6" s="1"/>
  <c r="AE320" i="6"/>
  <c r="AF319" i="6"/>
  <c r="AG319" i="6" s="1"/>
  <c r="AE319" i="6"/>
  <c r="AF318" i="6"/>
  <c r="AG318" i="6" s="1"/>
  <c r="AF317" i="6"/>
  <c r="AG317" i="6" s="1"/>
  <c r="AE317" i="6"/>
  <c r="AF316" i="6"/>
  <c r="AG316" i="6" s="1"/>
  <c r="AE316" i="6"/>
  <c r="AF315" i="6"/>
  <c r="AG315" i="6" s="1"/>
  <c r="AE315" i="6"/>
  <c r="AF314" i="6"/>
  <c r="AG314" i="6" s="1"/>
  <c r="AE314" i="6"/>
  <c r="AF313" i="6"/>
  <c r="AG313" i="6" s="1"/>
  <c r="AE313" i="6"/>
  <c r="AF312" i="6"/>
  <c r="AG312" i="6" s="1"/>
  <c r="AE312" i="6"/>
  <c r="AF311" i="6"/>
  <c r="AG311" i="6" s="1"/>
  <c r="AE311" i="6"/>
  <c r="AF310" i="6"/>
  <c r="AG310" i="6" s="1"/>
  <c r="AE310" i="6"/>
  <c r="AF309" i="6"/>
  <c r="AG309" i="6" s="1"/>
  <c r="AE309" i="6"/>
  <c r="AF308" i="6"/>
  <c r="AG308" i="6" s="1"/>
  <c r="AE308" i="6"/>
  <c r="AF307" i="6"/>
  <c r="AG307" i="6" s="1"/>
  <c r="AE307" i="6"/>
  <c r="AF306" i="6"/>
  <c r="AG306" i="6" s="1"/>
  <c r="AE306" i="6"/>
  <c r="AF305" i="6"/>
  <c r="AG305" i="6" s="1"/>
  <c r="AE305" i="6"/>
  <c r="AF304" i="6"/>
  <c r="AG304" i="6" s="1"/>
  <c r="AF303" i="6"/>
  <c r="AG303" i="6" s="1"/>
  <c r="AE303" i="6"/>
  <c r="AF302" i="6"/>
  <c r="AG302" i="6" s="1"/>
  <c r="AE302" i="6"/>
  <c r="AF301" i="6"/>
  <c r="AG301" i="6" s="1"/>
  <c r="AE301" i="6"/>
  <c r="AF300" i="6"/>
  <c r="AG300" i="6" s="1"/>
  <c r="AE300" i="6"/>
  <c r="AF299" i="6"/>
  <c r="AG299" i="6" s="1"/>
  <c r="AE299" i="6"/>
  <c r="AF298" i="6"/>
  <c r="AG298" i="6" s="1"/>
  <c r="AE298" i="6"/>
  <c r="AF297" i="6"/>
  <c r="AG297" i="6" s="1"/>
  <c r="AE297" i="6"/>
  <c r="AF296" i="6"/>
  <c r="AG296" i="6" s="1"/>
  <c r="AE296" i="6"/>
  <c r="AF295" i="6"/>
  <c r="AG295" i="6" s="1"/>
  <c r="AE295" i="6"/>
  <c r="AF294" i="6"/>
  <c r="AG294" i="6" s="1"/>
  <c r="AE294" i="6"/>
  <c r="AF293" i="6"/>
  <c r="AG293" i="6" s="1"/>
  <c r="AE293" i="6"/>
  <c r="AF292" i="6"/>
  <c r="AG292" i="6" s="1"/>
  <c r="AE292" i="6"/>
  <c r="AF291" i="6"/>
  <c r="AG291" i="6" s="1"/>
  <c r="AE291" i="6"/>
  <c r="AF290" i="6"/>
  <c r="AG290" i="6" s="1"/>
  <c r="AE290" i="6"/>
  <c r="AF289" i="6"/>
  <c r="AG289" i="6" s="1"/>
  <c r="AE289" i="6"/>
  <c r="AF288" i="6"/>
  <c r="AG288" i="6" s="1"/>
  <c r="AE288" i="6"/>
  <c r="AF287" i="6"/>
  <c r="AG287" i="6" s="1"/>
  <c r="AE287" i="6"/>
  <c r="AF286" i="6"/>
  <c r="AG286" i="6" s="1"/>
  <c r="AE286" i="6"/>
  <c r="AF285" i="6"/>
  <c r="AG285" i="6" s="1"/>
  <c r="AE285" i="6"/>
  <c r="AF284" i="6"/>
  <c r="AG284" i="6" s="1"/>
  <c r="AE284" i="6"/>
  <c r="AF283" i="6"/>
  <c r="AG283" i="6" s="1"/>
  <c r="AE283" i="6"/>
  <c r="AF282" i="6"/>
  <c r="AG282" i="6" s="1"/>
  <c r="AE282" i="6"/>
  <c r="AF281" i="6"/>
  <c r="AG281" i="6" s="1"/>
  <c r="AE281" i="6"/>
  <c r="AF280" i="6"/>
  <c r="AG280" i="6" s="1"/>
  <c r="AF279" i="6"/>
  <c r="AG279" i="6" s="1"/>
  <c r="AE279" i="6"/>
  <c r="AF278" i="6"/>
  <c r="AG278" i="6" s="1"/>
  <c r="AE278" i="6"/>
  <c r="AF277" i="6"/>
  <c r="AG277" i="6" s="1"/>
  <c r="AE277" i="6"/>
  <c r="AF276" i="6"/>
  <c r="AG276" i="6" s="1"/>
  <c r="AE276" i="6"/>
  <c r="AF275" i="6"/>
  <c r="AG275" i="6" s="1"/>
  <c r="AE275" i="6"/>
  <c r="AF274" i="6"/>
  <c r="AG274" i="6" s="1"/>
  <c r="AF273" i="6"/>
  <c r="AG273" i="6" s="1"/>
  <c r="AE273" i="6"/>
  <c r="AF272" i="6"/>
  <c r="AG272" i="6" s="1"/>
  <c r="AE272" i="6"/>
  <c r="AF271" i="6"/>
  <c r="AG271" i="6" s="1"/>
  <c r="AE271" i="6"/>
  <c r="AF270" i="6"/>
  <c r="AG270" i="6" s="1"/>
  <c r="AE270" i="6"/>
  <c r="AF269" i="6"/>
  <c r="AG269" i="6" s="1"/>
  <c r="AE269" i="6"/>
  <c r="AF268" i="6"/>
  <c r="AG268" i="6" s="1"/>
  <c r="AE268" i="6"/>
  <c r="AF267" i="6"/>
  <c r="AG267" i="6" s="1"/>
  <c r="AF266" i="6"/>
  <c r="AG266" i="6" s="1"/>
  <c r="AE266" i="6"/>
  <c r="AF265" i="6"/>
  <c r="AG265" i="6" s="1"/>
  <c r="AE265" i="6"/>
  <c r="AF264" i="6"/>
  <c r="AG264" i="6" s="1"/>
  <c r="AF263" i="6"/>
  <c r="AG263" i="6" s="1"/>
  <c r="AE263" i="6"/>
  <c r="AF262" i="6"/>
  <c r="AG262" i="6" s="1"/>
  <c r="AE262" i="6"/>
  <c r="AF261" i="6"/>
  <c r="AG261" i="6" s="1"/>
  <c r="AE261" i="6"/>
  <c r="AF260" i="6"/>
  <c r="AG260" i="6" s="1"/>
  <c r="AF259" i="6"/>
  <c r="AG259" i="6" s="1"/>
  <c r="AE259" i="6"/>
  <c r="AF258" i="6"/>
  <c r="AG258" i="6" s="1"/>
  <c r="AF257" i="6"/>
  <c r="AG257" i="6" s="1"/>
  <c r="AF256" i="6"/>
  <c r="AG256" i="6" s="1"/>
  <c r="AE256" i="6"/>
  <c r="AF255" i="6"/>
  <c r="AG255" i="6" s="1"/>
  <c r="AE255" i="6"/>
  <c r="AF254" i="6"/>
  <c r="AG254" i="6" s="1"/>
  <c r="AE254" i="6"/>
  <c r="AF253" i="6"/>
  <c r="AG253" i="6" s="1"/>
  <c r="AE253" i="6"/>
  <c r="AF252" i="6"/>
  <c r="AG252" i="6" s="1"/>
  <c r="AF251" i="6"/>
  <c r="AG251" i="6" s="1"/>
  <c r="AE251" i="6"/>
  <c r="AF250" i="6"/>
  <c r="AG250" i="6" s="1"/>
  <c r="AE250" i="6"/>
  <c r="AF249" i="6"/>
  <c r="AG249" i="6" s="1"/>
  <c r="AE249" i="6"/>
  <c r="AF248" i="6"/>
  <c r="AG248" i="6" s="1"/>
  <c r="AE248" i="6"/>
  <c r="AF247" i="6"/>
  <c r="AG247" i="6" s="1"/>
  <c r="AE247" i="6"/>
  <c r="AF246" i="6"/>
  <c r="AG246" i="6" s="1"/>
  <c r="AE246" i="6"/>
  <c r="AF245" i="6"/>
  <c r="AG245" i="6" s="1"/>
  <c r="AE245" i="6"/>
  <c r="AF244" i="6"/>
  <c r="AG244" i="6" s="1"/>
  <c r="AE244" i="6"/>
  <c r="AF243" i="6"/>
  <c r="AG243" i="6" s="1"/>
  <c r="AE243" i="6"/>
  <c r="AF242" i="6"/>
  <c r="AG242" i="6" s="1"/>
  <c r="AF241" i="6"/>
  <c r="AG241" i="6" s="1"/>
  <c r="AF240" i="6"/>
  <c r="AG240" i="6" s="1"/>
  <c r="AE240" i="6"/>
  <c r="AF239" i="6"/>
  <c r="AG239" i="6" s="1"/>
  <c r="AE239" i="6"/>
  <c r="AF238" i="6"/>
  <c r="AG238" i="6" s="1"/>
  <c r="AE238" i="6"/>
  <c r="AF237" i="6"/>
  <c r="AG237" i="6" s="1"/>
  <c r="AE237" i="6"/>
  <c r="AF236" i="6"/>
  <c r="AG236" i="6" s="1"/>
  <c r="AE236" i="6"/>
  <c r="AF235" i="6"/>
  <c r="AG235" i="6" s="1"/>
  <c r="AF234" i="6"/>
  <c r="AG234" i="6" s="1"/>
  <c r="AF233" i="6"/>
  <c r="AG233" i="6" s="1"/>
  <c r="AE233" i="6"/>
  <c r="AF232" i="6"/>
  <c r="AG232" i="6" s="1"/>
  <c r="AE232" i="6"/>
  <c r="AF231" i="6"/>
  <c r="AG231" i="6" s="1"/>
  <c r="AF230" i="6"/>
  <c r="AG230" i="6" s="1"/>
  <c r="AE230" i="6"/>
  <c r="AF229" i="6"/>
  <c r="AG229" i="6" s="1"/>
  <c r="AE229" i="6"/>
  <c r="AF228" i="6"/>
  <c r="AG228" i="6" s="1"/>
  <c r="AF227" i="6"/>
  <c r="AG227" i="6" s="1"/>
  <c r="AE227" i="6"/>
  <c r="AF226" i="6"/>
  <c r="AG226" i="6" s="1"/>
  <c r="AF225" i="6"/>
  <c r="AG225" i="6" s="1"/>
  <c r="AE225" i="6"/>
  <c r="AF224" i="6"/>
  <c r="AG224" i="6" s="1"/>
  <c r="AE224" i="6"/>
  <c r="AF223" i="6"/>
  <c r="AG223" i="6" s="1"/>
  <c r="AE223" i="6"/>
  <c r="AF222" i="6"/>
  <c r="AG222" i="6" s="1"/>
  <c r="AE222" i="6"/>
  <c r="AF221" i="6"/>
  <c r="AG221" i="6" s="1"/>
  <c r="AF220" i="6"/>
  <c r="AG220" i="6" s="1"/>
  <c r="AE220" i="6"/>
  <c r="AF219" i="6"/>
  <c r="AG219" i="6" s="1"/>
  <c r="AE219" i="6"/>
  <c r="AF218" i="6"/>
  <c r="AG218" i="6" s="1"/>
  <c r="AF217" i="6"/>
  <c r="AG217" i="6" s="1"/>
  <c r="AE217" i="6"/>
  <c r="AF216" i="6"/>
  <c r="AG216" i="6" s="1"/>
  <c r="AE216" i="6"/>
  <c r="AF215" i="6"/>
  <c r="AG215" i="6" s="1"/>
  <c r="AE215" i="6"/>
  <c r="AF214" i="6"/>
  <c r="AG214" i="6" s="1"/>
  <c r="AE214" i="6"/>
  <c r="AF213" i="6"/>
  <c r="AG213" i="6" s="1"/>
  <c r="AE213" i="6"/>
  <c r="AF212" i="6"/>
  <c r="AG212" i="6" s="1"/>
  <c r="AE212" i="6"/>
  <c r="AF211" i="6"/>
  <c r="AG211" i="6" s="1"/>
  <c r="AF210" i="6"/>
  <c r="AG210" i="6" s="1"/>
  <c r="AF209" i="6"/>
  <c r="AG209" i="6" s="1"/>
  <c r="AF208" i="6"/>
  <c r="AG208" i="6" s="1"/>
  <c r="AE208" i="6"/>
  <c r="AF207" i="6"/>
  <c r="AG207" i="6" s="1"/>
  <c r="AE207" i="6"/>
  <c r="AF206" i="6"/>
  <c r="AG206" i="6" s="1"/>
  <c r="AE206" i="6"/>
  <c r="AF205" i="6"/>
  <c r="AG205" i="6" s="1"/>
  <c r="AE205" i="6"/>
  <c r="AF204" i="6"/>
  <c r="AG204" i="6" s="1"/>
  <c r="AE204" i="6"/>
  <c r="AF203" i="6"/>
  <c r="AG203" i="6" s="1"/>
  <c r="AE203" i="6"/>
  <c r="AF202" i="6"/>
  <c r="AG202" i="6" s="1"/>
  <c r="AE202" i="6"/>
  <c r="AF201" i="6"/>
  <c r="AG201" i="6" s="1"/>
  <c r="AF200" i="6"/>
  <c r="AG200" i="6" s="1"/>
  <c r="AE200" i="6"/>
  <c r="AF199" i="6"/>
  <c r="AG199" i="6" s="1"/>
  <c r="AE199" i="6"/>
  <c r="AF198" i="6"/>
  <c r="AG198" i="6" s="1"/>
  <c r="AE198" i="6"/>
  <c r="AF197" i="6"/>
  <c r="AG197" i="6" s="1"/>
  <c r="AF196" i="6"/>
  <c r="AG196" i="6" s="1"/>
  <c r="AE196" i="6"/>
  <c r="AF195" i="6"/>
  <c r="AG195" i="6" s="1"/>
  <c r="AE195" i="6"/>
  <c r="AF194" i="6"/>
  <c r="AG194" i="6" s="1"/>
  <c r="AE194" i="6"/>
  <c r="AF193" i="6"/>
  <c r="AG193" i="6" s="1"/>
  <c r="AE193" i="6"/>
  <c r="AF192" i="6"/>
  <c r="AG192" i="6" s="1"/>
  <c r="AE192" i="6"/>
  <c r="AF191" i="6"/>
  <c r="AG191" i="6" s="1"/>
  <c r="AE191" i="6"/>
  <c r="AF190" i="6"/>
  <c r="AG190" i="6" s="1"/>
  <c r="AE190" i="6"/>
  <c r="AF189" i="6"/>
  <c r="AG189" i="6" s="1"/>
  <c r="AE189" i="6"/>
  <c r="AF188" i="6"/>
  <c r="AG188" i="6" s="1"/>
  <c r="AE188" i="6"/>
  <c r="AF187" i="6"/>
  <c r="AG187" i="6" s="1"/>
  <c r="AE187" i="6"/>
  <c r="AF186" i="6"/>
  <c r="AG186" i="6" s="1"/>
  <c r="AE186" i="6"/>
  <c r="AF185" i="6"/>
  <c r="AG185" i="6" s="1"/>
  <c r="AE185" i="6"/>
  <c r="AF184" i="6"/>
  <c r="AG184" i="6" s="1"/>
  <c r="AE184" i="6"/>
  <c r="AF183" i="6"/>
  <c r="AG183" i="6" s="1"/>
  <c r="AF182" i="6"/>
  <c r="AG182" i="6" s="1"/>
  <c r="AF181" i="6"/>
  <c r="AG181" i="6" s="1"/>
  <c r="AE181" i="6"/>
  <c r="AF180" i="6"/>
  <c r="AG180" i="6" s="1"/>
  <c r="AE180" i="6"/>
  <c r="AF179" i="6"/>
  <c r="AG179" i="6" s="1"/>
  <c r="AF178" i="6"/>
  <c r="AG178" i="6" s="1"/>
  <c r="AE178" i="6"/>
  <c r="AF177" i="6"/>
  <c r="AG177" i="6" s="1"/>
  <c r="AE177" i="6"/>
  <c r="AF176" i="6"/>
  <c r="AG176" i="6" s="1"/>
  <c r="AE176" i="6"/>
  <c r="AF175" i="6"/>
  <c r="AG175" i="6" s="1"/>
  <c r="AE175" i="6"/>
  <c r="AF174" i="6"/>
  <c r="AG174" i="6" s="1"/>
  <c r="AE174" i="6"/>
  <c r="AF173" i="6"/>
  <c r="AG173" i="6" s="1"/>
  <c r="AE173" i="6"/>
  <c r="AF172" i="6"/>
  <c r="AG172" i="6" s="1"/>
  <c r="AF171" i="6"/>
  <c r="AG171" i="6" s="1"/>
  <c r="AE171" i="6"/>
  <c r="AF170" i="6"/>
  <c r="AG170" i="6" s="1"/>
  <c r="AE170" i="6"/>
  <c r="AF169" i="6"/>
  <c r="AG169" i="6" s="1"/>
  <c r="AE169" i="6"/>
  <c r="AF168" i="6"/>
  <c r="AG168" i="6" s="1"/>
  <c r="AE168" i="6"/>
  <c r="AF167" i="6"/>
  <c r="AG167" i="6" s="1"/>
  <c r="AE167" i="6"/>
  <c r="AF166" i="6"/>
  <c r="AG166" i="6" s="1"/>
  <c r="AF165" i="6"/>
  <c r="AG165" i="6" s="1"/>
  <c r="AE165" i="6"/>
  <c r="AF164" i="6"/>
  <c r="AG164" i="6" s="1"/>
  <c r="AE164" i="6"/>
  <c r="AF163" i="6"/>
  <c r="AG163" i="6" s="1"/>
  <c r="AF162" i="6"/>
  <c r="AG162" i="6" s="1"/>
  <c r="AE162" i="6"/>
  <c r="AF161" i="6"/>
  <c r="AG161" i="6" s="1"/>
  <c r="AE161" i="6"/>
  <c r="AF160" i="6"/>
  <c r="AG160" i="6" s="1"/>
  <c r="AE160" i="6"/>
  <c r="AF159" i="6"/>
  <c r="AG159" i="6" s="1"/>
  <c r="AE159" i="6"/>
  <c r="AF158" i="6"/>
  <c r="AG158" i="6" s="1"/>
  <c r="AF157" i="6"/>
  <c r="AG157" i="6" s="1"/>
  <c r="AE157" i="6"/>
  <c r="AF156" i="6"/>
  <c r="AG156" i="6" s="1"/>
  <c r="AE156" i="6"/>
  <c r="AF155" i="6"/>
  <c r="AG155" i="6" s="1"/>
  <c r="AE155" i="6"/>
  <c r="AF154" i="6"/>
  <c r="AG154" i="6" s="1"/>
  <c r="AE154" i="6"/>
  <c r="AF153" i="6"/>
  <c r="AG153" i="6" s="1"/>
  <c r="AE153" i="6"/>
  <c r="AF152" i="6"/>
  <c r="AG152" i="6" s="1"/>
  <c r="AE152" i="6"/>
  <c r="AF151" i="6"/>
  <c r="AG151" i="6" s="1"/>
  <c r="AE151" i="6"/>
  <c r="AF150" i="6"/>
  <c r="AG150" i="6" s="1"/>
  <c r="AE150" i="6"/>
  <c r="AF149" i="6"/>
  <c r="AG149" i="6" s="1"/>
  <c r="AE149" i="6"/>
  <c r="AF148" i="6"/>
  <c r="AG148" i="6" s="1"/>
  <c r="AE148" i="6"/>
  <c r="AF147" i="6"/>
  <c r="AG147" i="6" s="1"/>
  <c r="AE147" i="6"/>
  <c r="AF146" i="6"/>
  <c r="AG146" i="6" s="1"/>
  <c r="AE146" i="6"/>
  <c r="AF145" i="6"/>
  <c r="AG145" i="6" s="1"/>
  <c r="AE145" i="6"/>
  <c r="AF144" i="6"/>
  <c r="AG144" i="6" s="1"/>
  <c r="AE144" i="6"/>
  <c r="AF143" i="6"/>
  <c r="AG143" i="6" s="1"/>
  <c r="AE143" i="6"/>
  <c r="AF142" i="6"/>
  <c r="AG142" i="6" s="1"/>
  <c r="AF141" i="6"/>
  <c r="AG141" i="6" s="1"/>
  <c r="AE141" i="6"/>
  <c r="AF140" i="6"/>
  <c r="AG140" i="6" s="1"/>
  <c r="AE140" i="6"/>
  <c r="AF139" i="6"/>
  <c r="AG139" i="6" s="1"/>
  <c r="AE139" i="6"/>
  <c r="AF138" i="6"/>
  <c r="AG138" i="6" s="1"/>
  <c r="AE138" i="6"/>
  <c r="AF137" i="6"/>
  <c r="AG137" i="6" s="1"/>
  <c r="AE137" i="6"/>
  <c r="AF136" i="6"/>
  <c r="AG136" i="6" s="1"/>
  <c r="AE136" i="6"/>
  <c r="AF135" i="6"/>
  <c r="AG135" i="6" s="1"/>
  <c r="AE135" i="6"/>
  <c r="AF134" i="6"/>
  <c r="AG134" i="6" s="1"/>
  <c r="AE134" i="6"/>
  <c r="AF133" i="6"/>
  <c r="AG133" i="6" s="1"/>
  <c r="AE133" i="6"/>
  <c r="AF132" i="6"/>
  <c r="AG132" i="6" s="1"/>
  <c r="AE132" i="6"/>
  <c r="AF131" i="6"/>
  <c r="AG131" i="6" s="1"/>
  <c r="AE131" i="6"/>
  <c r="AF130" i="6"/>
  <c r="AG130" i="6" s="1"/>
  <c r="AE130" i="6"/>
  <c r="AF129" i="6"/>
  <c r="AG129" i="6" s="1"/>
  <c r="AF128" i="6"/>
  <c r="AG128" i="6" s="1"/>
  <c r="AF127" i="6"/>
  <c r="AG127" i="6" s="1"/>
  <c r="AF126" i="6"/>
  <c r="AG126" i="6" s="1"/>
  <c r="AF125" i="6"/>
  <c r="AG125" i="6" s="1"/>
  <c r="AE125" i="6"/>
  <c r="AF124" i="6"/>
  <c r="AG124" i="6" s="1"/>
  <c r="AE124" i="6"/>
  <c r="AF123" i="6"/>
  <c r="AG123" i="6" s="1"/>
  <c r="AE123" i="6"/>
  <c r="AF122" i="6"/>
  <c r="AG122" i="6" s="1"/>
  <c r="AE122" i="6"/>
  <c r="AF121" i="6"/>
  <c r="AG121" i="6" s="1"/>
  <c r="AE121" i="6"/>
  <c r="AF120" i="6"/>
  <c r="AG120" i="6" s="1"/>
  <c r="AE120" i="6"/>
  <c r="AF119" i="6"/>
  <c r="AG119" i="6" s="1"/>
  <c r="AE119" i="6"/>
  <c r="AF118" i="6"/>
  <c r="AG118" i="6" s="1"/>
  <c r="AE118" i="6"/>
  <c r="AF117" i="6"/>
  <c r="AG117" i="6" s="1"/>
  <c r="AE117" i="6"/>
  <c r="AF116" i="6"/>
  <c r="AG116" i="6" s="1"/>
  <c r="AE116" i="6"/>
  <c r="AF115" i="6"/>
  <c r="AG115" i="6" s="1"/>
  <c r="AE115" i="6"/>
  <c r="AF114" i="6"/>
  <c r="AG114" i="6" s="1"/>
  <c r="AF113" i="6"/>
  <c r="AG113" i="6" s="1"/>
  <c r="AE113" i="6"/>
  <c r="AF112" i="6"/>
  <c r="AG112" i="6" s="1"/>
  <c r="AE112" i="6"/>
  <c r="AF111" i="6"/>
  <c r="AG111" i="6" s="1"/>
  <c r="AE111" i="6"/>
  <c r="AF110" i="6"/>
  <c r="AG110" i="6" s="1"/>
  <c r="AE110" i="6"/>
  <c r="AF109" i="6"/>
  <c r="AG109" i="6" s="1"/>
  <c r="AF108" i="6"/>
  <c r="AG108" i="6" s="1"/>
  <c r="AE108" i="6"/>
  <c r="AF107" i="6"/>
  <c r="AG107" i="6" s="1"/>
  <c r="AE107" i="6"/>
  <c r="AF106" i="6"/>
  <c r="AG106" i="6" s="1"/>
  <c r="AF105" i="6"/>
  <c r="AG105" i="6" s="1"/>
  <c r="AE105" i="6"/>
  <c r="AF104" i="6"/>
  <c r="AG104" i="6" s="1"/>
  <c r="AE104" i="6"/>
  <c r="AF103" i="6"/>
  <c r="AG103" i="6" s="1"/>
  <c r="AE103" i="6"/>
  <c r="AF102" i="6"/>
  <c r="AG102" i="6" s="1"/>
  <c r="AE102" i="6"/>
  <c r="AF101" i="6"/>
  <c r="AG101" i="6" s="1"/>
  <c r="AE101" i="6"/>
  <c r="AF100" i="6"/>
  <c r="AG100" i="6" s="1"/>
  <c r="AE100" i="6"/>
  <c r="AF99" i="6"/>
  <c r="AG99" i="6" s="1"/>
  <c r="AE99" i="6"/>
  <c r="AF98" i="6"/>
  <c r="AG98" i="6" s="1"/>
  <c r="AE98" i="6"/>
  <c r="AF97" i="6"/>
  <c r="AG97" i="6" s="1"/>
  <c r="AE97" i="6"/>
  <c r="AF96" i="6"/>
  <c r="AG96" i="6" s="1"/>
  <c r="AE96" i="6"/>
  <c r="AF95" i="6"/>
  <c r="AG95" i="6" s="1"/>
  <c r="AF94" i="6"/>
  <c r="AG94" i="6" s="1"/>
  <c r="AF93" i="6"/>
  <c r="AG93" i="6" s="1"/>
  <c r="AE93" i="6"/>
  <c r="AF92" i="6"/>
  <c r="AG92" i="6" s="1"/>
  <c r="AF91" i="6"/>
  <c r="AG91" i="6" s="1"/>
  <c r="AE91" i="6"/>
  <c r="AF90" i="6"/>
  <c r="AG90" i="6" s="1"/>
  <c r="AE90" i="6"/>
  <c r="AF89" i="6"/>
  <c r="AG89" i="6" s="1"/>
  <c r="AE89" i="6"/>
  <c r="AF88" i="6"/>
  <c r="AG88" i="6" s="1"/>
  <c r="AE88" i="6"/>
  <c r="AF87" i="6"/>
  <c r="AG87" i="6" s="1"/>
  <c r="AF86" i="6"/>
  <c r="AG86" i="6" s="1"/>
  <c r="AF85" i="6"/>
  <c r="AG85" i="6" s="1"/>
  <c r="AE85" i="6"/>
  <c r="AF84" i="6"/>
  <c r="AG84" i="6" s="1"/>
  <c r="AE84" i="6"/>
  <c r="AF83" i="6"/>
  <c r="AG83" i="6" s="1"/>
  <c r="AE83" i="6"/>
  <c r="AF82" i="6"/>
  <c r="AG82" i="6" s="1"/>
  <c r="AE82" i="6"/>
  <c r="AF81" i="6"/>
  <c r="AG81" i="6" s="1"/>
  <c r="AE81" i="6"/>
  <c r="AF80" i="6"/>
  <c r="AG80" i="6" s="1"/>
  <c r="AE80" i="6"/>
  <c r="AF79" i="6"/>
  <c r="AG79" i="6" s="1"/>
  <c r="AE79" i="6"/>
  <c r="AF78" i="6"/>
  <c r="AG78" i="6" s="1"/>
  <c r="AE78" i="6"/>
  <c r="AF77" i="6"/>
  <c r="AG77" i="6" s="1"/>
  <c r="AF76" i="6"/>
  <c r="AG76" i="6" s="1"/>
  <c r="AE76" i="6"/>
  <c r="AF75" i="6"/>
  <c r="AG75" i="6" s="1"/>
  <c r="AF74" i="6"/>
  <c r="AG74" i="6" s="1"/>
  <c r="AF73" i="6"/>
  <c r="AG73" i="6" s="1"/>
  <c r="AE73" i="6"/>
  <c r="AF72" i="6"/>
  <c r="AG72" i="6" s="1"/>
  <c r="AE72" i="6"/>
  <c r="AF71" i="6"/>
  <c r="AG71" i="6" s="1"/>
  <c r="AE71" i="6"/>
  <c r="AF70" i="6"/>
  <c r="AG70" i="6" s="1"/>
  <c r="AE70" i="6"/>
  <c r="AF69" i="6"/>
  <c r="AG69" i="6" s="1"/>
  <c r="AE69" i="6"/>
  <c r="AF68" i="6"/>
  <c r="AG68" i="6" s="1"/>
  <c r="AE68" i="6"/>
  <c r="AF67" i="6"/>
  <c r="AG67" i="6" s="1"/>
  <c r="AE67" i="6"/>
  <c r="AF66" i="6"/>
  <c r="AG66" i="6" s="1"/>
  <c r="AE66" i="6"/>
  <c r="AF65" i="6"/>
  <c r="AG65" i="6" s="1"/>
  <c r="AE65" i="6"/>
  <c r="AF64" i="6"/>
  <c r="AG64" i="6" s="1"/>
  <c r="AE64" i="6"/>
  <c r="AF63" i="6"/>
  <c r="AG63" i="6" s="1"/>
  <c r="AE63" i="6"/>
  <c r="AF62" i="6"/>
  <c r="AG62" i="6" s="1"/>
  <c r="AE62" i="6"/>
  <c r="AF61" i="6"/>
  <c r="AG61" i="6" s="1"/>
  <c r="AE61" i="6"/>
  <c r="AF60" i="6"/>
  <c r="AG60" i="6" s="1"/>
  <c r="AE60" i="6"/>
  <c r="AF59" i="6"/>
  <c r="AG59" i="6" s="1"/>
  <c r="AE59" i="6"/>
  <c r="AF58" i="6"/>
  <c r="AG58" i="6" s="1"/>
  <c r="AE58" i="6"/>
  <c r="AF57" i="6"/>
  <c r="AG57" i="6" s="1"/>
  <c r="AE57" i="6"/>
  <c r="AF56" i="6"/>
  <c r="AG56" i="6" s="1"/>
  <c r="AE56" i="6"/>
  <c r="AF55" i="6"/>
  <c r="AG55" i="6" s="1"/>
  <c r="AE55" i="6"/>
  <c r="AF54" i="6"/>
  <c r="AG54" i="6" s="1"/>
  <c r="AF53" i="6"/>
  <c r="AG53" i="6" s="1"/>
  <c r="AE53" i="6"/>
  <c r="AF52" i="6"/>
  <c r="AG52" i="6" s="1"/>
  <c r="AE52" i="6"/>
  <c r="AF51" i="6"/>
  <c r="AG51" i="6" s="1"/>
  <c r="AE51" i="6"/>
  <c r="AF50" i="6"/>
  <c r="AG50" i="6" s="1"/>
  <c r="AE50" i="6"/>
  <c r="AF49" i="6"/>
  <c r="AG49" i="6" s="1"/>
  <c r="AE49" i="6"/>
  <c r="AF48" i="6"/>
  <c r="AG48" i="6" s="1"/>
  <c r="AE48" i="6"/>
  <c r="AF47" i="6"/>
  <c r="AG47" i="6" s="1"/>
  <c r="AE47" i="6"/>
  <c r="AF46" i="6"/>
  <c r="AG46" i="6" s="1"/>
  <c r="AE46" i="6"/>
  <c r="AF45" i="6"/>
  <c r="AG45" i="6" s="1"/>
  <c r="AE45" i="6"/>
  <c r="AF44" i="6"/>
  <c r="AG44" i="6" s="1"/>
  <c r="AE44" i="6"/>
  <c r="AF43" i="6"/>
  <c r="AG43" i="6" s="1"/>
  <c r="AE43" i="6"/>
  <c r="AF42" i="6"/>
  <c r="AG42" i="6" s="1"/>
  <c r="AF41" i="6"/>
  <c r="AG41" i="6" s="1"/>
  <c r="AE41" i="6"/>
  <c r="AF40" i="6"/>
  <c r="AG40" i="6" s="1"/>
  <c r="AE40" i="6"/>
  <c r="AF39" i="6"/>
  <c r="AG39" i="6" s="1"/>
  <c r="AE39" i="6"/>
  <c r="AF38" i="6"/>
  <c r="AG38" i="6" s="1"/>
  <c r="AE38" i="6"/>
  <c r="AF37" i="6"/>
  <c r="AG37" i="6" s="1"/>
  <c r="AE37" i="6"/>
  <c r="AF36" i="6"/>
  <c r="AG36" i="6" s="1"/>
  <c r="AF35" i="6"/>
  <c r="AG35" i="6" s="1"/>
  <c r="AF34" i="6"/>
  <c r="AG34" i="6" s="1"/>
  <c r="AF33" i="6"/>
  <c r="AG33" i="6" s="1"/>
  <c r="AE33" i="6"/>
  <c r="AF32" i="6"/>
  <c r="AG32" i="6" s="1"/>
  <c r="AE32" i="6"/>
  <c r="AF31" i="6"/>
  <c r="AG31" i="6" s="1"/>
  <c r="AE31" i="6"/>
  <c r="AF30" i="6"/>
  <c r="AG30" i="6" s="1"/>
  <c r="AE30" i="6"/>
  <c r="AF29" i="6"/>
  <c r="AG29" i="6" s="1"/>
  <c r="AE29" i="6"/>
  <c r="AF28" i="6"/>
  <c r="AG28" i="6" s="1"/>
  <c r="AE28" i="6"/>
  <c r="AF27" i="6"/>
  <c r="AG27" i="6" s="1"/>
  <c r="AE27" i="6"/>
  <c r="AF26" i="6"/>
  <c r="AG26" i="6" s="1"/>
  <c r="AE26" i="6"/>
  <c r="AF25" i="6"/>
  <c r="AG25" i="6" s="1"/>
  <c r="AF24" i="6"/>
  <c r="AG24" i="6" s="1"/>
  <c r="AE24" i="6"/>
  <c r="AF23" i="6"/>
  <c r="AG23" i="6" s="1"/>
  <c r="AE23" i="6"/>
  <c r="AF22" i="6"/>
  <c r="AG22" i="6" s="1"/>
  <c r="AE22" i="6"/>
  <c r="AF21" i="6"/>
  <c r="AG21" i="6" s="1"/>
  <c r="AE21" i="6"/>
  <c r="AF20" i="6"/>
  <c r="AG20" i="6" s="1"/>
  <c r="AE20" i="6"/>
  <c r="AF19" i="6"/>
  <c r="AG19" i="6" s="1"/>
  <c r="AE19" i="6"/>
  <c r="AF18" i="6"/>
  <c r="AG18" i="6" s="1"/>
  <c r="AE18" i="6"/>
  <c r="AF17" i="6"/>
  <c r="AG17" i="6" s="1"/>
  <c r="AE17" i="6"/>
  <c r="AF16" i="6"/>
  <c r="AG16" i="6" s="1"/>
  <c r="AE16" i="6"/>
  <c r="AF15" i="6"/>
  <c r="AG15" i="6" s="1"/>
  <c r="AE15" i="6"/>
  <c r="AF14" i="6"/>
  <c r="AG14" i="6" s="1"/>
  <c r="AE14" i="6"/>
  <c r="AF13" i="6"/>
  <c r="AG13" i="6" s="1"/>
  <c r="AE13" i="6"/>
  <c r="AF12" i="6"/>
  <c r="AG12" i="6" s="1"/>
  <c r="AE12" i="6"/>
  <c r="AF11" i="6"/>
  <c r="AG11" i="6" s="1"/>
  <c r="AE11" i="6"/>
  <c r="AF10" i="6"/>
  <c r="AG10" i="6" s="1"/>
  <c r="AF9" i="6"/>
  <c r="AG9" i="6" s="1"/>
  <c r="AE9" i="6"/>
  <c r="AF8" i="6"/>
  <c r="AG8" i="6" s="1"/>
  <c r="AE8" i="6"/>
  <c r="AF7" i="6"/>
  <c r="AG7" i="6" s="1"/>
  <c r="AE7" i="6"/>
  <c r="AF6" i="6"/>
  <c r="AG6" i="6" s="1"/>
  <c r="AE6" i="6"/>
  <c r="AF5" i="6"/>
  <c r="AG5" i="6" s="1"/>
  <c r="AE5" i="6"/>
  <c r="AF618" i="1"/>
  <c r="AG618" i="1" s="1"/>
  <c r="AF617" i="1"/>
  <c r="AG617" i="1" s="1"/>
  <c r="AF616" i="1"/>
  <c r="AG616" i="1" s="1"/>
  <c r="AF615" i="1"/>
  <c r="AG615" i="1" s="1"/>
  <c r="AE615" i="1"/>
  <c r="AF614" i="1"/>
  <c r="AG614" i="1" s="1"/>
  <c r="AF613" i="1"/>
  <c r="AG613" i="1" s="1"/>
  <c r="AF612" i="1"/>
  <c r="AG612" i="1" s="1"/>
  <c r="AF611" i="1"/>
  <c r="AG611" i="1" s="1"/>
  <c r="AE611" i="1"/>
  <c r="AF610" i="1"/>
  <c r="AG610" i="1" s="1"/>
  <c r="AF609" i="1"/>
  <c r="AG609" i="1" s="1"/>
  <c r="AE609" i="1"/>
  <c r="AF608" i="1"/>
  <c r="AG608" i="1" s="1"/>
  <c r="AF607" i="1"/>
  <c r="AG607" i="1" s="1"/>
  <c r="AF606" i="1"/>
  <c r="AG606" i="1" s="1"/>
  <c r="AF605" i="1"/>
  <c r="AG605" i="1" s="1"/>
  <c r="AF604" i="1"/>
  <c r="AG604" i="1" s="1"/>
  <c r="AF603" i="1"/>
  <c r="AG603" i="1" s="1"/>
  <c r="AF602" i="1"/>
  <c r="AG602" i="1" s="1"/>
  <c r="AF601" i="1"/>
  <c r="AG601" i="1" s="1"/>
  <c r="AF600" i="1"/>
  <c r="AG600" i="1" s="1"/>
  <c r="AF599" i="1"/>
  <c r="AG599" i="1" s="1"/>
  <c r="AE599" i="1"/>
  <c r="AF598" i="1"/>
  <c r="AG598" i="1" s="1"/>
  <c r="AE598" i="1"/>
  <c r="AF597" i="1"/>
  <c r="AG597" i="1" s="1"/>
  <c r="AE597" i="1"/>
  <c r="AF596" i="1"/>
  <c r="AG596" i="1" s="1"/>
  <c r="AE596" i="1"/>
  <c r="AF595" i="1"/>
  <c r="AG595" i="1" s="1"/>
  <c r="AE595" i="1"/>
  <c r="AF594" i="1"/>
  <c r="AG594" i="1" s="1"/>
  <c r="AE594" i="1"/>
  <c r="AF593" i="1"/>
  <c r="AG593" i="1" s="1"/>
  <c r="AE593" i="1"/>
  <c r="AF592" i="1"/>
  <c r="AG592" i="1" s="1"/>
  <c r="AE592" i="1"/>
  <c r="AF591" i="1"/>
  <c r="AG591" i="1" s="1"/>
  <c r="AE591" i="1"/>
  <c r="AF590" i="1"/>
  <c r="AG590" i="1" s="1"/>
  <c r="AF589" i="1"/>
  <c r="AG589" i="1" s="1"/>
  <c r="AF588" i="1"/>
  <c r="AG588" i="1" s="1"/>
  <c r="AF587" i="1"/>
  <c r="AG587" i="1" s="1"/>
  <c r="AF586" i="1"/>
  <c r="AG586" i="1" s="1"/>
  <c r="AF585" i="1"/>
  <c r="AG585" i="1" s="1"/>
  <c r="AF584" i="1"/>
  <c r="AG584" i="1" s="1"/>
  <c r="AF583" i="1"/>
  <c r="AG583" i="1" s="1"/>
  <c r="AE583" i="1"/>
  <c r="AF582" i="1"/>
  <c r="AG582" i="1" s="1"/>
  <c r="AF581" i="1"/>
  <c r="AG581" i="1" s="1"/>
  <c r="AF580" i="1"/>
  <c r="AG580" i="1" s="1"/>
  <c r="AF579" i="1"/>
  <c r="AG579" i="1" s="1"/>
  <c r="AF578" i="1"/>
  <c r="AG578" i="1" s="1"/>
  <c r="AE578" i="1"/>
  <c r="AF577" i="1"/>
  <c r="AG577" i="1" s="1"/>
  <c r="AE577" i="1"/>
  <c r="AF576" i="1"/>
  <c r="AG576" i="1" s="1"/>
  <c r="AE576" i="1"/>
  <c r="AF575" i="1"/>
  <c r="AG575" i="1" s="1"/>
  <c r="AE575" i="1"/>
  <c r="AF574" i="1"/>
  <c r="AG574" i="1" s="1"/>
  <c r="AE574" i="1"/>
  <c r="AF573" i="1"/>
  <c r="AG573" i="1" s="1"/>
  <c r="AF572" i="1"/>
  <c r="AG572" i="1" s="1"/>
  <c r="AE572" i="1"/>
  <c r="AF571" i="1"/>
  <c r="AG571" i="1" s="1"/>
  <c r="AE571" i="1"/>
  <c r="AF570" i="1"/>
  <c r="AG570" i="1" s="1"/>
  <c r="AE570" i="1"/>
  <c r="AF569" i="1"/>
  <c r="AG569" i="1" s="1"/>
  <c r="AE569" i="1"/>
  <c r="AF568" i="1"/>
  <c r="AG568" i="1" s="1"/>
  <c r="AE568" i="1"/>
  <c r="AF567" i="1"/>
  <c r="AG567" i="1" s="1"/>
  <c r="AE567" i="1"/>
  <c r="AF566" i="1"/>
  <c r="AG566" i="1" s="1"/>
  <c r="AF565" i="1"/>
  <c r="AG565" i="1" s="1"/>
  <c r="AF564" i="1"/>
  <c r="AG564" i="1" s="1"/>
  <c r="AE564" i="1"/>
  <c r="AF563" i="1"/>
  <c r="AG563" i="1" s="1"/>
  <c r="AE563" i="1"/>
  <c r="AF562" i="1"/>
  <c r="AG562" i="1" s="1"/>
  <c r="AE562" i="1"/>
  <c r="AF561" i="1"/>
  <c r="AG561" i="1" s="1"/>
  <c r="AE561" i="1"/>
  <c r="AF560" i="1"/>
  <c r="AG560" i="1" s="1"/>
  <c r="AE560" i="1"/>
  <c r="AF559" i="1"/>
  <c r="AG559" i="1" s="1"/>
  <c r="AE559" i="1"/>
  <c r="AF558" i="1"/>
  <c r="AG558" i="1" s="1"/>
  <c r="AE558" i="1"/>
  <c r="AF557" i="1"/>
  <c r="AG557" i="1" s="1"/>
  <c r="AE557" i="1"/>
  <c r="AF556" i="1"/>
  <c r="AG556" i="1" s="1"/>
  <c r="AE556" i="1"/>
  <c r="AF555" i="1"/>
  <c r="AG555" i="1" s="1"/>
  <c r="AE555" i="1"/>
  <c r="AF554" i="1"/>
  <c r="AG554" i="1" s="1"/>
  <c r="AE554" i="1"/>
  <c r="AF553" i="1"/>
  <c r="AG553" i="1" s="1"/>
  <c r="AE553" i="1"/>
  <c r="AF552" i="1"/>
  <c r="AG552" i="1" s="1"/>
  <c r="AE552" i="1"/>
  <c r="AF551" i="1"/>
  <c r="AG551" i="1" s="1"/>
  <c r="AE551" i="1"/>
  <c r="AF550" i="1"/>
  <c r="AG550" i="1" s="1"/>
  <c r="AE550" i="1"/>
  <c r="AF549" i="1"/>
  <c r="AG549" i="1" s="1"/>
  <c r="AF548" i="1"/>
  <c r="AG548" i="1" s="1"/>
  <c r="AE548" i="1"/>
  <c r="AF547" i="1"/>
  <c r="AG547" i="1" s="1"/>
  <c r="AE547" i="1"/>
  <c r="AF546" i="1"/>
  <c r="AG546" i="1" s="1"/>
  <c r="AF545" i="1"/>
  <c r="AG545" i="1" s="1"/>
  <c r="AF544" i="1"/>
  <c r="AG544" i="1" s="1"/>
  <c r="AE544" i="1"/>
  <c r="AF543" i="1"/>
  <c r="AG543" i="1" s="1"/>
  <c r="AE543" i="1"/>
  <c r="AF542" i="1"/>
  <c r="AG542" i="1" s="1"/>
  <c r="AE542" i="1"/>
  <c r="AF541" i="1"/>
  <c r="AG541" i="1" s="1"/>
  <c r="AE541" i="1"/>
  <c r="AF540" i="1"/>
  <c r="AG540" i="1" s="1"/>
  <c r="AE540" i="1"/>
  <c r="AF539" i="1"/>
  <c r="AG539" i="1" s="1"/>
  <c r="AF538" i="1"/>
  <c r="AG538" i="1" s="1"/>
  <c r="AE538" i="1"/>
  <c r="AF537" i="1"/>
  <c r="AG537" i="1" s="1"/>
  <c r="AE537" i="1"/>
  <c r="AF536" i="1"/>
  <c r="AG536" i="1" s="1"/>
  <c r="AF535" i="1"/>
  <c r="AG535" i="1" s="1"/>
  <c r="AF534" i="1"/>
  <c r="AG534" i="1" s="1"/>
  <c r="AF533" i="1"/>
  <c r="AG533" i="1" s="1"/>
  <c r="AE533" i="1"/>
  <c r="AF532" i="1"/>
  <c r="AG532" i="1" s="1"/>
  <c r="AE532" i="1"/>
  <c r="AF531" i="1"/>
  <c r="AG531" i="1" s="1"/>
  <c r="AF530" i="1"/>
  <c r="AG530" i="1" s="1"/>
  <c r="AE530" i="1"/>
  <c r="AF529" i="1"/>
  <c r="AG529" i="1" s="1"/>
  <c r="AE529" i="1"/>
  <c r="AF528" i="1"/>
  <c r="AG528" i="1" s="1"/>
  <c r="AF527" i="1"/>
  <c r="AG527" i="1" s="1"/>
  <c r="AF526" i="1"/>
  <c r="AG526" i="1" s="1"/>
  <c r="AF525" i="1"/>
  <c r="AG525" i="1" s="1"/>
  <c r="AE525" i="1"/>
  <c r="AF524" i="1"/>
  <c r="AG524" i="1" s="1"/>
  <c r="AE524" i="1"/>
  <c r="AF523" i="1"/>
  <c r="AG523" i="1" s="1"/>
  <c r="AE523" i="1"/>
  <c r="AF522" i="1"/>
  <c r="AG522" i="1" s="1"/>
  <c r="AE522" i="1"/>
  <c r="AF521" i="1"/>
  <c r="AG521" i="1" s="1"/>
  <c r="AE521" i="1"/>
  <c r="AF520" i="1"/>
  <c r="AG520" i="1" s="1"/>
  <c r="AE520" i="1"/>
  <c r="AF519" i="1"/>
  <c r="AG519" i="1" s="1"/>
  <c r="AE519" i="1"/>
  <c r="AF518" i="1"/>
  <c r="AG518" i="1" s="1"/>
  <c r="AE518" i="1"/>
  <c r="AF517" i="1"/>
  <c r="AG517" i="1" s="1"/>
  <c r="AE517" i="1"/>
  <c r="AF516" i="1"/>
  <c r="AG516" i="1" s="1"/>
  <c r="AE516" i="1"/>
  <c r="AF515" i="1"/>
  <c r="AG515" i="1" s="1"/>
  <c r="AE515" i="1"/>
  <c r="AF514" i="1"/>
  <c r="AG514" i="1" s="1"/>
  <c r="AF513" i="1"/>
  <c r="AG513" i="1" s="1"/>
  <c r="AE513" i="1"/>
  <c r="AF512" i="1"/>
  <c r="AG512" i="1" s="1"/>
  <c r="AE512" i="1"/>
  <c r="AF511" i="1"/>
  <c r="AG511" i="1" s="1"/>
  <c r="AF510" i="1"/>
  <c r="AG510" i="1" s="1"/>
  <c r="AF509" i="1"/>
  <c r="AG509" i="1" s="1"/>
  <c r="AF508" i="1"/>
  <c r="AG508" i="1" s="1"/>
  <c r="AE508" i="1"/>
  <c r="AF507" i="1"/>
  <c r="AG507" i="1" s="1"/>
  <c r="AF506" i="1"/>
  <c r="AG506" i="1" s="1"/>
  <c r="AF505" i="1"/>
  <c r="AG505" i="1" s="1"/>
  <c r="AE505" i="1"/>
  <c r="AF504" i="1"/>
  <c r="AG504" i="1" s="1"/>
  <c r="AE504" i="1"/>
  <c r="AF503" i="1"/>
  <c r="AG503" i="1" s="1"/>
  <c r="AE503" i="1"/>
  <c r="AF502" i="1"/>
  <c r="AG502" i="1" s="1"/>
  <c r="AE502" i="1"/>
  <c r="AF501" i="1"/>
  <c r="AG501" i="1" s="1"/>
  <c r="AE501" i="1"/>
  <c r="AF500" i="1"/>
  <c r="AG500" i="1" s="1"/>
  <c r="AE500" i="1"/>
  <c r="AF499" i="1"/>
  <c r="AG499" i="1" s="1"/>
  <c r="AE499" i="1"/>
  <c r="AF498" i="1"/>
  <c r="AG498" i="1" s="1"/>
  <c r="AF497" i="1"/>
  <c r="AG497" i="1" s="1"/>
  <c r="AE497" i="1"/>
  <c r="AF496" i="1"/>
  <c r="AG496" i="1" s="1"/>
  <c r="AE496" i="1"/>
  <c r="AF495" i="1"/>
  <c r="AG495" i="1" s="1"/>
  <c r="AF494" i="1"/>
  <c r="AG494" i="1" s="1"/>
  <c r="AE494" i="1"/>
  <c r="AF493" i="1"/>
  <c r="AG493" i="1" s="1"/>
  <c r="AF492" i="1"/>
  <c r="AG492" i="1" s="1"/>
  <c r="AF491" i="1"/>
  <c r="AG491" i="1" s="1"/>
  <c r="AE491" i="1"/>
  <c r="AF490" i="1"/>
  <c r="AG490" i="1" s="1"/>
  <c r="AE490" i="1"/>
  <c r="AF489" i="1"/>
  <c r="AG489" i="1" s="1"/>
  <c r="AF488" i="1"/>
  <c r="AG488" i="1" s="1"/>
  <c r="AE488" i="1"/>
  <c r="AF487" i="1"/>
  <c r="AG487" i="1" s="1"/>
  <c r="AE487" i="1"/>
  <c r="AF486" i="1"/>
  <c r="AG486" i="1" s="1"/>
  <c r="AF485" i="1"/>
  <c r="AG485" i="1" s="1"/>
  <c r="AE485" i="1"/>
  <c r="AF484" i="1"/>
  <c r="AG484" i="1" s="1"/>
  <c r="AE484" i="1"/>
  <c r="AF483" i="1"/>
  <c r="AG483" i="1" s="1"/>
  <c r="AE483" i="1"/>
  <c r="AF482" i="1"/>
  <c r="AG482" i="1" s="1"/>
  <c r="AE482" i="1"/>
  <c r="AF481" i="1"/>
  <c r="AG481" i="1" s="1"/>
  <c r="AE481" i="1"/>
  <c r="AF480" i="1"/>
  <c r="AG480" i="1" s="1"/>
  <c r="AF479" i="1"/>
  <c r="AG479" i="1" s="1"/>
  <c r="AE479" i="1"/>
  <c r="AF478" i="1"/>
  <c r="AG478" i="1" s="1"/>
  <c r="AE478" i="1"/>
  <c r="AF477" i="1"/>
  <c r="AG477" i="1" s="1"/>
  <c r="AF476" i="1"/>
  <c r="AG476" i="1" s="1"/>
  <c r="AE476" i="1"/>
  <c r="AF475" i="1"/>
  <c r="AG475" i="1" s="1"/>
  <c r="AE475" i="1"/>
  <c r="AF474" i="1"/>
  <c r="AG474" i="1" s="1"/>
  <c r="AE474" i="1"/>
  <c r="AF473" i="1"/>
  <c r="AG473" i="1" s="1"/>
  <c r="AE473" i="1"/>
  <c r="AF472" i="1"/>
  <c r="AG472" i="1" s="1"/>
  <c r="AE472" i="1"/>
  <c r="AF471" i="1"/>
  <c r="AG471" i="1" s="1"/>
  <c r="AF470" i="1"/>
  <c r="AG470" i="1" s="1"/>
  <c r="AE470" i="1"/>
  <c r="AF469" i="1"/>
  <c r="AG469" i="1" s="1"/>
  <c r="AF468" i="1"/>
  <c r="AG468" i="1" s="1"/>
  <c r="AF467" i="1"/>
  <c r="AG467" i="1" s="1"/>
  <c r="AF466" i="1"/>
  <c r="AG466" i="1" s="1"/>
  <c r="AE466" i="1"/>
  <c r="AF465" i="1"/>
  <c r="AG465" i="1" s="1"/>
  <c r="AE465" i="1"/>
  <c r="AF464" i="1"/>
  <c r="AG464" i="1" s="1"/>
  <c r="AE464" i="1"/>
  <c r="AF463" i="1"/>
  <c r="AG463" i="1" s="1"/>
  <c r="AE463" i="1"/>
  <c r="AF462" i="1"/>
  <c r="AG462" i="1" s="1"/>
  <c r="AE462" i="1"/>
  <c r="AF461" i="1"/>
  <c r="AG461" i="1" s="1"/>
  <c r="AE461" i="1"/>
  <c r="AF460" i="1"/>
  <c r="AG460" i="1" s="1"/>
  <c r="AE460" i="1"/>
  <c r="AF459" i="1"/>
  <c r="AG459" i="1" s="1"/>
  <c r="AE459" i="1"/>
  <c r="AF458" i="1"/>
  <c r="AG458" i="1" s="1"/>
  <c r="AE458" i="1"/>
  <c r="AF457" i="1"/>
  <c r="AG457" i="1" s="1"/>
  <c r="AE457" i="1"/>
  <c r="AF456" i="1"/>
  <c r="AG456" i="1" s="1"/>
  <c r="AE456" i="1"/>
  <c r="AF455" i="1"/>
  <c r="AG455" i="1" s="1"/>
  <c r="AE455" i="1"/>
  <c r="AF454" i="1"/>
  <c r="AG454" i="1" s="1"/>
  <c r="AE454" i="1"/>
  <c r="AF453" i="1"/>
  <c r="AG453" i="1" s="1"/>
  <c r="AE453" i="1"/>
  <c r="AF452" i="1"/>
  <c r="AG452" i="1" s="1"/>
  <c r="AE452" i="1"/>
  <c r="AF451" i="1"/>
  <c r="AG451" i="1" s="1"/>
  <c r="AE451" i="1"/>
  <c r="AF450" i="1"/>
  <c r="AG450" i="1" s="1"/>
  <c r="AF449" i="1"/>
  <c r="AG449" i="1" s="1"/>
  <c r="AE449" i="1"/>
  <c r="AF448" i="1"/>
  <c r="AG448" i="1" s="1"/>
  <c r="AE448" i="1"/>
  <c r="AF447" i="1"/>
  <c r="AG447" i="1" s="1"/>
  <c r="AE447" i="1"/>
  <c r="AF446" i="1"/>
  <c r="AG446" i="1" s="1"/>
  <c r="AE446" i="1"/>
  <c r="AF445" i="1"/>
  <c r="AG445" i="1" s="1"/>
  <c r="AE445" i="1"/>
  <c r="AF444" i="1"/>
  <c r="AG444" i="1" s="1"/>
  <c r="AE444" i="1"/>
  <c r="AF443" i="1"/>
  <c r="AG443" i="1" s="1"/>
  <c r="AE443" i="1"/>
  <c r="AF442" i="1"/>
  <c r="AG442" i="1" s="1"/>
  <c r="AE442" i="1"/>
  <c r="AF441" i="1"/>
  <c r="AG441" i="1" s="1"/>
  <c r="AE441" i="1"/>
  <c r="AF440" i="1"/>
  <c r="AG440" i="1" s="1"/>
  <c r="AE440" i="1"/>
  <c r="AF439" i="1"/>
  <c r="AG439" i="1" s="1"/>
  <c r="AE439" i="1"/>
  <c r="AF438" i="1"/>
  <c r="AG438" i="1" s="1"/>
  <c r="AE438" i="1"/>
  <c r="AF437" i="1"/>
  <c r="AG437" i="1" s="1"/>
  <c r="AE437" i="1"/>
  <c r="AF436" i="1"/>
  <c r="AG436" i="1" s="1"/>
  <c r="AF435" i="1"/>
  <c r="AG435" i="1" s="1"/>
  <c r="AF434" i="1"/>
  <c r="AG434" i="1" s="1"/>
  <c r="AF433" i="1"/>
  <c r="AG433" i="1" s="1"/>
  <c r="AE433" i="1"/>
  <c r="AF432" i="1"/>
  <c r="AG432" i="1" s="1"/>
  <c r="AE432" i="1"/>
  <c r="AF431" i="1"/>
  <c r="AG431" i="1" s="1"/>
  <c r="AE431" i="1"/>
  <c r="AF430" i="1"/>
  <c r="AG430" i="1" s="1"/>
  <c r="AE430" i="1"/>
  <c r="AF429" i="1"/>
  <c r="AG429" i="1" s="1"/>
  <c r="AE429" i="1"/>
  <c r="AF428" i="1"/>
  <c r="AG428" i="1" s="1"/>
  <c r="AE428" i="1"/>
  <c r="AF427" i="1"/>
  <c r="AG427" i="1" s="1"/>
  <c r="AE427" i="1"/>
  <c r="AF426" i="1"/>
  <c r="AG426" i="1" s="1"/>
  <c r="AF425" i="1"/>
  <c r="AG425" i="1" s="1"/>
  <c r="AE425" i="1"/>
  <c r="AF424" i="1"/>
  <c r="AG424" i="1" s="1"/>
  <c r="AE424" i="1"/>
  <c r="AF423" i="1"/>
  <c r="AG423" i="1" s="1"/>
  <c r="AF422" i="1"/>
  <c r="AG422" i="1" s="1"/>
  <c r="AE422" i="1"/>
  <c r="AF421" i="1"/>
  <c r="AG421" i="1" s="1"/>
  <c r="AE421" i="1"/>
  <c r="AF420" i="1"/>
  <c r="AG420" i="1" s="1"/>
  <c r="AF419" i="1"/>
  <c r="AG419" i="1" s="1"/>
  <c r="AF418" i="1"/>
  <c r="AG418" i="1" s="1"/>
  <c r="AF417" i="1"/>
  <c r="AG417" i="1" s="1"/>
  <c r="AF416" i="1"/>
  <c r="AG416" i="1" s="1"/>
  <c r="AE416" i="1"/>
  <c r="AF415" i="1"/>
  <c r="AG415" i="1" s="1"/>
  <c r="AF414" i="1"/>
  <c r="AG414" i="1" s="1"/>
  <c r="AE414" i="1"/>
  <c r="AF413" i="1"/>
  <c r="AG413" i="1" s="1"/>
  <c r="AE413" i="1"/>
  <c r="AF412" i="1"/>
  <c r="AG412" i="1" s="1"/>
  <c r="AE412" i="1"/>
  <c r="AF411" i="1"/>
  <c r="AG411" i="1" s="1"/>
  <c r="AE411" i="1"/>
  <c r="AF410" i="1"/>
  <c r="AG410" i="1" s="1"/>
  <c r="AE410" i="1"/>
  <c r="AF409" i="1"/>
  <c r="AG409" i="1" s="1"/>
  <c r="AF408" i="1"/>
  <c r="AG408" i="1" s="1"/>
  <c r="AE408" i="1"/>
  <c r="AF407" i="1"/>
  <c r="AG407" i="1" s="1"/>
  <c r="AE407" i="1"/>
  <c r="AF406" i="1"/>
  <c r="AG406" i="1" s="1"/>
  <c r="AE406" i="1"/>
  <c r="AF405" i="1"/>
  <c r="AG405" i="1" s="1"/>
  <c r="AE405" i="1"/>
  <c r="AF404" i="1"/>
  <c r="AG404" i="1" s="1"/>
  <c r="AE404" i="1"/>
  <c r="AF403" i="1"/>
  <c r="AG403" i="1" s="1"/>
  <c r="AE403" i="1"/>
  <c r="AF402" i="1"/>
  <c r="AG402" i="1" s="1"/>
  <c r="AE402" i="1"/>
  <c r="AF401" i="1"/>
  <c r="AG401" i="1" s="1"/>
  <c r="AE401" i="1"/>
  <c r="AF400" i="1"/>
  <c r="AG400" i="1" s="1"/>
  <c r="AE400" i="1"/>
  <c r="AF399" i="1"/>
  <c r="AG399" i="1" s="1"/>
  <c r="AF398" i="1"/>
  <c r="AG398" i="1" s="1"/>
  <c r="AE398" i="1"/>
  <c r="AF397" i="1"/>
  <c r="AG397" i="1" s="1"/>
  <c r="AE397" i="1"/>
  <c r="AF396" i="1"/>
  <c r="AG396" i="1" s="1"/>
  <c r="AE396" i="1"/>
  <c r="AF395" i="1"/>
  <c r="AG395" i="1" s="1"/>
  <c r="AE395" i="1"/>
  <c r="AF394" i="1"/>
  <c r="AG394" i="1" s="1"/>
  <c r="AF393" i="1"/>
  <c r="AG393" i="1" s="1"/>
  <c r="AE393" i="1"/>
  <c r="AF392" i="1"/>
  <c r="AG392" i="1" s="1"/>
  <c r="AE392" i="1"/>
  <c r="AF391" i="1"/>
  <c r="AG391" i="1" s="1"/>
  <c r="AF390" i="1"/>
  <c r="AG390" i="1" s="1"/>
  <c r="AF389" i="1"/>
  <c r="AG389" i="1" s="1"/>
  <c r="AF388" i="1"/>
  <c r="AG388" i="1" s="1"/>
  <c r="AF387" i="1"/>
  <c r="AG387" i="1" s="1"/>
  <c r="AF386" i="1"/>
  <c r="AG386" i="1" s="1"/>
  <c r="AE386" i="1"/>
  <c r="AF385" i="1"/>
  <c r="AG385" i="1" s="1"/>
  <c r="AE385" i="1"/>
  <c r="AF384" i="1"/>
  <c r="AG384" i="1" s="1"/>
  <c r="AF383" i="1"/>
  <c r="AG383" i="1" s="1"/>
  <c r="AE383" i="1"/>
  <c r="AF382" i="1"/>
  <c r="AG382" i="1" s="1"/>
  <c r="AE382" i="1"/>
  <c r="AF381" i="1"/>
  <c r="AG381" i="1" s="1"/>
  <c r="AE381" i="1"/>
  <c r="AF380" i="1"/>
  <c r="AG380" i="1" s="1"/>
  <c r="AE380" i="1"/>
  <c r="AF379" i="1"/>
  <c r="AG379" i="1" s="1"/>
  <c r="AF378" i="1"/>
  <c r="AG378" i="1" s="1"/>
  <c r="AE378" i="1"/>
  <c r="AF377" i="1"/>
  <c r="AG377" i="1" s="1"/>
  <c r="AF376" i="1"/>
  <c r="AG376" i="1" s="1"/>
  <c r="AE376" i="1"/>
  <c r="AF375" i="1"/>
  <c r="AG375" i="1" s="1"/>
  <c r="AE375" i="1"/>
  <c r="AF374" i="1"/>
  <c r="AG374" i="1" s="1"/>
  <c r="AF373" i="1"/>
  <c r="AG373" i="1" s="1"/>
  <c r="AE373" i="1"/>
  <c r="AF372" i="1"/>
  <c r="AG372" i="1" s="1"/>
  <c r="AE372" i="1"/>
  <c r="AF371" i="1"/>
  <c r="AG371" i="1" s="1"/>
  <c r="AE371" i="1"/>
  <c r="AF370" i="1"/>
  <c r="AG370" i="1" s="1"/>
  <c r="AF369" i="1"/>
  <c r="AG369" i="1" s="1"/>
  <c r="AF368" i="1"/>
  <c r="AG368" i="1" s="1"/>
  <c r="AF367" i="1"/>
  <c r="AG367" i="1" s="1"/>
  <c r="AE367" i="1"/>
  <c r="AF366" i="1"/>
  <c r="AG366" i="1" s="1"/>
  <c r="AE366" i="1"/>
  <c r="AF365" i="1"/>
  <c r="AG365" i="1" s="1"/>
  <c r="AE365" i="1"/>
  <c r="AF364" i="1"/>
  <c r="AG364" i="1" s="1"/>
  <c r="AE364" i="1"/>
  <c r="AF363" i="1"/>
  <c r="AG363" i="1" s="1"/>
  <c r="AE363" i="1"/>
  <c r="AF362" i="1"/>
  <c r="AG362" i="1" s="1"/>
  <c r="AF361" i="1"/>
  <c r="AG361" i="1" s="1"/>
  <c r="AF360" i="1"/>
  <c r="AG360" i="1" s="1"/>
  <c r="AE360" i="1"/>
  <c r="AF359" i="1"/>
  <c r="AG359" i="1" s="1"/>
  <c r="AE359" i="1"/>
  <c r="AF358" i="1"/>
  <c r="AG358" i="1" s="1"/>
  <c r="AE358" i="1"/>
  <c r="AF357" i="1"/>
  <c r="AG357" i="1" s="1"/>
  <c r="AE357" i="1"/>
  <c r="AF356" i="1"/>
  <c r="AG356" i="1" s="1"/>
  <c r="AE356" i="1"/>
  <c r="AF355" i="1"/>
  <c r="AG355" i="1" s="1"/>
  <c r="AE355" i="1"/>
  <c r="AF354" i="1"/>
  <c r="AG354" i="1" s="1"/>
  <c r="AE354" i="1"/>
  <c r="AF353" i="1"/>
  <c r="AG353" i="1" s="1"/>
  <c r="AE353" i="1"/>
  <c r="AF352" i="1"/>
  <c r="AG352" i="1" s="1"/>
  <c r="AE352" i="1"/>
  <c r="AF351" i="1"/>
  <c r="AG351" i="1" s="1"/>
  <c r="AE351" i="1"/>
  <c r="AF350" i="1"/>
  <c r="AG350" i="1" s="1"/>
  <c r="AE350" i="1"/>
  <c r="AF349" i="1"/>
  <c r="AG349" i="1" s="1"/>
  <c r="AE349" i="1"/>
  <c r="AF348" i="1"/>
  <c r="AG348" i="1" s="1"/>
  <c r="AE348" i="1"/>
  <c r="AF347" i="1"/>
  <c r="AG347" i="1" s="1"/>
  <c r="AE347" i="1"/>
  <c r="AF346" i="1"/>
  <c r="AG346" i="1" s="1"/>
  <c r="AE346" i="1"/>
  <c r="AF345" i="1"/>
  <c r="AG345" i="1" s="1"/>
  <c r="AE345" i="1"/>
  <c r="AF344" i="1"/>
  <c r="AG344" i="1" s="1"/>
  <c r="AE344" i="1"/>
  <c r="AF343" i="1"/>
  <c r="AG343" i="1" s="1"/>
  <c r="AE343" i="1"/>
  <c r="AF342" i="1"/>
  <c r="AG342" i="1" s="1"/>
  <c r="AF341" i="1"/>
  <c r="AG341" i="1" s="1"/>
  <c r="AF340" i="1"/>
  <c r="AG340" i="1" s="1"/>
  <c r="AE340" i="1"/>
  <c r="AF339" i="1"/>
  <c r="AG339" i="1" s="1"/>
  <c r="AF338" i="1"/>
  <c r="AG338" i="1" s="1"/>
  <c r="AF337" i="1"/>
  <c r="AG337" i="1" s="1"/>
  <c r="AE337" i="1"/>
  <c r="AF336" i="1"/>
  <c r="AG336" i="1" s="1"/>
  <c r="AE336" i="1"/>
  <c r="AF335" i="1"/>
  <c r="AG335" i="1" s="1"/>
  <c r="AF334" i="1"/>
  <c r="AG334" i="1" s="1"/>
  <c r="AE334" i="1"/>
  <c r="AF333" i="1"/>
  <c r="AG333" i="1" s="1"/>
  <c r="AE333" i="1"/>
  <c r="AF332" i="1"/>
  <c r="AG332" i="1" s="1"/>
  <c r="AE332" i="1"/>
  <c r="AF331" i="1"/>
  <c r="AG331" i="1" s="1"/>
  <c r="AE331" i="1"/>
  <c r="AF330" i="1"/>
  <c r="AG330" i="1" s="1"/>
  <c r="AE330" i="1"/>
  <c r="AF329" i="1"/>
  <c r="AG329" i="1" s="1"/>
  <c r="AE329" i="1"/>
  <c r="AF328" i="1"/>
  <c r="AG328" i="1" s="1"/>
  <c r="AE328" i="1"/>
  <c r="AF327" i="1"/>
  <c r="AG327" i="1" s="1"/>
  <c r="AE327" i="1"/>
  <c r="AF326" i="1"/>
  <c r="AG326" i="1" s="1"/>
  <c r="AE326" i="1"/>
  <c r="AF325" i="1"/>
  <c r="AG325" i="1" s="1"/>
  <c r="AF324" i="1"/>
  <c r="AG324" i="1" s="1"/>
  <c r="AF323" i="1"/>
  <c r="AG323" i="1" s="1"/>
  <c r="AF322" i="1"/>
  <c r="AG322" i="1" s="1"/>
  <c r="AE322" i="1"/>
  <c r="AF321" i="1"/>
  <c r="AG321" i="1" s="1"/>
  <c r="AF320" i="1"/>
  <c r="AG320" i="1" s="1"/>
  <c r="AE320" i="1"/>
  <c r="AF319" i="1"/>
  <c r="AG319" i="1" s="1"/>
  <c r="AE319" i="1"/>
  <c r="AF318" i="1"/>
  <c r="AG318" i="1" s="1"/>
  <c r="AF317" i="1"/>
  <c r="AG317" i="1" s="1"/>
  <c r="AE317" i="1"/>
  <c r="AF316" i="1"/>
  <c r="AG316" i="1" s="1"/>
  <c r="AE316" i="1"/>
  <c r="AF315" i="1"/>
  <c r="AG315" i="1" s="1"/>
  <c r="AE315" i="1"/>
  <c r="AF314" i="1"/>
  <c r="AG314" i="1" s="1"/>
  <c r="AE314" i="1"/>
  <c r="AF313" i="1"/>
  <c r="AG313" i="1" s="1"/>
  <c r="AE313" i="1"/>
  <c r="AF312" i="1"/>
  <c r="AG312" i="1" s="1"/>
  <c r="AE312" i="1"/>
  <c r="AF311" i="1"/>
  <c r="AG311" i="1" s="1"/>
  <c r="AE311" i="1"/>
  <c r="AF310" i="1"/>
  <c r="AG310" i="1" s="1"/>
  <c r="AE310" i="1"/>
  <c r="AF309" i="1"/>
  <c r="AG309" i="1" s="1"/>
  <c r="AE309" i="1"/>
  <c r="AF308" i="1"/>
  <c r="AG308" i="1" s="1"/>
  <c r="AE308" i="1"/>
  <c r="AF307" i="1"/>
  <c r="AG307" i="1" s="1"/>
  <c r="AE307" i="1"/>
  <c r="AF306" i="1"/>
  <c r="AG306" i="1" s="1"/>
  <c r="AE306" i="1"/>
  <c r="AF305" i="1"/>
  <c r="AG305" i="1" s="1"/>
  <c r="AE305" i="1"/>
  <c r="AF304" i="1"/>
  <c r="AG304" i="1" s="1"/>
  <c r="AF303" i="1"/>
  <c r="AG303" i="1" s="1"/>
  <c r="AE303" i="1"/>
  <c r="AF302" i="1"/>
  <c r="AG302" i="1" s="1"/>
  <c r="AE302" i="1"/>
  <c r="AF301" i="1"/>
  <c r="AG301" i="1" s="1"/>
  <c r="AE301" i="1"/>
  <c r="AF300" i="1"/>
  <c r="AG300" i="1" s="1"/>
  <c r="AE300" i="1"/>
  <c r="AF299" i="1"/>
  <c r="AG299" i="1" s="1"/>
  <c r="AE299" i="1"/>
  <c r="AF298" i="1"/>
  <c r="AG298" i="1" s="1"/>
  <c r="AE298" i="1"/>
  <c r="AF297" i="1"/>
  <c r="AG297" i="1" s="1"/>
  <c r="AE297" i="1"/>
  <c r="AF296" i="1"/>
  <c r="AG296" i="1" s="1"/>
  <c r="AE296" i="1"/>
  <c r="AF295" i="1"/>
  <c r="AG295" i="1" s="1"/>
  <c r="AE295" i="1"/>
  <c r="AF294" i="1"/>
  <c r="AG294" i="1" s="1"/>
  <c r="AE294" i="1"/>
  <c r="AF293" i="1"/>
  <c r="AG293" i="1" s="1"/>
  <c r="AE293" i="1"/>
  <c r="AF292" i="1"/>
  <c r="AG292" i="1" s="1"/>
  <c r="AE292" i="1"/>
  <c r="AF291" i="1"/>
  <c r="AG291" i="1" s="1"/>
  <c r="AE291" i="1"/>
  <c r="AF290" i="1"/>
  <c r="AG290" i="1" s="1"/>
  <c r="AE290" i="1"/>
  <c r="AF289" i="1"/>
  <c r="AG289" i="1" s="1"/>
  <c r="AE289" i="1"/>
  <c r="AF288" i="1"/>
  <c r="AG288" i="1" s="1"/>
  <c r="AE288" i="1"/>
  <c r="AF287" i="1"/>
  <c r="AG287" i="1" s="1"/>
  <c r="AE287" i="1"/>
  <c r="AF286" i="1"/>
  <c r="AG286" i="1" s="1"/>
  <c r="AE286" i="1"/>
  <c r="AF285" i="1"/>
  <c r="AG285" i="1" s="1"/>
  <c r="AE285" i="1"/>
  <c r="AF284" i="1"/>
  <c r="AG284" i="1" s="1"/>
  <c r="AE284" i="1"/>
  <c r="AF283" i="1"/>
  <c r="AG283" i="1" s="1"/>
  <c r="AE283" i="1"/>
  <c r="AF282" i="1"/>
  <c r="AG282" i="1" s="1"/>
  <c r="AE282" i="1"/>
  <c r="AF281" i="1"/>
  <c r="AG281" i="1" s="1"/>
  <c r="AF280" i="1"/>
  <c r="AG280" i="1" s="1"/>
  <c r="AF279" i="1"/>
  <c r="AG279" i="1" s="1"/>
  <c r="AE279" i="1"/>
  <c r="AF278" i="1"/>
  <c r="AG278" i="1" s="1"/>
  <c r="AE278" i="1"/>
  <c r="AF277" i="1"/>
  <c r="AG277" i="1" s="1"/>
  <c r="AE277" i="1"/>
  <c r="AF276" i="1"/>
  <c r="AG276" i="1" s="1"/>
  <c r="AE276" i="1"/>
  <c r="AF275" i="1"/>
  <c r="AG275" i="1" s="1"/>
  <c r="AE275" i="1"/>
  <c r="AF274" i="1"/>
  <c r="AG274" i="1" s="1"/>
  <c r="AF273" i="1"/>
  <c r="AG273" i="1" s="1"/>
  <c r="AE273" i="1"/>
  <c r="AF272" i="1"/>
  <c r="AG272" i="1" s="1"/>
  <c r="AE272" i="1"/>
  <c r="AF271" i="1"/>
  <c r="AG271" i="1" s="1"/>
  <c r="AE271" i="1"/>
  <c r="AF270" i="1"/>
  <c r="AG270" i="1" s="1"/>
  <c r="AE270" i="1"/>
  <c r="AF269" i="1"/>
  <c r="AG269" i="1" s="1"/>
  <c r="AE269" i="1"/>
  <c r="AF268" i="1"/>
  <c r="AG268" i="1" s="1"/>
  <c r="AE268" i="1"/>
  <c r="AF267" i="1"/>
  <c r="AG267" i="1" s="1"/>
  <c r="AF266" i="1"/>
  <c r="AG266" i="1" s="1"/>
  <c r="AE266" i="1"/>
  <c r="AF265" i="1"/>
  <c r="AG265" i="1" s="1"/>
  <c r="AE265" i="1"/>
  <c r="AF264" i="1"/>
  <c r="AG264" i="1" s="1"/>
  <c r="AF263" i="1"/>
  <c r="AG263" i="1" s="1"/>
  <c r="AE263" i="1"/>
  <c r="AF262" i="1"/>
  <c r="AG262" i="1" s="1"/>
  <c r="AE262" i="1"/>
  <c r="AF261" i="1"/>
  <c r="AG261" i="1" s="1"/>
  <c r="AE261" i="1"/>
  <c r="AF260" i="1"/>
  <c r="AG260" i="1" s="1"/>
  <c r="AF259" i="1"/>
  <c r="AG259" i="1" s="1"/>
  <c r="AE259" i="1"/>
  <c r="AF258" i="1"/>
  <c r="AG258" i="1" s="1"/>
  <c r="AF257" i="1"/>
  <c r="AG257" i="1" s="1"/>
  <c r="AF256" i="1"/>
  <c r="AG256" i="1" s="1"/>
  <c r="AE256" i="1"/>
  <c r="AF255" i="1"/>
  <c r="AG255" i="1" s="1"/>
  <c r="AE255" i="1"/>
  <c r="AF254" i="1"/>
  <c r="AG254" i="1" s="1"/>
  <c r="AE254" i="1"/>
  <c r="AF253" i="1"/>
  <c r="AG253" i="1" s="1"/>
  <c r="AF252" i="1"/>
  <c r="AG252" i="1" s="1"/>
  <c r="AF251" i="1"/>
  <c r="AG251" i="1" s="1"/>
  <c r="AE251" i="1"/>
  <c r="AF250" i="1"/>
  <c r="AG250" i="1" s="1"/>
  <c r="AE250" i="1"/>
  <c r="AF249" i="1"/>
  <c r="AG249" i="1" s="1"/>
  <c r="AE249" i="1"/>
  <c r="AF248" i="1"/>
  <c r="AG248" i="1" s="1"/>
  <c r="AE248" i="1"/>
  <c r="AF247" i="1"/>
  <c r="AG247" i="1" s="1"/>
  <c r="AE247" i="1"/>
  <c r="AF246" i="1"/>
  <c r="AG246" i="1" s="1"/>
  <c r="AE246" i="1"/>
  <c r="AF245" i="1"/>
  <c r="AG245" i="1" s="1"/>
  <c r="AE245" i="1"/>
  <c r="AF244" i="1"/>
  <c r="AG244" i="1" s="1"/>
  <c r="AE244" i="1"/>
  <c r="AF243" i="1"/>
  <c r="AG243" i="1" s="1"/>
  <c r="AF242" i="1"/>
  <c r="AG242" i="1" s="1"/>
  <c r="AF241" i="1"/>
  <c r="AG241" i="1" s="1"/>
  <c r="AF240" i="1"/>
  <c r="AG240" i="1" s="1"/>
  <c r="AE240" i="1"/>
  <c r="AF239" i="1"/>
  <c r="AG239" i="1" s="1"/>
  <c r="AE239" i="1"/>
  <c r="AF238" i="1"/>
  <c r="AG238" i="1" s="1"/>
  <c r="AE238" i="1"/>
  <c r="AF237" i="1"/>
  <c r="AG237" i="1" s="1"/>
  <c r="AE237" i="1"/>
  <c r="AF236" i="1"/>
  <c r="AG236" i="1" s="1"/>
  <c r="AE236" i="1"/>
  <c r="AF235" i="1"/>
  <c r="AG235" i="1" s="1"/>
  <c r="AF234" i="1"/>
  <c r="AG234" i="1" s="1"/>
  <c r="AF233" i="1"/>
  <c r="AG233" i="1" s="1"/>
  <c r="AE233" i="1"/>
  <c r="AF232" i="1"/>
  <c r="AG232" i="1" s="1"/>
  <c r="AE232" i="1"/>
  <c r="AF231" i="1"/>
  <c r="AG231" i="1" s="1"/>
  <c r="AF230" i="1"/>
  <c r="AG230" i="1" s="1"/>
  <c r="AE230" i="1"/>
  <c r="AF229" i="1"/>
  <c r="AG229" i="1" s="1"/>
  <c r="AE229" i="1"/>
  <c r="AF228" i="1"/>
  <c r="AG228" i="1" s="1"/>
  <c r="AF227" i="1"/>
  <c r="AG227" i="1" s="1"/>
  <c r="AE227" i="1"/>
  <c r="AF226" i="1"/>
  <c r="AG226" i="1" s="1"/>
  <c r="AF225" i="1"/>
  <c r="AG225" i="1" s="1"/>
  <c r="AE225" i="1"/>
  <c r="AF224" i="1"/>
  <c r="AG224" i="1" s="1"/>
  <c r="AE224" i="1"/>
  <c r="AF223" i="1"/>
  <c r="AG223" i="1" s="1"/>
  <c r="AE223" i="1"/>
  <c r="AF222" i="1"/>
  <c r="AG222" i="1" s="1"/>
  <c r="AE222" i="1"/>
  <c r="AF221" i="1"/>
  <c r="AG221" i="1" s="1"/>
  <c r="AF220" i="1"/>
  <c r="AG220" i="1" s="1"/>
  <c r="AE220" i="1"/>
  <c r="AF219" i="1"/>
  <c r="AG219" i="1" s="1"/>
  <c r="AE219" i="1"/>
  <c r="AF218" i="1"/>
  <c r="AG218" i="1" s="1"/>
  <c r="AF217" i="1"/>
  <c r="AG217" i="1" s="1"/>
  <c r="AE217" i="1"/>
  <c r="AF216" i="1"/>
  <c r="AG216" i="1" s="1"/>
  <c r="AE216" i="1"/>
  <c r="AF215" i="1"/>
  <c r="AG215" i="1" s="1"/>
  <c r="AE215" i="1"/>
  <c r="AF214" i="1"/>
  <c r="AG214" i="1" s="1"/>
  <c r="AE214" i="1"/>
  <c r="AF213" i="1"/>
  <c r="AG213" i="1" s="1"/>
  <c r="AE213" i="1"/>
  <c r="AF212" i="1"/>
  <c r="AG212" i="1" s="1"/>
  <c r="AE212" i="1"/>
  <c r="AF211" i="1"/>
  <c r="AG211" i="1" s="1"/>
  <c r="AF210" i="1"/>
  <c r="AG210" i="1" s="1"/>
  <c r="AF209" i="1"/>
  <c r="AG209" i="1" s="1"/>
  <c r="AF208" i="1"/>
  <c r="AG208" i="1" s="1"/>
  <c r="AE208" i="1"/>
  <c r="AF207" i="1"/>
  <c r="AG207" i="1" s="1"/>
  <c r="AE207" i="1"/>
  <c r="AF206" i="1"/>
  <c r="AG206" i="1" s="1"/>
  <c r="AE206" i="1"/>
  <c r="AF205" i="1"/>
  <c r="AG205" i="1" s="1"/>
  <c r="AE205" i="1"/>
  <c r="AF204" i="1"/>
  <c r="AG204" i="1" s="1"/>
  <c r="AE204" i="1"/>
  <c r="AF203" i="1"/>
  <c r="AG203" i="1" s="1"/>
  <c r="AE203" i="1"/>
  <c r="AF202" i="1"/>
  <c r="AG202" i="1" s="1"/>
  <c r="AE202" i="1"/>
  <c r="AF201" i="1"/>
  <c r="AG201" i="1" s="1"/>
  <c r="AF200" i="1"/>
  <c r="AG200" i="1" s="1"/>
  <c r="AE200" i="1"/>
  <c r="AF199" i="1"/>
  <c r="AG199" i="1" s="1"/>
  <c r="AE199" i="1"/>
  <c r="AF198" i="1"/>
  <c r="AG198" i="1" s="1"/>
  <c r="AE198" i="1"/>
  <c r="AF197" i="1"/>
  <c r="AG197" i="1" s="1"/>
  <c r="AF196" i="1"/>
  <c r="AG196" i="1" s="1"/>
  <c r="AE196" i="1"/>
  <c r="AF195" i="1"/>
  <c r="AG195" i="1" s="1"/>
  <c r="AE195" i="1"/>
  <c r="AF194" i="1"/>
  <c r="AG194" i="1" s="1"/>
  <c r="AE194" i="1"/>
  <c r="AF193" i="1"/>
  <c r="AG193" i="1" s="1"/>
  <c r="AE193" i="1"/>
  <c r="AF192" i="1"/>
  <c r="AG192" i="1" s="1"/>
  <c r="AE192" i="1"/>
  <c r="AF191" i="1"/>
  <c r="AG191" i="1" s="1"/>
  <c r="AE191" i="1"/>
  <c r="AF190" i="1"/>
  <c r="AG190" i="1" s="1"/>
  <c r="AE190" i="1"/>
  <c r="AF189" i="1"/>
  <c r="AG189" i="1" s="1"/>
  <c r="AE189" i="1"/>
  <c r="AF188" i="1"/>
  <c r="AG188" i="1" s="1"/>
  <c r="AE188" i="1"/>
  <c r="AF187" i="1"/>
  <c r="AG187" i="1" s="1"/>
  <c r="AE187" i="1"/>
  <c r="AF186" i="1"/>
  <c r="AG186" i="1" s="1"/>
  <c r="AE186" i="1"/>
  <c r="AF185" i="1"/>
  <c r="AG185" i="1" s="1"/>
  <c r="AE185" i="1"/>
  <c r="AF184" i="1"/>
  <c r="AG184" i="1" s="1"/>
  <c r="AE184" i="1"/>
  <c r="AF183" i="1"/>
  <c r="AG183" i="1" s="1"/>
  <c r="AF182" i="1"/>
  <c r="AG182" i="1" s="1"/>
  <c r="AF181" i="1"/>
  <c r="AG181" i="1" s="1"/>
  <c r="AE181" i="1"/>
  <c r="AF180" i="1"/>
  <c r="AG180" i="1" s="1"/>
  <c r="AE180" i="1"/>
  <c r="AF179" i="1"/>
  <c r="AG179" i="1" s="1"/>
  <c r="AF178" i="1"/>
  <c r="AG178" i="1" s="1"/>
  <c r="AE178" i="1"/>
  <c r="AF177" i="1"/>
  <c r="AG177" i="1" s="1"/>
  <c r="AE177" i="1"/>
  <c r="AF176" i="1"/>
  <c r="AG176" i="1" s="1"/>
  <c r="AE176" i="1"/>
  <c r="AF175" i="1"/>
  <c r="AG175" i="1" s="1"/>
  <c r="AE175" i="1"/>
  <c r="AF174" i="1"/>
  <c r="AG174" i="1" s="1"/>
  <c r="AE174" i="1"/>
  <c r="AF173" i="1"/>
  <c r="AG173" i="1" s="1"/>
  <c r="AE173" i="1"/>
  <c r="AF172" i="1"/>
  <c r="AG172" i="1" s="1"/>
  <c r="AF171" i="1"/>
  <c r="AG171" i="1" s="1"/>
  <c r="AE171" i="1"/>
  <c r="AF170" i="1"/>
  <c r="AG170" i="1" s="1"/>
  <c r="AE170" i="1"/>
  <c r="AF169" i="1"/>
  <c r="AG169" i="1" s="1"/>
  <c r="AE169" i="1"/>
  <c r="AF168" i="1"/>
  <c r="AG168" i="1" s="1"/>
  <c r="AE168" i="1"/>
  <c r="AF167" i="1"/>
  <c r="AG167" i="1" s="1"/>
  <c r="AE167" i="1"/>
  <c r="AF166" i="1"/>
  <c r="AG166" i="1" s="1"/>
  <c r="AF165" i="1"/>
  <c r="AG165" i="1" s="1"/>
  <c r="AE165" i="1"/>
  <c r="AF164" i="1"/>
  <c r="AG164" i="1" s="1"/>
  <c r="AE164" i="1"/>
  <c r="AF163" i="1"/>
  <c r="AG163" i="1" s="1"/>
  <c r="AF162" i="1"/>
  <c r="AG162" i="1" s="1"/>
  <c r="AE162" i="1"/>
  <c r="AF161" i="1"/>
  <c r="AG161" i="1" s="1"/>
  <c r="AE161" i="1"/>
  <c r="AF160" i="1"/>
  <c r="AG160" i="1" s="1"/>
  <c r="AE160" i="1"/>
  <c r="AF159" i="1"/>
  <c r="AG159" i="1" s="1"/>
  <c r="AE159" i="1"/>
  <c r="AF158" i="1"/>
  <c r="AG158" i="1" s="1"/>
  <c r="AF157" i="1"/>
  <c r="AG157" i="1" s="1"/>
  <c r="AE157" i="1"/>
  <c r="AF156" i="1"/>
  <c r="AG156" i="1" s="1"/>
  <c r="AE156" i="1"/>
  <c r="AF155" i="1"/>
  <c r="AG155" i="1" s="1"/>
  <c r="AE155" i="1"/>
  <c r="AF154" i="1"/>
  <c r="AG154" i="1" s="1"/>
  <c r="AE154" i="1"/>
  <c r="AF153" i="1"/>
  <c r="AG153" i="1" s="1"/>
  <c r="AE153" i="1"/>
  <c r="AF152" i="1"/>
  <c r="AG152" i="1" s="1"/>
  <c r="AF151" i="1"/>
  <c r="AG151" i="1" s="1"/>
  <c r="AE151" i="1"/>
  <c r="AF150" i="1"/>
  <c r="AG150" i="1" s="1"/>
  <c r="AE150" i="1"/>
  <c r="AF149" i="1"/>
  <c r="AG149" i="1" s="1"/>
  <c r="AE149" i="1"/>
  <c r="AF148" i="1"/>
  <c r="AG148" i="1" s="1"/>
  <c r="AF147" i="1"/>
  <c r="AG147" i="1" s="1"/>
  <c r="AE147" i="1"/>
  <c r="AF146" i="1"/>
  <c r="AG146" i="1" s="1"/>
  <c r="AE146" i="1"/>
  <c r="AF145" i="1"/>
  <c r="AG145" i="1" s="1"/>
  <c r="AE145" i="1"/>
  <c r="AF144" i="1"/>
  <c r="AG144" i="1" s="1"/>
  <c r="AE144" i="1"/>
  <c r="AF143" i="1"/>
  <c r="AG143" i="1" s="1"/>
  <c r="AE143" i="1"/>
  <c r="AF142" i="1"/>
  <c r="AG142" i="1" s="1"/>
  <c r="AF141" i="1"/>
  <c r="AG141" i="1" s="1"/>
  <c r="AE141" i="1"/>
  <c r="AF140" i="1"/>
  <c r="AG140" i="1" s="1"/>
  <c r="AE140" i="1"/>
  <c r="AF139" i="1"/>
  <c r="AG139" i="1" s="1"/>
  <c r="AE139" i="1"/>
  <c r="AF138" i="1"/>
  <c r="AG138" i="1" s="1"/>
  <c r="AE138" i="1"/>
  <c r="AF137" i="1"/>
  <c r="AG137" i="1" s="1"/>
  <c r="AE137" i="1"/>
  <c r="AF136" i="1"/>
  <c r="AG136" i="1" s="1"/>
  <c r="AE136" i="1"/>
  <c r="AF135" i="1"/>
  <c r="AG135" i="1" s="1"/>
  <c r="AE135" i="1"/>
  <c r="AF134" i="1"/>
  <c r="AG134" i="1" s="1"/>
  <c r="AE134" i="1"/>
  <c r="AF133" i="1"/>
  <c r="AG133" i="1" s="1"/>
  <c r="AF132" i="1"/>
  <c r="AG132" i="1" s="1"/>
  <c r="AE132" i="1"/>
  <c r="AF131" i="1"/>
  <c r="AG131" i="1" s="1"/>
  <c r="AF130" i="1"/>
  <c r="AG130" i="1" s="1"/>
  <c r="AE130" i="1"/>
  <c r="AF129" i="1"/>
  <c r="AG129" i="1" s="1"/>
  <c r="AF128" i="1"/>
  <c r="AG128" i="1" s="1"/>
  <c r="AF127" i="1"/>
  <c r="AG127" i="1" s="1"/>
  <c r="AF126" i="1"/>
  <c r="AG126" i="1" s="1"/>
  <c r="AF125" i="1"/>
  <c r="AG125" i="1" s="1"/>
  <c r="AE125" i="1"/>
  <c r="AF124" i="1"/>
  <c r="AG124" i="1" s="1"/>
  <c r="AE124" i="1"/>
  <c r="AF123" i="1"/>
  <c r="AG123" i="1" s="1"/>
  <c r="AE123" i="1"/>
  <c r="AF122" i="1"/>
  <c r="AG122" i="1" s="1"/>
  <c r="AE122" i="1"/>
  <c r="AF121" i="1"/>
  <c r="AG121" i="1" s="1"/>
  <c r="AE121" i="1"/>
  <c r="AF120" i="1"/>
  <c r="AG120" i="1" s="1"/>
  <c r="AE120" i="1"/>
  <c r="AF119" i="1"/>
  <c r="AG119" i="1" s="1"/>
  <c r="AE119" i="1"/>
  <c r="AF118" i="1"/>
  <c r="AG118" i="1" s="1"/>
  <c r="AE118" i="1"/>
  <c r="AF117" i="1"/>
  <c r="AG117" i="1" s="1"/>
  <c r="AE117" i="1"/>
  <c r="AF116" i="1"/>
  <c r="AG116" i="1" s="1"/>
  <c r="AE116" i="1"/>
  <c r="AF115" i="1"/>
  <c r="AG115" i="1" s="1"/>
  <c r="AE115" i="1"/>
  <c r="AF114" i="1"/>
  <c r="AG114" i="1" s="1"/>
  <c r="AF113" i="1"/>
  <c r="AG113" i="1" s="1"/>
  <c r="AE113" i="1"/>
  <c r="AF112" i="1"/>
  <c r="AG112" i="1" s="1"/>
  <c r="AF111" i="1"/>
  <c r="AG111" i="1" s="1"/>
  <c r="AE111" i="1"/>
  <c r="AF110" i="1"/>
  <c r="AG110" i="1" s="1"/>
  <c r="AE110" i="1"/>
  <c r="AF109" i="1"/>
  <c r="AG109" i="1" s="1"/>
  <c r="AF108" i="1"/>
  <c r="AG108" i="1" s="1"/>
  <c r="AE108" i="1"/>
  <c r="AF107" i="1"/>
  <c r="AG107" i="1" s="1"/>
  <c r="AE107" i="1"/>
  <c r="AF106" i="1"/>
  <c r="AG106" i="1" s="1"/>
  <c r="AF105" i="1"/>
  <c r="AG105" i="1" s="1"/>
  <c r="AE105" i="1"/>
  <c r="AF104" i="1"/>
  <c r="AG104" i="1" s="1"/>
  <c r="AE104" i="1"/>
  <c r="AF103" i="1"/>
  <c r="AG103" i="1" s="1"/>
  <c r="AE103" i="1"/>
  <c r="AF102" i="1"/>
  <c r="AG102" i="1" s="1"/>
  <c r="AE102" i="1"/>
  <c r="AF101" i="1"/>
  <c r="AG101" i="1" s="1"/>
  <c r="AE101" i="1"/>
  <c r="AF100" i="1"/>
  <c r="AG100" i="1" s="1"/>
  <c r="AE100" i="1"/>
  <c r="AF99" i="1"/>
  <c r="AG99" i="1" s="1"/>
  <c r="AE99" i="1"/>
  <c r="AF98" i="1"/>
  <c r="AG98" i="1" s="1"/>
  <c r="AE98" i="1"/>
  <c r="AF97" i="1"/>
  <c r="AG97" i="1" s="1"/>
  <c r="AE97" i="1"/>
  <c r="AF96" i="1"/>
  <c r="AG96" i="1" s="1"/>
  <c r="AE96" i="1"/>
  <c r="AF95" i="1"/>
  <c r="AG95" i="1" s="1"/>
  <c r="AF94" i="1"/>
  <c r="AG94" i="1" s="1"/>
  <c r="AF93" i="1"/>
  <c r="AG93" i="1" s="1"/>
  <c r="AE93" i="1"/>
  <c r="AF92" i="1"/>
  <c r="AG92" i="1" s="1"/>
  <c r="AF91" i="1"/>
  <c r="AG91" i="1" s="1"/>
  <c r="AE91" i="1"/>
  <c r="AF90" i="1"/>
  <c r="AG90" i="1" s="1"/>
  <c r="AE90" i="1"/>
  <c r="AF89" i="1"/>
  <c r="AG89" i="1" s="1"/>
  <c r="AE89" i="1"/>
  <c r="AF88" i="1"/>
  <c r="AG88" i="1" s="1"/>
  <c r="AE88" i="1"/>
  <c r="AF87" i="1"/>
  <c r="AG87" i="1" s="1"/>
  <c r="AF86" i="1"/>
  <c r="AG86" i="1" s="1"/>
  <c r="AF85" i="1"/>
  <c r="AG85" i="1" s="1"/>
  <c r="AE85" i="1"/>
  <c r="AF84" i="1"/>
  <c r="AG84" i="1" s="1"/>
  <c r="AE84" i="1"/>
  <c r="AF83" i="1"/>
  <c r="AG83" i="1" s="1"/>
  <c r="AE83" i="1"/>
  <c r="AF82" i="1"/>
  <c r="AG82" i="1" s="1"/>
  <c r="AE82" i="1"/>
  <c r="AF81" i="1"/>
  <c r="AG81" i="1" s="1"/>
  <c r="AE81" i="1"/>
  <c r="AF80" i="1"/>
  <c r="AG80" i="1" s="1"/>
  <c r="AE80" i="1"/>
  <c r="AF79" i="1"/>
  <c r="AG79" i="1" s="1"/>
  <c r="AE79" i="1"/>
  <c r="AF78" i="1"/>
  <c r="AG78" i="1" s="1"/>
  <c r="AE78" i="1"/>
  <c r="AF77" i="1"/>
  <c r="AG77" i="1" s="1"/>
  <c r="AF76" i="1"/>
  <c r="AG76" i="1" s="1"/>
  <c r="AE76" i="1"/>
  <c r="AF75" i="1"/>
  <c r="AG75" i="1" s="1"/>
  <c r="AF74" i="1"/>
  <c r="AG74" i="1" s="1"/>
  <c r="AF73" i="1"/>
  <c r="AG73" i="1" s="1"/>
  <c r="AE73" i="1"/>
  <c r="AF72" i="1"/>
  <c r="AG72" i="1" s="1"/>
  <c r="AE72" i="1"/>
  <c r="AF71" i="1"/>
  <c r="AG71" i="1" s="1"/>
  <c r="AE71" i="1"/>
  <c r="AF70" i="1"/>
  <c r="AG70" i="1" s="1"/>
  <c r="AE70" i="1"/>
  <c r="AF69" i="1"/>
  <c r="AG69" i="1" s="1"/>
  <c r="AE69" i="1"/>
  <c r="AF68" i="1"/>
  <c r="AG68" i="1" s="1"/>
  <c r="AE68" i="1"/>
  <c r="AF67" i="1"/>
  <c r="AG67" i="1" s="1"/>
  <c r="AE67" i="1"/>
  <c r="AF66" i="1"/>
  <c r="AG66" i="1" s="1"/>
  <c r="AE66" i="1"/>
  <c r="AF65" i="1"/>
  <c r="AG65" i="1" s="1"/>
  <c r="AE65" i="1"/>
  <c r="AF64" i="1"/>
  <c r="AG64" i="1" s="1"/>
  <c r="AE64" i="1"/>
  <c r="AF63" i="1"/>
  <c r="AG63" i="1" s="1"/>
  <c r="AE63" i="1"/>
  <c r="AF62" i="1"/>
  <c r="AG62" i="1" s="1"/>
  <c r="AE62" i="1"/>
  <c r="AF61" i="1"/>
  <c r="AG61" i="1" s="1"/>
  <c r="AF60" i="1"/>
  <c r="AG60" i="1" s="1"/>
  <c r="AF59" i="1"/>
  <c r="AG59" i="1" s="1"/>
  <c r="AE59" i="1"/>
  <c r="AF58" i="1"/>
  <c r="AG58" i="1" s="1"/>
  <c r="AE58" i="1"/>
  <c r="AF57" i="1"/>
  <c r="AG57" i="1" s="1"/>
  <c r="AE57" i="1"/>
  <c r="AF56" i="1"/>
  <c r="AG56" i="1" s="1"/>
  <c r="AE56" i="1"/>
  <c r="AF55" i="1"/>
  <c r="AG55" i="1" s="1"/>
  <c r="AE55" i="1"/>
  <c r="AF54" i="1"/>
  <c r="AG54" i="1" s="1"/>
  <c r="AF53" i="1"/>
  <c r="AG53" i="1" s="1"/>
  <c r="AE53" i="1"/>
  <c r="AF52" i="1"/>
  <c r="AG52" i="1" s="1"/>
  <c r="AE52" i="1"/>
  <c r="AF51" i="1"/>
  <c r="AG51" i="1" s="1"/>
  <c r="AE51" i="1"/>
  <c r="AF50" i="1"/>
  <c r="AG50" i="1" s="1"/>
  <c r="AE50" i="1"/>
  <c r="AF49" i="1"/>
  <c r="AG49" i="1" s="1"/>
  <c r="AE49" i="1"/>
  <c r="AF48" i="1"/>
  <c r="AG48" i="1" s="1"/>
  <c r="AE48" i="1"/>
  <c r="AF47" i="1"/>
  <c r="AG47" i="1" s="1"/>
  <c r="AE47" i="1"/>
  <c r="AF46" i="1"/>
  <c r="AG46" i="1" s="1"/>
  <c r="AE46" i="1"/>
  <c r="AF45" i="1"/>
  <c r="AG45" i="1" s="1"/>
  <c r="AF44" i="1"/>
  <c r="AG44" i="1" s="1"/>
  <c r="AF43" i="1"/>
  <c r="AG43" i="1" s="1"/>
  <c r="AE43" i="1"/>
  <c r="AF42" i="1"/>
  <c r="AG42" i="1" s="1"/>
  <c r="AF41" i="1"/>
  <c r="AG41" i="1" s="1"/>
  <c r="AE41" i="1"/>
  <c r="AF40" i="1"/>
  <c r="AG40" i="1" s="1"/>
  <c r="AE40" i="1"/>
  <c r="AF39" i="1"/>
  <c r="AG39" i="1" s="1"/>
  <c r="AE39" i="1"/>
  <c r="AF38" i="1"/>
  <c r="AG38" i="1" s="1"/>
  <c r="AE38" i="1"/>
  <c r="AF37" i="1"/>
  <c r="AG37" i="1" s="1"/>
  <c r="AE37" i="1"/>
  <c r="AF36" i="1"/>
  <c r="AG36" i="1" s="1"/>
  <c r="AF35" i="1"/>
  <c r="AG35" i="1" s="1"/>
  <c r="AF34" i="1"/>
  <c r="AG34" i="1" s="1"/>
  <c r="AF33" i="1"/>
  <c r="AG33" i="1" s="1"/>
  <c r="AE33" i="1"/>
  <c r="AF32" i="1"/>
  <c r="AG32" i="1" s="1"/>
  <c r="AF31" i="1"/>
  <c r="AG31" i="1" s="1"/>
  <c r="AF30" i="1"/>
  <c r="AG30" i="1" s="1"/>
  <c r="AE30" i="1"/>
  <c r="AF29" i="1"/>
  <c r="AG29" i="1" s="1"/>
  <c r="AE29" i="1"/>
  <c r="AF28" i="1"/>
  <c r="AG28" i="1" s="1"/>
  <c r="AE28" i="1"/>
  <c r="AF27" i="1"/>
  <c r="AG27" i="1" s="1"/>
  <c r="AE27" i="1"/>
  <c r="AF26" i="1"/>
  <c r="AG26" i="1" s="1"/>
  <c r="AE26" i="1"/>
  <c r="AF25" i="1"/>
  <c r="AG25" i="1" s="1"/>
  <c r="AF24" i="1"/>
  <c r="AG24" i="1" s="1"/>
  <c r="AE24" i="1"/>
  <c r="AF23" i="1"/>
  <c r="AG23" i="1" s="1"/>
  <c r="AF22" i="1"/>
  <c r="AG22" i="1" s="1"/>
  <c r="AE22" i="1"/>
  <c r="AF21" i="1"/>
  <c r="AG21" i="1" s="1"/>
  <c r="AE21" i="1"/>
  <c r="AF20" i="1"/>
  <c r="AG20" i="1" s="1"/>
  <c r="AE20" i="1"/>
  <c r="AF19" i="1"/>
  <c r="AG19" i="1" s="1"/>
  <c r="AE19" i="1"/>
  <c r="AF18" i="1"/>
  <c r="AG18" i="1" s="1"/>
  <c r="AF17" i="1"/>
  <c r="AG17" i="1" s="1"/>
  <c r="AE17" i="1"/>
  <c r="AF16" i="1"/>
  <c r="AG16" i="1" s="1"/>
  <c r="AE16" i="1"/>
  <c r="AF15" i="1"/>
  <c r="AG15" i="1" s="1"/>
  <c r="AE15" i="1"/>
  <c r="AF14" i="1"/>
  <c r="AG14" i="1" s="1"/>
  <c r="AE14" i="1"/>
  <c r="AF13" i="1"/>
  <c r="AG13" i="1" s="1"/>
  <c r="AE13" i="1"/>
  <c r="AF12" i="1"/>
  <c r="AG12" i="1" s="1"/>
  <c r="AE12" i="1"/>
  <c r="AF11" i="1"/>
  <c r="AG11" i="1" s="1"/>
  <c r="AE11" i="1"/>
  <c r="AF10" i="1"/>
  <c r="AG10" i="1" s="1"/>
  <c r="AF9" i="1"/>
  <c r="AG9" i="1" s="1"/>
  <c r="AE9" i="1"/>
  <c r="AF8" i="1"/>
  <c r="AG8" i="1" s="1"/>
  <c r="AE8" i="1"/>
  <c r="AF7" i="1"/>
  <c r="AG7" i="1" s="1"/>
  <c r="AE7" i="1"/>
  <c r="AF6" i="1"/>
  <c r="AG6" i="1" s="1"/>
  <c r="AE6" i="1"/>
  <c r="AF5" i="1"/>
  <c r="AG5" i="1" s="1"/>
  <c r="AE5" i="1"/>
  <c r="I114" i="12" l="1"/>
  <c r="I116" i="12" s="1"/>
  <c r="J114" i="12"/>
</calcChain>
</file>

<file path=xl/sharedStrings.xml><?xml version="1.0" encoding="utf-8"?>
<sst xmlns="http://schemas.openxmlformats.org/spreadsheetml/2006/main" count="29359" uniqueCount="4286">
  <si>
    <r>
      <rPr>
        <b/>
        <sz val="16"/>
        <color theme="1"/>
        <rFont val="Calibri"/>
        <family val="2"/>
        <scheme val="minor"/>
      </rPr>
      <t>CONSELHO ESTADUAL DO IDOSO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Rua Boa Vista, 170-  CEP 01204-001 - São Paulo-SP
Fone 11-2763-8122/2763-8035
cei@desenvolvimentosocial.sp.gov.br</t>
    </r>
    <r>
      <rPr>
        <sz val="11"/>
        <color theme="1"/>
        <rFont val="Calibri"/>
        <family val="2"/>
        <scheme val="minor"/>
      </rPr>
      <t xml:space="preserve">
</t>
    </r>
  </si>
  <si>
    <t>ORGANIZAÇÕES SOCIAIS</t>
  </si>
  <si>
    <t>Protocolo</t>
  </si>
  <si>
    <t>OSC/Prefeitura</t>
  </si>
  <si>
    <t>NOME DO PROPONENTE</t>
  </si>
  <si>
    <t>NOME DO PROJETO</t>
  </si>
  <si>
    <t>EIXO</t>
  </si>
  <si>
    <t xml:space="preserve">VALOR TOTAL DO PROJETO </t>
  </si>
  <si>
    <t>MUNICÍPIO</t>
  </si>
  <si>
    <t>DRADS</t>
  </si>
  <si>
    <t>Responsável - OSC</t>
  </si>
  <si>
    <t>EMAIL</t>
  </si>
  <si>
    <t xml:space="preserve">ENTREGUE DIA </t>
  </si>
  <si>
    <t>ETAPA da Análise</t>
  </si>
  <si>
    <t>PENDÊNCIA</t>
  </si>
  <si>
    <t>OBS</t>
  </si>
  <si>
    <t>NOTA 
Gilberto</t>
  </si>
  <si>
    <t>NOTA 
Erica</t>
  </si>
  <si>
    <t>NOTA 
Enizal</t>
  </si>
  <si>
    <t>NOTA 
Walkyria</t>
  </si>
  <si>
    <t>NOTA 
Elisete</t>
  </si>
  <si>
    <t>NOTA
Adriano</t>
  </si>
  <si>
    <t>NOTA 
Paulo Albano</t>
  </si>
  <si>
    <t>NOTA
Alexandra</t>
  </si>
  <si>
    <t>NOTA
Priscila</t>
  </si>
  <si>
    <t>NOTA 
Leila</t>
  </si>
  <si>
    <t xml:space="preserve">NOTA 
Vanise </t>
  </si>
  <si>
    <t>NOTA 
Jeverson</t>
  </si>
  <si>
    <t>NOTA
Cristiane</t>
  </si>
  <si>
    <t>NOTA 
Márcio</t>
  </si>
  <si>
    <t>Média</t>
  </si>
  <si>
    <t>RESULTADO FINAL</t>
  </si>
  <si>
    <t>001/23</t>
  </si>
  <si>
    <t xml:space="preserve">Organização </t>
  </si>
  <si>
    <t xml:space="preserve">Associação São Joaquim de Apoio à Maturidade </t>
  </si>
  <si>
    <t xml:space="preserve">Centro de Convivência Casa Azul </t>
  </si>
  <si>
    <t>Eixo I: Promoção, Assistência e Desenvolvimento Social</t>
  </si>
  <si>
    <t>Carapicuíba/SP</t>
  </si>
  <si>
    <t>DRADS SPO EM OSASCO</t>
  </si>
  <si>
    <t xml:space="preserve">Claudia Regina Ferreira </t>
  </si>
  <si>
    <t>saojoaquim@saojoaquim.org.br</t>
  </si>
  <si>
    <t xml:space="preserve">Classificado </t>
  </si>
  <si>
    <t>002/23</t>
  </si>
  <si>
    <t xml:space="preserve">Irmandade Padre Emanoel </t>
  </si>
  <si>
    <t>CriaMais - Sáude e Arte para Pessoa Idosa</t>
  </si>
  <si>
    <t>-</t>
  </si>
  <si>
    <t>Palmeira d'Oeste/SP</t>
  </si>
  <si>
    <t>DRADS FERNANDÓPOLIS</t>
  </si>
  <si>
    <t xml:space="preserve">Ludimila Bartolomeu Rodrigues </t>
  </si>
  <si>
    <t>lardosidosdedalas@hotmail.com</t>
  </si>
  <si>
    <t>003/23</t>
  </si>
  <si>
    <t>Prefeitura</t>
  </si>
  <si>
    <t xml:space="preserve">Municipal de Palmeira D'Oeste </t>
  </si>
  <si>
    <t xml:space="preserve">Idoso 100% Ativo – Hidroginastica </t>
  </si>
  <si>
    <t xml:space="preserve">Palmeira D'Oeste </t>
  </si>
  <si>
    <t>Lucinele Gabaldi Bertolassi</t>
  </si>
  <si>
    <t>pmpalmeira@ig.com.br</t>
  </si>
  <si>
    <t>Pré-Classificado</t>
  </si>
  <si>
    <t>Plano de trabalho sem n° de páginas</t>
  </si>
  <si>
    <t>004/23</t>
  </si>
  <si>
    <t xml:space="preserve">Santa Casa de Misericordia de Presidente Prudente </t>
  </si>
  <si>
    <t xml:space="preserve">Tratamento Oftalmológico </t>
  </si>
  <si>
    <t>Eixo II: Sáude</t>
  </si>
  <si>
    <t>Presidente Prudente/SP</t>
  </si>
  <si>
    <t>DRADS ALTA SOROCABANA EM PRESIDENTE PRUDENTE</t>
  </si>
  <si>
    <t>William Boscoli Ribeiro</t>
  </si>
  <si>
    <t>analista.adm@santacasaprudente.org.br</t>
  </si>
  <si>
    <t xml:space="preserve">Pré-Classificado </t>
  </si>
  <si>
    <t>Plano de Trabalho sem n° de páginas</t>
  </si>
  <si>
    <t>005/23</t>
  </si>
  <si>
    <t>Associação Santo Agostinho -ASA</t>
  </si>
  <si>
    <t>Saber Mais, Viver Mais</t>
  </si>
  <si>
    <t xml:space="preserve">Eixo III: Educação </t>
  </si>
  <si>
    <t>São Paulo/SP</t>
  </si>
  <si>
    <t>DRADS CAPITAL EM SÃO PAULO</t>
  </si>
  <si>
    <t>Thais Certain</t>
  </si>
  <si>
    <t>thais.certain@asatransforma.org.br</t>
  </si>
  <si>
    <t>006/23</t>
  </si>
  <si>
    <t>Congregação Israelita Paulista</t>
  </si>
  <si>
    <t xml:space="preserve">Núcleo de Convivência da Maturidade </t>
  </si>
  <si>
    <t>Laura Feldman</t>
  </si>
  <si>
    <t>acaosocial@cip.org.br</t>
  </si>
  <si>
    <t>Desclassificado</t>
  </si>
  <si>
    <t>Plano de Trabalho sem Rubricar</t>
  </si>
  <si>
    <t>007/23</t>
  </si>
  <si>
    <t>Associação de Apoio ao Paciente Renal Cronico e Transplantado -Carim</t>
  </si>
  <si>
    <t>Saúde e Movimento</t>
  </si>
  <si>
    <t>Sumaia Cristina Zahra Zakir Pereira</t>
  </si>
  <si>
    <t>carimprudente@yahoo.com. br</t>
  </si>
  <si>
    <t>Falta de Informação do envelope</t>
  </si>
  <si>
    <t>Doc Word</t>
  </si>
  <si>
    <t>008/23</t>
  </si>
  <si>
    <t xml:space="preserve">Lar Fraterno da Acácia </t>
  </si>
  <si>
    <t>Aquisição de cadeira de rodas, cadeira de banho, cama, guarda roupa e utensílios para cozinha</t>
  </si>
  <si>
    <t>Jacareí/SP</t>
  </si>
  <si>
    <t>DRADS VALE DO PARAÍBA EM SÃO JOSÉ DOS CAMPOS</t>
  </si>
  <si>
    <t xml:space="preserve">Flávia Aparecida Gonçalves Nascimento </t>
  </si>
  <si>
    <t>servicosocial.Iarfa@gmail.com</t>
  </si>
  <si>
    <t>Documento Word (Pendrive)</t>
  </si>
  <si>
    <t>009/23</t>
  </si>
  <si>
    <t>Adequação, Acessibilidade</t>
  </si>
  <si>
    <t>010/23</t>
  </si>
  <si>
    <t>Custeio</t>
  </si>
  <si>
    <t>z</t>
  </si>
  <si>
    <t>011/23</t>
  </si>
  <si>
    <t xml:space="preserve">Obra Social e Assistencial São Lucas </t>
  </si>
  <si>
    <t>O amor Exige Cuidado</t>
  </si>
  <si>
    <t>Eixo VII: Cultura, Esporte, Turismo e Lazer</t>
  </si>
  <si>
    <t>São José dos Campos/SP</t>
  </si>
  <si>
    <t xml:space="preserve">Nelcira Rosa da Silva Lima </t>
  </si>
  <si>
    <t>obrasaolucas@terra.com.br</t>
  </si>
  <si>
    <t>012/23</t>
  </si>
  <si>
    <t xml:space="preserve">Municipal de Boraceia </t>
  </si>
  <si>
    <t>Projeto Vida Ativa na Melhor Idade</t>
  </si>
  <si>
    <t xml:space="preserve">Boraceia </t>
  </si>
  <si>
    <t>DRADS BAURU</t>
  </si>
  <si>
    <t>Vania de Souza Melo Carlini</t>
  </si>
  <si>
    <t>orgestorp@hotmail.com</t>
  </si>
  <si>
    <t>Documentos Word (Pendrive)</t>
  </si>
  <si>
    <t>013/23</t>
  </si>
  <si>
    <t>Lar dos Velhinhos Papa João XXIII</t>
  </si>
  <si>
    <t>Cozinha</t>
  </si>
  <si>
    <t>Salto Grande/SP</t>
  </si>
  <si>
    <t>DRADS AVARÉ</t>
  </si>
  <si>
    <t>Bruna Fernandes Araujo</t>
  </si>
  <si>
    <t>asilosaltogrande@hotmail.com</t>
  </si>
  <si>
    <t>014/23</t>
  </si>
  <si>
    <t>Lar do Velhinhos Papa João XXIII</t>
  </si>
  <si>
    <t xml:space="preserve">Lavanderia </t>
  </si>
  <si>
    <t>asiloaltogrande@hotmail.com</t>
  </si>
  <si>
    <t xml:space="preserve">Verificar se não são repetidos (Protocolo 014 e 348/23) </t>
  </si>
  <si>
    <t>015/23</t>
  </si>
  <si>
    <t>Associação Lar dos Idosos de Alvares Machado</t>
  </si>
  <si>
    <t>EQUIPAR II</t>
  </si>
  <si>
    <t>Álvares Machado/SP</t>
  </si>
  <si>
    <t>Gislaine Girotti Zanoni</t>
  </si>
  <si>
    <t>lardosidososdam@yahoo.com.br</t>
  </si>
  <si>
    <t>016/23</t>
  </si>
  <si>
    <t xml:space="preserve">ACBNIBRA Associação Cultural, Beneficiente e Esportiva Nipo Brasileiro de Jacupiranga </t>
  </si>
  <si>
    <t>Projeto Jacupiranga Melhor Idade</t>
  </si>
  <si>
    <t>Jacupiranga/SP</t>
  </si>
  <si>
    <t>DRADS VALE DO RIBEIRA EM REGISTRO</t>
  </si>
  <si>
    <t xml:space="preserve">SR. Angelo </t>
  </si>
  <si>
    <t>saitto@terra.combr</t>
  </si>
  <si>
    <t>017/23</t>
  </si>
  <si>
    <t>União Espírita Cachoerense</t>
  </si>
  <si>
    <t xml:space="preserve">Energia do Bem </t>
  </si>
  <si>
    <t>Cachoeira Paulista/SP</t>
  </si>
  <si>
    <t>DéboraFerreira Comonian</t>
  </si>
  <si>
    <t>u.e.c.1918@gmail.com</t>
  </si>
  <si>
    <t>018/23</t>
  </si>
  <si>
    <t>Obra Unida Lar São Vicente de Paulo de Guariba</t>
  </si>
  <si>
    <t>Ambiência para o bem-estar e eficiência na aplicação de recursos</t>
  </si>
  <si>
    <t>Guariba/SP</t>
  </si>
  <si>
    <t>DRADS RIBEIRÃO PRETO</t>
  </si>
  <si>
    <t>Gabriel Lopes</t>
  </si>
  <si>
    <t>larsvpguariba@hotmail.com</t>
  </si>
  <si>
    <t xml:space="preserve">PDF sem rubricas </t>
  </si>
  <si>
    <t>019/23</t>
  </si>
  <si>
    <t xml:space="preserve">Municipal de Pratânia </t>
  </si>
  <si>
    <t xml:space="preserve">Grupo Melhor Idade </t>
  </si>
  <si>
    <t>Pratânia/SP</t>
  </si>
  <si>
    <t>DRADS BOTUCATU</t>
  </si>
  <si>
    <t>Elaine Cristina Rodrigues Honorato</t>
  </si>
  <si>
    <t xml:space="preserve">                cras@boraceia.sp.gov.br</t>
  </si>
  <si>
    <t>020/23</t>
  </si>
  <si>
    <t>Municipal  de Regente Feijó</t>
  </si>
  <si>
    <t xml:space="preserve">Fomento aos Direitos da Pessoa Idosa de Regente Feijó </t>
  </si>
  <si>
    <t xml:space="preserve">Regente Feijó </t>
  </si>
  <si>
    <t>Marcel Henrique de Mello Moraes</t>
  </si>
  <si>
    <t>asocial1@pratania.sp.gov.br</t>
  </si>
  <si>
    <t>021/23</t>
  </si>
  <si>
    <t>Lar São Vicente de Paulo</t>
  </si>
  <si>
    <t>Revitalizar Para Melhor Viver</t>
  </si>
  <si>
    <t>Eixo V: Habitação e Urbanismo</t>
  </si>
  <si>
    <t>Santa Cruz do Rio Pardo/SP</t>
  </si>
  <si>
    <t>Acácio Henrique de Lima</t>
  </si>
  <si>
    <t>s.v.paulo@hotmail.com</t>
  </si>
  <si>
    <t>022/23</t>
  </si>
  <si>
    <t xml:space="preserve">Reforma e Ampliação da Sala de Fisioterapia do Lar São Vicente de Paulo </t>
  </si>
  <si>
    <t>Bernadino de Campo/SP</t>
  </si>
  <si>
    <t>DRADS BARRETOS</t>
  </si>
  <si>
    <t>Antônio Roberto de Oliveira</t>
  </si>
  <si>
    <t>Iarsaovicente@cednet. com. Br</t>
  </si>
  <si>
    <t xml:space="preserve">Plano e Pendrive OK </t>
  </si>
  <si>
    <t>023/23</t>
  </si>
  <si>
    <t>Municipal de São Jose do Rio Preto</t>
  </si>
  <si>
    <t>Oficinas e atividades artístico-culturais como instrumento de Intervenção Social Emancipatória para a pessoa idosa em situação de vulnerabilidade social</t>
  </si>
  <si>
    <t>São Jose do Rio Preto/SP</t>
  </si>
  <si>
    <t>DRADS: SÃO JOSÉ DO RIO PRETO</t>
  </si>
  <si>
    <t>Eliana Cristina Lechado</t>
  </si>
  <si>
    <t>convenio@regentefeijo.sp.gov.br</t>
  </si>
  <si>
    <t>024/23</t>
  </si>
  <si>
    <t xml:space="preserve">Abrigo Lar de Jesus </t>
  </si>
  <si>
    <t>Bem Estar na Melhor Idade de Anhumas</t>
  </si>
  <si>
    <t>Anhumas/SP</t>
  </si>
  <si>
    <t xml:space="preserve">Robson Mariano </t>
  </si>
  <si>
    <t>abrigolardejesus@hotmail.com</t>
  </si>
  <si>
    <t>025/23</t>
  </si>
  <si>
    <t xml:space="preserve">Associação Congregação de Santa Catarina </t>
  </si>
  <si>
    <t>Idoso Digital: Inclusão e Fortalecimento da Cidadania para a Pessoa Idosa</t>
  </si>
  <si>
    <t>Guarulhos/SP</t>
  </si>
  <si>
    <t>DRADS SPN EM GUARULHOS</t>
  </si>
  <si>
    <t>Mariana S Leonardo</t>
  </si>
  <si>
    <t>marina.leonardo@redesc.org.br</t>
  </si>
  <si>
    <t>026/23</t>
  </si>
  <si>
    <t>Arte em Movimento: A Pessoa Idosa como Consumidora, Produtora e Disseminadora de Cultura</t>
  </si>
  <si>
    <t>Mariana S. Leonardo</t>
  </si>
  <si>
    <t>mariana.leonardo@redesc.org.br</t>
  </si>
  <si>
    <t>027/23</t>
  </si>
  <si>
    <t>Lar São Vicente de Paulo de Taquarituba</t>
  </si>
  <si>
    <t>Acessibilidade</t>
  </si>
  <si>
    <t>Taquarituba/SP</t>
  </si>
  <si>
    <t>Isabela Steinert Gabriel</t>
  </si>
  <si>
    <t>larsaovicente-taquarituba@hotmail.com</t>
  </si>
  <si>
    <t>028/23</t>
  </si>
  <si>
    <t xml:space="preserve">Garantia de Bem Estar </t>
  </si>
  <si>
    <t>029/23</t>
  </si>
  <si>
    <t xml:space="preserve">Higiene Digna </t>
  </si>
  <si>
    <t>030/23</t>
  </si>
  <si>
    <t>Municipal de Bastos</t>
  </si>
  <si>
    <t xml:space="preserve">Idoso em Movimento </t>
  </si>
  <si>
    <t>Bastos/SP</t>
  </si>
  <si>
    <t>DRADS MARÍLIA</t>
  </si>
  <si>
    <t>Luzia Kiyoko Honda</t>
  </si>
  <si>
    <t>semas@riopreto.sp.gov.br</t>
  </si>
  <si>
    <t xml:space="preserve">Reprovado </t>
  </si>
  <si>
    <t xml:space="preserve">Aquisição de Veiculo </t>
  </si>
  <si>
    <t>031/23</t>
  </si>
  <si>
    <t xml:space="preserve">Longevidade Ativa e Protegida </t>
  </si>
  <si>
    <t>pmbab@Bastos.sp.gov.br</t>
  </si>
  <si>
    <t>032/23</t>
  </si>
  <si>
    <t xml:space="preserve">Municipal  São Cetano </t>
  </si>
  <si>
    <t>Terceira Idade em Movimento</t>
  </si>
  <si>
    <t>São Caetano do Sul/SP</t>
  </si>
  <si>
    <t>DRADS ABC EM SANTO ANDRÉ</t>
  </si>
  <si>
    <t xml:space="preserve">Tatiana </t>
  </si>
  <si>
    <t>033/23</t>
  </si>
  <si>
    <t>Asilo João kuhl Filho</t>
  </si>
  <si>
    <t>Colorir</t>
  </si>
  <si>
    <t>Limeira/SP</t>
  </si>
  <si>
    <t>DRADS PIRACICABA</t>
  </si>
  <si>
    <t>Bárbara Letícia Barbosa Pereira</t>
  </si>
  <si>
    <t>kuhlfilho@yahoo.com</t>
  </si>
  <si>
    <t>034/23</t>
  </si>
  <si>
    <t xml:space="preserve">Municipal de Votuporanga </t>
  </si>
  <si>
    <t xml:space="preserve">Vida Longa com Automonia e Bem Estar </t>
  </si>
  <si>
    <t>Votuporanga/SP</t>
  </si>
  <si>
    <t>Meire Regina de Azevedo</t>
  </si>
  <si>
    <t>protecaosocialespecial@votuporanga.sp.gov.br</t>
  </si>
  <si>
    <t>035/23</t>
  </si>
  <si>
    <t>Associação AnhumasQuero-Quero</t>
  </si>
  <si>
    <t xml:space="preserve">ConVIVER: Incentivando a Plenitude na 3° Idade </t>
  </si>
  <si>
    <t>Campinas/SP</t>
  </si>
  <si>
    <t>DRADS CAMPINAS</t>
  </si>
  <si>
    <t>Felipe Brandão Teles</t>
  </si>
  <si>
    <t>administrativo@aaqq.org.br</t>
  </si>
  <si>
    <t>036/23</t>
  </si>
  <si>
    <t>Lar dos Velhinhos Santo Antônio de Juquiá  LVSA</t>
  </si>
  <si>
    <t xml:space="preserve">Projeto Viver Bem </t>
  </si>
  <si>
    <t>Eixo I: Promoção, Assistência e Desenvolvimento Social
Eixo VII: Cultura, Esporte, Turismo e Lazer</t>
  </si>
  <si>
    <t>Juquia/SP</t>
  </si>
  <si>
    <t xml:space="preserve">Rhiane Mello dos Santos Fernandes </t>
  </si>
  <si>
    <t>lardosidososdejuquia@gmail.com</t>
  </si>
  <si>
    <t>037/23</t>
  </si>
  <si>
    <t xml:space="preserve">Pintura e Reparos na Instituição </t>
  </si>
  <si>
    <t>038/23</t>
  </si>
  <si>
    <t xml:space="preserve">Lar Fraterno São Vicente de Apiaí </t>
  </si>
  <si>
    <t xml:space="preserve">Mais conforto </t>
  </si>
  <si>
    <t>Apiaí/SP</t>
  </si>
  <si>
    <t>DRADS ITAPEVA</t>
  </si>
  <si>
    <t xml:space="preserve">Alaíme Yuki monteiro Takiguchi Correa </t>
  </si>
  <si>
    <t>asiloapiai@hotmail.com</t>
  </si>
  <si>
    <t>FALTOU PREENCHER ITEM 6(metodo e dinamica do trabalho) , ITEM 10, 11 E 12 - ORÇAMENTO.</t>
  </si>
  <si>
    <t>039/23</t>
  </si>
  <si>
    <t xml:space="preserve">Buscando Qualidade de Vida </t>
  </si>
  <si>
    <t>040/23</t>
  </si>
  <si>
    <t>Municipal de Apiaí</t>
  </si>
  <si>
    <t>Conhecendo População de Pessoas Idosas</t>
  </si>
  <si>
    <t>Sergio Victor Borges Barbosa</t>
  </si>
  <si>
    <t>deptosocial@nantes.sp.gov.br</t>
  </si>
  <si>
    <t>041/23</t>
  </si>
  <si>
    <t>Em busca de um sonho</t>
  </si>
  <si>
    <t>VII –Turismo</t>
  </si>
  <si>
    <t>042/23</t>
  </si>
  <si>
    <t>Segurança e Qualidade do Atendimento as Pessoas Idosas</t>
  </si>
  <si>
    <t>social.apiai@gmail.com</t>
  </si>
  <si>
    <t>043/23</t>
  </si>
  <si>
    <t xml:space="preserve">Sociedade Espirita Cinco de Setembro </t>
  </si>
  <si>
    <t>Acolhendo com Amor - Casa do Vovô - Reforma Hidráulica</t>
  </si>
  <si>
    <t>Ribeirão Preto/SP</t>
  </si>
  <si>
    <t>Tatiane Tavares</t>
  </si>
  <si>
    <t>casadovovo@casadovovo.org.br</t>
  </si>
  <si>
    <t>044/23</t>
  </si>
  <si>
    <t xml:space="preserve">Cuidar com Excelência: Valorizando a Saúde da Pessoa Idosa </t>
  </si>
  <si>
    <t>045/23</t>
  </si>
  <si>
    <t xml:space="preserve">Viver Ativo - Fomentando Saúde e Integração em Pessoas Idosas </t>
  </si>
  <si>
    <t>046/23</t>
  </si>
  <si>
    <t>Lar dos Velhos da Igreja presbiteriana de Ribeirão Preto</t>
  </si>
  <si>
    <t xml:space="preserve">Tecnologia para a Terceira Idade  - Inclusão Digital e Social  </t>
  </si>
  <si>
    <t>Eixo III: Educação</t>
  </si>
  <si>
    <t>Rosangela Aparecida Bellomo Minuti</t>
  </si>
  <si>
    <t>coordenacao@lardosvelhos.com.br</t>
  </si>
  <si>
    <t>047/23</t>
  </si>
  <si>
    <t>Adequação e Modernização do Ambiente Institucional: Acolhendo com Dignidade e Respeito</t>
  </si>
  <si>
    <t>Projeto Duplicado (047/23 e 225/23)</t>
  </si>
  <si>
    <t>048/23</t>
  </si>
  <si>
    <t>Circulo de Trabalhadores Cristoes de Vila Tibério</t>
  </si>
  <si>
    <t>Acolhendo a Melhor Idade</t>
  </si>
  <si>
    <t>Luiz Carlos Peruchi</t>
  </si>
  <si>
    <t>circulooperariorp@hotmail.com</t>
  </si>
  <si>
    <t>049/23</t>
  </si>
  <si>
    <t>Associação Assistencial Maria de Nazaré</t>
  </si>
  <si>
    <t xml:space="preserve">Ambientar é Cuidar </t>
  </si>
  <si>
    <t>Gislene Mazer</t>
  </si>
  <si>
    <t>social@vovoalbano.org.br</t>
  </si>
  <si>
    <t>Sem valor no plano de trabalho (apenas o valor no cronograma)</t>
  </si>
  <si>
    <t>050/23</t>
  </si>
  <si>
    <t>Municipal de Nantes</t>
  </si>
  <si>
    <t xml:space="preserve">Bem Estar na Melhor Idade </t>
  </si>
  <si>
    <t>Nantes/SP</t>
  </si>
  <si>
    <t>Aline Fernanda de Jesus Souza</t>
  </si>
  <si>
    <t>051/23</t>
  </si>
  <si>
    <t>Abrigo de Idosos Recanto do Vovô de Presidente Epitácio-SP</t>
  </si>
  <si>
    <t>Adequações e melhorias dos banheiros feminino e masculino</t>
  </si>
  <si>
    <t>Presidente Epitácio/SP</t>
  </si>
  <si>
    <t>Virgínio Antonio Mechior</t>
  </si>
  <si>
    <t>financeiro@recantodovovo.org.br</t>
  </si>
  <si>
    <t>052/23</t>
  </si>
  <si>
    <t>Associação de pais e Amigos dos Excepicinais de São Paulo (Jô Clemente)</t>
  </si>
  <si>
    <t>Inclusão e Prevenção da Saúde da Pessoa Idosa com Deficiência Intelectual</t>
  </si>
  <si>
    <t>Fabio Rubson</t>
  </si>
  <si>
    <t>projetos@ijc.org.br</t>
  </si>
  <si>
    <t>053/23</t>
  </si>
  <si>
    <t>Movimento Organizacional Vencer, Educar e Realizar - MOVER HELIPA</t>
  </si>
  <si>
    <t>Projeto Gastronomia e Saberes da Pessoa Idosa</t>
  </si>
  <si>
    <t>Eixo IV: Trabalho e Previdência Social</t>
  </si>
  <si>
    <t>Jose Renato</t>
  </si>
  <si>
    <t>moverhelipa@gmail.com</t>
  </si>
  <si>
    <t>054/23</t>
  </si>
  <si>
    <t>Sociedade São Vicentede Paulo Nossa Senhora das Dores</t>
  </si>
  <si>
    <t>Cuidar, um Ato de Amor</t>
  </si>
  <si>
    <t>São Caeteno/SP</t>
  </si>
  <si>
    <t>Marli Barreto Felício</t>
  </si>
  <si>
    <t>sovipansd@yahoo.com.br</t>
  </si>
  <si>
    <t>055/23</t>
  </si>
  <si>
    <t>Melhorias e Adequações das Condições de Habitabilidade</t>
  </si>
  <si>
    <t>Descalvado/SP</t>
  </si>
  <si>
    <t>DRADS ARARAQUARA</t>
  </si>
  <si>
    <t>Vírginia Elaine da S. N. Guiguer</t>
  </si>
  <si>
    <t>larsao vicentepaulo@terra.com.br</t>
  </si>
  <si>
    <t>056/23</t>
  </si>
  <si>
    <t>Aquisição de camas motorizadas e colchões</t>
  </si>
  <si>
    <t>057/23</t>
  </si>
  <si>
    <t>Municipal de Descalvado</t>
  </si>
  <si>
    <t>Marly Colognesi Reschini</t>
  </si>
  <si>
    <t>058/23</t>
  </si>
  <si>
    <t xml:space="preserve">Sempre Sorrindo </t>
  </si>
  <si>
    <t>casadoidoso@descalvado.sp.gov.br</t>
  </si>
  <si>
    <t>Plano sem n° de páginas</t>
  </si>
  <si>
    <t>059/23</t>
  </si>
  <si>
    <t xml:space="preserve">Ouvir Melhor </t>
  </si>
  <si>
    <t>060/2</t>
  </si>
  <si>
    <t>Plantando Semente da Longevidade</t>
  </si>
  <si>
    <t>061/23</t>
  </si>
  <si>
    <t xml:space="preserve">Melhor Qualidade de Vida e Bem Estar dos Idosos Institucionalizados </t>
  </si>
  <si>
    <t>Barra Bonita/SP</t>
  </si>
  <si>
    <t xml:space="preserve">Adriana Vieira </t>
  </si>
  <si>
    <t>ispvbb@hotmail.com</t>
  </si>
  <si>
    <t>Plano de Trabalho sem rubricar</t>
  </si>
  <si>
    <t>062/23</t>
  </si>
  <si>
    <t>Centro Espírita Cristão (CEC)- Lar de Amparo a Velhice de Barra Bonita/SP</t>
  </si>
  <si>
    <t>CEC Bem Viver</t>
  </si>
  <si>
    <t xml:space="preserve">Luiz Pizzo </t>
  </si>
  <si>
    <t>ceclaramparo@gmail.com</t>
  </si>
  <si>
    <t xml:space="preserve">PDF sem assinar e rubricar </t>
  </si>
  <si>
    <t>063/23</t>
  </si>
  <si>
    <t xml:space="preserve">Investimento no Bem-Estar dos Idosos Institucionalizados </t>
  </si>
  <si>
    <t>Mineiros do Tietê/SP</t>
  </si>
  <si>
    <t>Vera Lúcia Giraldi Real</t>
  </si>
  <si>
    <t>asilosaovicente.mtiete@gmail.com</t>
  </si>
  <si>
    <t>064/23</t>
  </si>
  <si>
    <t>Assistencia Vicentina do Senhor Jesus</t>
  </si>
  <si>
    <t xml:space="preserve">Lar Doce Lar de Matão </t>
  </si>
  <si>
    <t>Matão/SP</t>
  </si>
  <si>
    <t>Marisa Albino</t>
  </si>
  <si>
    <t>larsaovicente@process.com.br</t>
  </si>
  <si>
    <t>065/23</t>
  </si>
  <si>
    <t>Associação Social Comunidade de Amor</t>
  </si>
  <si>
    <t xml:space="preserve">Construindo Laços: Um Caminho para o Bem Estar dos Idosos </t>
  </si>
  <si>
    <t>Sorocaba/SP</t>
  </si>
  <si>
    <t>DRADS SOROCABA</t>
  </si>
  <si>
    <t>Mariangela Geraldi</t>
  </si>
  <si>
    <t>projetoacolhe2@gmail.com</t>
  </si>
  <si>
    <t>066/23</t>
  </si>
  <si>
    <t>Casa do Vovô Feliz</t>
  </si>
  <si>
    <t>Velha história, Novos Retalhos – Resgatando Vidas</t>
  </si>
  <si>
    <t>Itapecerica da Serra/SP</t>
  </si>
  <si>
    <t>Teresa Takemura Kawasaki</t>
  </si>
  <si>
    <t>cvf@casadovovofeliz.or.br</t>
  </si>
  <si>
    <t>067/23</t>
  </si>
  <si>
    <t>Municipal de Cassia dos Coqueiros</t>
  </si>
  <si>
    <t>Saber Viver na Melhor Idade</t>
  </si>
  <si>
    <t>Cássia dos Coqueiros/SP</t>
  </si>
  <si>
    <t xml:space="preserve">Silvio Santos dos Reis Faria </t>
  </si>
  <si>
    <t>068/2</t>
  </si>
  <si>
    <t xml:space="preserve">Casa de Oração Amor  Luz </t>
  </si>
  <si>
    <t>Serviço de Convivência e Fortalecimento de Vínculos — SCFV para Pessoas Idosas, com idade igual ou acima de 60 anos</t>
  </si>
  <si>
    <t>Maria Cristina Sundfeld</t>
  </si>
  <si>
    <t>Coalsocial@gmail.com</t>
  </si>
  <si>
    <t>069/23</t>
  </si>
  <si>
    <t>Lar dos Velhinhos São Vicente de Paulo</t>
  </si>
  <si>
    <t xml:space="preserve">Renovar </t>
  </si>
  <si>
    <t>Urânia/SP</t>
  </si>
  <si>
    <t>Zélia Souza Silva</t>
  </si>
  <si>
    <t>lardos velhinhos1@hotmail.com</t>
  </si>
  <si>
    <t>3 planos de trabalho no mesmo pendrive</t>
  </si>
  <si>
    <t>070/23</t>
  </si>
  <si>
    <t xml:space="preserve">Idoso Jovem </t>
  </si>
  <si>
    <t>Sem Pendrive</t>
  </si>
  <si>
    <t>071/23</t>
  </si>
  <si>
    <t xml:space="preserve">Meu Quarto Meus Sonhos </t>
  </si>
  <si>
    <t>072/23</t>
  </si>
  <si>
    <t>Lar São Francisco de Assis Asilo</t>
  </si>
  <si>
    <t>Centro de Convivio da Pessoa Idosa</t>
  </si>
  <si>
    <t>Araraquara/SP</t>
  </si>
  <si>
    <t>Maria Elena Baptista</t>
  </si>
  <si>
    <t>azilo@uol.com.br</t>
  </si>
  <si>
    <t>073/23</t>
  </si>
  <si>
    <t>Registro Conselho Municipal - ARTGYM - LTDA</t>
  </si>
  <si>
    <t>Estímulos da Sinapse Neurológica para a Saúde física e Mental, por meio da Dança e do Movimento Ginástico Sistematizados para a Melhor Idade de Araraquara-SP</t>
  </si>
  <si>
    <t>Henrique Sanioto</t>
  </si>
  <si>
    <t>professorsanioto@gmail.com</t>
  </si>
  <si>
    <t>Nota 0 no item 1 - CNPJ de Sociedade Empresaria Limitada (Jeverson) e ideam ao item 1 obs da Erica</t>
  </si>
  <si>
    <t>074/23</t>
  </si>
  <si>
    <t>Municipal D'Oeste</t>
  </si>
  <si>
    <t xml:space="preserve">Bem Viver </t>
  </si>
  <si>
    <t>Aparecida D'Oeste/SP</t>
  </si>
  <si>
    <t>Sandra Regina Penariol</t>
  </si>
  <si>
    <t>adm@pmaparecidadoeste.sp.gov.br</t>
  </si>
  <si>
    <t>075/23</t>
  </si>
  <si>
    <t>Associação Centros Etievan</t>
  </si>
  <si>
    <t>Repórter 60+</t>
  </si>
  <si>
    <t>Eixo III: Educação
Eixo VII: (Cultura, Esporte, Turismo e Lazer</t>
  </si>
  <si>
    <t>Guapiaçu/SP</t>
  </si>
  <si>
    <t>DRADS SÃO JOSÉ DO RIO PRETO</t>
  </si>
  <si>
    <t>Isabel Dsávila</t>
  </si>
  <si>
    <t>coordenacao@centrosetievan.com.br</t>
  </si>
  <si>
    <t>Verificar Comissão: plano de trabalho com 2 eixos, no envelope consta apenas 1.</t>
  </si>
  <si>
    <t>076/23</t>
  </si>
  <si>
    <t>Lar São Vicente Obra Padre Donizetti</t>
  </si>
  <si>
    <t>Qualificação de Equipamentos e Ambientes Lar São Vicente - Obra Padre Donizetti</t>
  </si>
  <si>
    <t>Tambáu/SP</t>
  </si>
  <si>
    <t>DRADS MOGIANA EM SÃO JOÃO DA BOA VISTA</t>
  </si>
  <si>
    <t>Urbano Antoninho Giorgetti</t>
  </si>
  <si>
    <t>obrapdonizetti@hotmail.com</t>
  </si>
  <si>
    <t>077/23</t>
  </si>
  <si>
    <t>Serviço de Obras Sociais de Tambáu-S.O.S</t>
  </si>
  <si>
    <t>Aconchego</t>
  </si>
  <si>
    <t>Jose Luiz Furtado</t>
  </si>
  <si>
    <t>sostambau@strnet.com.br</t>
  </si>
  <si>
    <t>078/23</t>
  </si>
  <si>
    <t>Associação Franciscana de Solidariedade</t>
  </si>
  <si>
    <t xml:space="preserve">Bem Viver - Envelhecer com Qualidade em São Paulo </t>
  </si>
  <si>
    <t xml:space="preserve">Regina Pessoa </t>
  </si>
  <si>
    <t>Projetos@sefras.org.br</t>
  </si>
  <si>
    <t xml:space="preserve">Plano sem rubricar </t>
  </si>
  <si>
    <t>079/23</t>
  </si>
  <si>
    <t>Vida Plena- Envelhecer com Qualidade</t>
  </si>
  <si>
    <t>Pindamonhangaba/SP</t>
  </si>
  <si>
    <t>080/23</t>
  </si>
  <si>
    <t xml:space="preserve">Novos Tempos - Envelhecer com Qualidade em Mogi das Cruzes </t>
  </si>
  <si>
    <t>081/23</t>
  </si>
  <si>
    <t>Vila Vicentina em Brotas</t>
  </si>
  <si>
    <t>Entreterimento aos Idosos (Televisor de 85")</t>
  </si>
  <si>
    <t>Brotas/SP</t>
  </si>
  <si>
    <t>Neuza Maria Pascoalotti Berto</t>
  </si>
  <si>
    <t>vilavicentinoembrotas@outlook.com</t>
  </si>
  <si>
    <t xml:space="preserve">Pendrive com 3 Projetos </t>
  </si>
  <si>
    <t>082/23</t>
  </si>
  <si>
    <t>Bem Estar Social aos Idosos (mesas e Cadeiras)</t>
  </si>
  <si>
    <t>083/23</t>
  </si>
  <si>
    <t xml:space="preserve">Aconchego aos Idosos (Poltrona do Papai Reclinável) </t>
  </si>
  <si>
    <t>084/23</t>
  </si>
  <si>
    <t>Instituto Acorde</t>
  </si>
  <si>
    <t xml:space="preserve">Centro Dia – Um novo olhar </t>
  </si>
  <si>
    <t>São Carlos/SP</t>
  </si>
  <si>
    <t>Cleonice Lavandoski Amato</t>
  </si>
  <si>
    <t>acorde@institutoacorde.org.br</t>
  </si>
  <si>
    <t>085/23</t>
  </si>
  <si>
    <t>Associação Cultural Artistica Cine favela</t>
  </si>
  <si>
    <t>Inclusão Digital de Pessoas Idosas no Cine Favela Heliópolis</t>
  </si>
  <si>
    <t>Geneci Ledo de Tulio</t>
  </si>
  <si>
    <t>cinefavela@gmail.com</t>
  </si>
  <si>
    <t>086/23</t>
  </si>
  <si>
    <t xml:space="preserve">Grupo de Apoio dona Benedita </t>
  </si>
  <si>
    <t xml:space="preserve">Mantendo Vivos Nossos Sorrisos </t>
  </si>
  <si>
    <t>Sete Barras</t>
  </si>
  <si>
    <t>Micaela Oliveira</t>
  </si>
  <si>
    <t>casaamigosdasb@gmail.com</t>
  </si>
  <si>
    <t>087/23</t>
  </si>
  <si>
    <t>Lar dos Velhinhos da Sociedade São Vicente de Paulo</t>
  </si>
  <si>
    <t>Vida Plena - Cuidando do Amanhã</t>
  </si>
  <si>
    <t>Santo Antonio da Alegria/SP</t>
  </si>
  <si>
    <t>Luiz Ricardo dos Santos</t>
  </si>
  <si>
    <t>lardosvelhinhossssvp2015@hotmail.com</t>
  </si>
  <si>
    <t>Plano e Pendrive OK
(verificar o formato do Plano de Trabalho)</t>
  </si>
  <si>
    <t>088/23</t>
  </si>
  <si>
    <t>Municipal de Itapira</t>
  </si>
  <si>
    <t xml:space="preserve">Assistência Fisioterapêutica Domiciliar em Idosos Acamadoa </t>
  </si>
  <si>
    <t>Itapira/SP</t>
  </si>
  <si>
    <t>Márcia de Jesus de Oliveira</t>
  </si>
  <si>
    <t>089/23</t>
  </si>
  <si>
    <t xml:space="preserve">Municipal Santa Cruz da Esperança </t>
  </si>
  <si>
    <t xml:space="preserve">Trilhas das Memorias </t>
  </si>
  <si>
    <t>Santa Cruz da Esperança/SP</t>
  </si>
  <si>
    <t>Celia Cristina Cestari</t>
  </si>
  <si>
    <t>gabinetedoprefeito@itapira.sp.gov.br</t>
  </si>
  <si>
    <t xml:space="preserve">PDF sem assinatura e rubrica </t>
  </si>
  <si>
    <t>090/23</t>
  </si>
  <si>
    <t xml:space="preserve">Associação Cultural e Social do Idoso Criança e Adolescente </t>
  </si>
  <si>
    <t>Exposição do Samba - Velha Guarda</t>
  </si>
  <si>
    <t>Emerson de Godoy Costas dos Santos</t>
  </si>
  <si>
    <t>coordenacaoacsica@hotmail.com</t>
  </si>
  <si>
    <t>091/23</t>
  </si>
  <si>
    <t xml:space="preserve">Associação Beneficiente Bom Jesus </t>
  </si>
  <si>
    <t xml:space="preserve">Viver Bem </t>
  </si>
  <si>
    <t>Pilar do Sul/SP</t>
  </si>
  <si>
    <t>Sergio Luis Ribeiro</t>
  </si>
  <si>
    <t>larbomjesus.pilardosul@gmail.com</t>
  </si>
  <si>
    <t>092/23</t>
  </si>
  <si>
    <t xml:space="preserve">Projeto Gente Nova </t>
  </si>
  <si>
    <t xml:space="preserve">Envelhecência: Envelhecer com Dignidade </t>
  </si>
  <si>
    <t>Claudio Raizaro</t>
  </si>
  <si>
    <t>progen@progen.gor.vbr</t>
  </si>
  <si>
    <t>093/23</t>
  </si>
  <si>
    <t>Associação Comunidade em Ação êxodo</t>
  </si>
  <si>
    <t>Sênior healt: espaço de práticas integrativas</t>
  </si>
  <si>
    <t>Bauru/SP</t>
  </si>
  <si>
    <t>Arianni Pereira Milano</t>
  </si>
  <si>
    <t>instituicaoacae@yahoo.com.br</t>
  </si>
  <si>
    <t>094/23</t>
  </si>
  <si>
    <t xml:space="preserve">Caritas Diocesana de Bauru </t>
  </si>
  <si>
    <t>Saúde na Melhor Idade</t>
  </si>
  <si>
    <t xml:space="preserve">Osvaldo Aparecido Hudinik </t>
  </si>
  <si>
    <t>coordenacao@caritasbauru.org.br</t>
  </si>
  <si>
    <t>095/23</t>
  </si>
  <si>
    <t>Associação Bauruense de Apoio e Assistência ao Renal Crônico - ABREC</t>
  </si>
  <si>
    <t>Apoio e Cuidado para Viver Melhor</t>
  </si>
  <si>
    <t>Daiane Cordeiro de Mattos Souza</t>
  </si>
  <si>
    <t>abrec.seid@gmail.com</t>
  </si>
  <si>
    <t>096/23</t>
  </si>
  <si>
    <t>Rede do Câncer de Lençois Paulista</t>
  </si>
  <si>
    <t>Projetos que contemplem o fornecimento de próteses, órteses e outros recursos relativos ao tratamento, habilitação ou reabilitação de pessoas idosas, conforme artigo 15, 2º da lei federal nº 10.741/2003 e suas alterações</t>
  </si>
  <si>
    <t>Lençois Paulista/SP</t>
  </si>
  <si>
    <t>Angela Silvana Fermino</t>
  </si>
  <si>
    <t>rededocancerrlp@Gmail.com</t>
  </si>
  <si>
    <t>097/23</t>
  </si>
  <si>
    <t>Municipal Capela do Alto/SP</t>
  </si>
  <si>
    <t>Viva Vida</t>
  </si>
  <si>
    <t>Capela do Alto/SP</t>
  </si>
  <si>
    <t>Sonia Rodrigues Carriel</t>
  </si>
  <si>
    <t>gabinete.semas@birigui.sp.gov.br</t>
  </si>
  <si>
    <t>PDF sem assinatira e rubrica</t>
  </si>
  <si>
    <t>098/23</t>
  </si>
  <si>
    <t>Instituto Brasileiro de Desenvolvimento Social e Humano</t>
  </si>
  <si>
    <t>VoVs PoD</t>
  </si>
  <si>
    <t xml:space="preserve">Marcelo Gomes Freitas Rezende </t>
  </si>
  <si>
    <t>contatoibbdes@gmail.com</t>
  </si>
  <si>
    <t>099/23</t>
  </si>
  <si>
    <t>TURI - Turismo Urbano Imersivo</t>
  </si>
  <si>
    <t>100/23</t>
  </si>
  <si>
    <t>Hackathon 60+</t>
  </si>
  <si>
    <t>101/23</t>
  </si>
  <si>
    <t>Vila Vicentina AraraquaraObra Unida á Sociedade de São Vicente de Paulo</t>
  </si>
  <si>
    <t xml:space="preserve">Melhorias Estruturais na Instalação Vila Vicentina de Araraquara </t>
  </si>
  <si>
    <t>Nathan Reinaldo Carvalho Silva</t>
  </si>
  <si>
    <t>servicosocial@vilavicentinaararaquara.org.br</t>
  </si>
  <si>
    <t>PDF sem nº de páginas e rubricas</t>
  </si>
  <si>
    <t>Pendrive com vários outros Projetos</t>
  </si>
  <si>
    <t>102/23</t>
  </si>
  <si>
    <t xml:space="preserve">Alimentação Fundamental </t>
  </si>
  <si>
    <t>103/23</t>
  </si>
  <si>
    <t xml:space="preserve">Comunidade Impacto </t>
  </si>
  <si>
    <t>Viver e Existir - Apoio Domiciliar para idosos</t>
  </si>
  <si>
    <t>Osasco/SP</t>
  </si>
  <si>
    <t>Deborah Cristiane de Jesus Santos</t>
  </si>
  <si>
    <t>comunidadeimpacto@gmail.com</t>
  </si>
  <si>
    <t>104/23</t>
  </si>
  <si>
    <t>Casa Cattani- Instituto Brasileiro de Assistencia,Apoio, Huminização e D.S</t>
  </si>
  <si>
    <t xml:space="preserve">Dignidade </t>
  </si>
  <si>
    <t>Thelma Cattani</t>
  </si>
  <si>
    <t>casacattani.instituto@gmail.com</t>
  </si>
  <si>
    <t>105/23</t>
  </si>
  <si>
    <t xml:space="preserve">Municipal de Birigui </t>
  </si>
  <si>
    <t>Projeto Criação Do Centro Inovador De Referência Para Idosos – Grau   De Dependência I</t>
  </si>
  <si>
    <t>Birigui/SP</t>
  </si>
  <si>
    <t>DRADS ALTA NOROESTE EM ARAÇATUBA</t>
  </si>
  <si>
    <t>Maria Regina Doná Celestino</t>
  </si>
  <si>
    <t>centrodia.idoso@birigui.sp.gov.br</t>
  </si>
  <si>
    <t>Construção</t>
  </si>
  <si>
    <t>106/23</t>
  </si>
  <si>
    <t>Projeto de Captação de Recurso Governamental</t>
  </si>
  <si>
    <t>Márcia de Araújo Maria Vicente</t>
  </si>
  <si>
    <t>Gabinete@santacruzdaesperança.sp.gov.br</t>
  </si>
  <si>
    <t>107/23</t>
  </si>
  <si>
    <t>Projeto Criação Do Centro Inovador De Referência Para Idosos – Grau   De Dependência III</t>
  </si>
  <si>
    <t>108/23</t>
  </si>
  <si>
    <t>Recanto do Vovô</t>
  </si>
  <si>
    <t>Revitalização da Osc</t>
  </si>
  <si>
    <t>Maria Lucia Crispim</t>
  </si>
  <si>
    <t>recantodovovo@hotmail.com</t>
  </si>
  <si>
    <t>Não Atende aos criterios do Edital</t>
  </si>
  <si>
    <t>109/23</t>
  </si>
  <si>
    <t xml:space="preserve">Abrigo Vó Tereza </t>
  </si>
  <si>
    <t>Curso de Formação Inicial e Continuada de Cuidador(a) de pessoas Idosas</t>
  </si>
  <si>
    <t xml:space="preserve">Rogerio </t>
  </si>
  <si>
    <t>abrigo_vo_tereza@hotmail.com</t>
  </si>
  <si>
    <t>110/23</t>
  </si>
  <si>
    <t>Centro Dia</t>
  </si>
  <si>
    <t>111/23</t>
  </si>
  <si>
    <t>ILPI – Manutenção de RH, Reforma e Adequação de Estrutura Física, Compra de Material de Uso e Consumo e Troca de Equipamento Permantesnte</t>
  </si>
  <si>
    <t>112/23</t>
  </si>
  <si>
    <t>ADEBI Agencia de Desenvolvimento Economico e Social de Birigui</t>
  </si>
  <si>
    <t>Projeto Técnico de Acolhimento Institucional para Idosos - Grau de Dependência III</t>
  </si>
  <si>
    <t>adebibirigui@gmail.com</t>
  </si>
  <si>
    <t>Sem valor no plano de trabalho</t>
  </si>
  <si>
    <t>113/23</t>
  </si>
  <si>
    <t xml:space="preserve">Lar da Terceira Idade da Assistencia Vicentina </t>
  </si>
  <si>
    <t xml:space="preserve">Serviço de Acolhimento para Idoso </t>
  </si>
  <si>
    <t>Espírito Santo do Pinhal/SP</t>
  </si>
  <si>
    <t>Mariana Carolina Baraldi Dehn</t>
  </si>
  <si>
    <t>lar.pinhal@yahoo.com.br</t>
  </si>
  <si>
    <t>114/23</t>
  </si>
  <si>
    <t>Usina Fotovoltaica</t>
  </si>
  <si>
    <t xml:space="preserve">Bruna Fernanda Rezende </t>
  </si>
  <si>
    <t>115/23</t>
  </si>
  <si>
    <t>Instituto Olga Kos de Inclusão Cultural</t>
  </si>
  <si>
    <t>Poomsae - Viva Maturidade</t>
  </si>
  <si>
    <t>Thamires Catharino</t>
  </si>
  <si>
    <t>projetos@institutoolgakos.org.br</t>
  </si>
  <si>
    <t>116/23</t>
  </si>
  <si>
    <t>Projeto - Dança, Idade e Atitude</t>
  </si>
  <si>
    <t>117/23</t>
  </si>
  <si>
    <t>Arte Viva</t>
  </si>
  <si>
    <t>118/23</t>
  </si>
  <si>
    <t>Cruzadas das Senhoras Catolicas - Dispensario Santo Antonio</t>
  </si>
  <si>
    <t>Mão que Transformam - Envelhecendo com Saúde</t>
  </si>
  <si>
    <t>Americana/SP</t>
  </si>
  <si>
    <t>Thais Carolina Pereira</t>
  </si>
  <si>
    <t>cruzada2cruzadadsa.org.br</t>
  </si>
  <si>
    <t>119/23</t>
  </si>
  <si>
    <t>Associação de Pais e Amigos dos Excepcionais de Mogi Mirim</t>
  </si>
  <si>
    <t>Égide</t>
  </si>
  <si>
    <t>Mogi Mirim/SP</t>
  </si>
  <si>
    <t xml:space="preserve">Roseli Marinho de Souza </t>
  </si>
  <si>
    <t>apae@apaemogimirim.org.br</t>
  </si>
  <si>
    <t>120/23</t>
  </si>
  <si>
    <t>Sociedade Beneficiente Rosalia de Castro</t>
  </si>
  <si>
    <t>Alimentação Saudável para Pessoa Idosa</t>
  </si>
  <si>
    <t>Pablo Valldecabres Polop</t>
  </si>
  <si>
    <t>presidente@rosaliadecastro.org.br</t>
  </si>
  <si>
    <t>121/23</t>
  </si>
  <si>
    <t>Qualidade de Vida, Esporte e Inclusão dos Idosos Em São Paulo</t>
  </si>
  <si>
    <t>122/23</t>
  </si>
  <si>
    <t>Obras de Melhoria das Condições de Habitabilidade e de Suresão de Barreiras Arquitetônicas</t>
  </si>
  <si>
    <t>Varios projetos dentro de um mesmo plano de trabalho</t>
  </si>
  <si>
    <t>123/23</t>
  </si>
  <si>
    <t>Associação União Beneficiente das Irmãs de São Vicente de Paulo de Gysegem</t>
  </si>
  <si>
    <t>Projeto Bem Estar das Instalações da Pessoa Idosa em ILPI</t>
  </si>
  <si>
    <t>Jundiaí/SP</t>
  </si>
  <si>
    <t>Neide Calandrin</t>
  </si>
  <si>
    <t>ssocial.lar@vicentinas.com.br</t>
  </si>
  <si>
    <t>124/23</t>
  </si>
  <si>
    <t>Instituto Reviver de Biritiba Mirim</t>
  </si>
  <si>
    <t>Vida Ativa com Saúde</t>
  </si>
  <si>
    <t>Biritiba Mirim/SP</t>
  </si>
  <si>
    <t>DRADS SPL EM MOGI DAS CRUZES</t>
  </si>
  <si>
    <t>Beatriz</t>
  </si>
  <si>
    <t>reviverbm@gmail.com</t>
  </si>
  <si>
    <t>125/23</t>
  </si>
  <si>
    <t xml:space="preserve">Associação Sal da Terra </t>
  </si>
  <si>
    <t xml:space="preserve">Viver Mais e Envelhecer Bem </t>
  </si>
  <si>
    <t>Lucia Helena Machado Nordi</t>
  </si>
  <si>
    <t>administracao@navesaldaterra.com.br</t>
  </si>
  <si>
    <t>126/23</t>
  </si>
  <si>
    <t>Lar São Vicente de Paulo- Obra Unida da Sociedade de São Vicente de Paulo</t>
  </si>
  <si>
    <t>Culinaria na Melhor Idade</t>
  </si>
  <si>
    <t>Urupês/SP</t>
  </si>
  <si>
    <t>José Roberto Salvadego</t>
  </si>
  <si>
    <t>asilourupes@hotmail.com</t>
  </si>
  <si>
    <t>127/23</t>
  </si>
  <si>
    <t>Abrigo da Velhice São Vicente de Paulo</t>
  </si>
  <si>
    <t xml:space="preserve">Valorizando a Vida </t>
  </si>
  <si>
    <t>João Felipe Egídio</t>
  </si>
  <si>
    <t>Abrigo@abrigosaovicenterc.com.br</t>
  </si>
  <si>
    <t>128/23</t>
  </si>
  <si>
    <t xml:space="preserve">Viver e Acolher </t>
  </si>
  <si>
    <t>129/23</t>
  </si>
  <si>
    <t>Vila Vicentina de Caraguatatuba</t>
  </si>
  <si>
    <t>A nova trajetória no resgate dos direitos e bem estar dos idosos</t>
  </si>
  <si>
    <t>Caraguatatuba/SP</t>
  </si>
  <si>
    <t xml:space="preserve">Luiz Otávio Paes </t>
  </si>
  <si>
    <t>vicentinasocial@gmail.com</t>
  </si>
  <si>
    <t>130/23</t>
  </si>
  <si>
    <t>A implementação de novas tecnologias com vista a sustentabilidade</t>
  </si>
  <si>
    <t>131/23</t>
  </si>
  <si>
    <t xml:space="preserve">Associação Lar São Francisco de Assis </t>
  </si>
  <si>
    <t xml:space="preserve">Projeto Bem Cuidar - Cuidando de Quem já Cuidou </t>
  </si>
  <si>
    <t xml:space="preserve">Célia Alves dos Santos Guimaraães </t>
  </si>
  <si>
    <t>franciscodeassislar@Yahoo.com.br</t>
  </si>
  <si>
    <t>132/23</t>
  </si>
  <si>
    <t>Municipal de Caraguatatuba/SP</t>
  </si>
  <si>
    <t>Conviver Bem Juntos</t>
  </si>
  <si>
    <t xml:space="preserve">MarianaEstella Cestari </t>
  </si>
  <si>
    <t>gabinete.saude@caraguatatuba.sp.gov.br</t>
  </si>
  <si>
    <t>133/23</t>
  </si>
  <si>
    <t xml:space="preserve">Especializar é Cuidar </t>
  </si>
  <si>
    <t>AmauriBarboza de Toledo</t>
  </si>
  <si>
    <t>gabinete@caraguatatuba.sp.gov.br</t>
  </si>
  <si>
    <t>134/23</t>
  </si>
  <si>
    <t>Qualificação de Atendimento e Reabilitação de Pessoas Idosas com Mobilidade Reduzida</t>
  </si>
  <si>
    <t>Adriano Fernandes Gazalli</t>
  </si>
  <si>
    <t>social@capeladoalto.gov.br</t>
  </si>
  <si>
    <t>Plano sem numeração e Pendrive não abre os documentos</t>
  </si>
  <si>
    <t>135/23</t>
  </si>
  <si>
    <t>Municipal de Ourinhos</t>
  </si>
  <si>
    <t>Voltando a Sorrir na Terceira Idade</t>
  </si>
  <si>
    <t>Ourinhos/SP</t>
  </si>
  <si>
    <t>Raquel Borges Spada</t>
  </si>
  <si>
    <t>wa.spada@uol.com.br</t>
  </si>
  <si>
    <t>136/23</t>
  </si>
  <si>
    <t>Crescer Juntos: Viveiro de Mudas para Terceira Idade</t>
  </si>
  <si>
    <t>137/23</t>
  </si>
  <si>
    <t>Viva Bem na Terceira Idade</t>
  </si>
  <si>
    <t>Pendrive não abre</t>
  </si>
  <si>
    <t>138/23</t>
  </si>
  <si>
    <t>Fundação Julita</t>
  </si>
  <si>
    <t>Talento não tem Idade</t>
  </si>
  <si>
    <t>Daniel Bastos Venturini</t>
  </si>
  <si>
    <t>projetos@fundacaojulita.org.br</t>
  </si>
  <si>
    <t>139/23</t>
  </si>
  <si>
    <t>Centro de Recreação Infantil Amar mais, Muito Mais</t>
  </si>
  <si>
    <t xml:space="preserve">Vozes Mais </t>
  </si>
  <si>
    <t>Ruziay Louzada</t>
  </si>
  <si>
    <t>criamarmaismuitomais@gmail.com</t>
  </si>
  <si>
    <t xml:space="preserve">PDF sem Numeração </t>
  </si>
  <si>
    <t>140/23</t>
  </si>
  <si>
    <t>Lar São Vicente de Paulo de Marília</t>
  </si>
  <si>
    <t xml:space="preserve">Energia Fotovoltaico – Autosustentabilidade Em Consumo De Energia </t>
  </si>
  <si>
    <t>Marília/SP</t>
  </si>
  <si>
    <t xml:space="preserve">Charles Cardoso Coelho </t>
  </si>
  <si>
    <t>larsvpaulo@terra.com.br</t>
  </si>
  <si>
    <t>141/23</t>
  </si>
  <si>
    <t>Municipal de Mira Estrela</t>
  </si>
  <si>
    <t>Projeto Bem Querer Com A Melhor Idade De Mira Estrela.</t>
  </si>
  <si>
    <t>Mira Estrela/SP</t>
  </si>
  <si>
    <t>Glaucia Milene Saionete Lopes</t>
  </si>
  <si>
    <t>142/23</t>
  </si>
  <si>
    <t>Associação de Assistencia á Criança Deficiente- AACD</t>
  </si>
  <si>
    <t xml:space="preserve">Reabilitação e Reinserção Social dos Pacientes Idosos </t>
  </si>
  <si>
    <t>Sandra Rodrigues</t>
  </si>
  <si>
    <t>prestacaodecontas@aacd.org.br</t>
  </si>
  <si>
    <t>143/23</t>
  </si>
  <si>
    <t xml:space="preserve">Associação Brasileira pelo Direito ao Brincar e á Cultura - IPA </t>
  </si>
  <si>
    <t>Projeto Guardiões do Brincar</t>
  </si>
  <si>
    <t>Jéssica Guerreira Gimenes Martins</t>
  </si>
  <si>
    <t>belisa.ipabrasil@gmail.com</t>
  </si>
  <si>
    <t>144/23</t>
  </si>
  <si>
    <t>Municipal de Francisco Morato/SP</t>
  </si>
  <si>
    <t>Vitalidade - Atividade e Saúde</t>
  </si>
  <si>
    <t>Francisco Morato/SP</t>
  </si>
  <si>
    <t>Maria Aparecida Bisetto</t>
  </si>
  <si>
    <t>secretaria@miraestrela.sp.gov.br</t>
  </si>
  <si>
    <t>145/23</t>
  </si>
  <si>
    <t xml:space="preserve">Reviver - A Arte de Envelhecer </t>
  </si>
  <si>
    <t>Eixo IV – Trabalho e Previdência Social</t>
  </si>
  <si>
    <t>cmi@franciscomorato.sp.gov.br</t>
  </si>
  <si>
    <t xml:space="preserve">Aderencia a tema escolhido </t>
  </si>
  <si>
    <t>146/23</t>
  </si>
  <si>
    <t>Instituto Jack's Children</t>
  </si>
  <si>
    <t>Viver na Melhor Idade</t>
  </si>
  <si>
    <t>Jacqueline</t>
  </si>
  <si>
    <t>jacquelinecaroline1@gmail.com</t>
  </si>
  <si>
    <t>Plano sem Valor Total</t>
  </si>
  <si>
    <t>147/23</t>
  </si>
  <si>
    <t>Instituto Brasileiro Arte Terapia e Felicidade</t>
  </si>
  <si>
    <t xml:space="preserve">Saúde Mental e Bem-Estar </t>
  </si>
  <si>
    <t>Mário Ferreira</t>
  </si>
  <si>
    <t>mario@institutofelicidade.org.br</t>
  </si>
  <si>
    <t>148/23</t>
  </si>
  <si>
    <t>Fundação de Apoio á Pesquisa, Ensino, Tecnologia e Cultura - FAPETEC</t>
  </si>
  <si>
    <t xml:space="preserve">Prolonge - Planejamento Estratégico de Aposentadoria Sustentável </t>
  </si>
  <si>
    <t>Eixo III: Educação
Eixo VI: Justiça</t>
  </si>
  <si>
    <t>Santos/SP</t>
  </si>
  <si>
    <t>DRADS BAIXADA SANTISTA EM SANTOS</t>
  </si>
  <si>
    <t>Prof. Antonio Carlos Kobori</t>
  </si>
  <si>
    <t>fapetec@fapetec.org.br</t>
  </si>
  <si>
    <t>149/23</t>
  </si>
  <si>
    <t>Associação de Amparo ao Idoso</t>
  </si>
  <si>
    <t>Qualidade dos Serviços para a Pessoa Idosa</t>
  </si>
  <si>
    <t>Marisa Simeão</t>
  </si>
  <si>
    <t>secretaria@velhoamigo.org.br</t>
  </si>
  <si>
    <t>150/23</t>
  </si>
  <si>
    <t>Fortalecendo o Olhar para o Cuidado</t>
  </si>
  <si>
    <t>151/23</t>
  </si>
  <si>
    <t>Espaço Velho Amigo de Práticas Integrativas</t>
  </si>
  <si>
    <t>152/23</t>
  </si>
  <si>
    <t>Municipal de Taubaté</t>
  </si>
  <si>
    <t xml:space="preserve">Tecnologia e Mídias Sociais </t>
  </si>
  <si>
    <t>Taubaté/SP</t>
  </si>
  <si>
    <t>Cassia Camila Val de Melo</t>
  </si>
  <si>
    <t>sedis.psb@taubate.sp.gov.br</t>
  </si>
  <si>
    <t>Plano de Trabalho sem assinatura e rubrica</t>
  </si>
  <si>
    <t>Recurso n°036/24</t>
  </si>
  <si>
    <t>153/23</t>
  </si>
  <si>
    <t>Taubaté, Cidade aAmiga da Pessoa Idosa</t>
  </si>
  <si>
    <t>Recurso n° 035/24</t>
  </si>
  <si>
    <t>154/23</t>
  </si>
  <si>
    <t xml:space="preserve">Associação Santa Terezinha </t>
  </si>
  <si>
    <t>Centro de Convivência do Idoso</t>
  </si>
  <si>
    <t>Francisca</t>
  </si>
  <si>
    <t>adm@santaterezinha.org.br</t>
  </si>
  <si>
    <t>155/23</t>
  </si>
  <si>
    <t>Lar Irmã Terezinha</t>
  </si>
  <si>
    <t>Aquisição de Cadeiras de Rodas e Mesa de Fereição no Leito</t>
  </si>
  <si>
    <t>Álvaro César Bodini</t>
  </si>
  <si>
    <t>contato@larirmaterezinha</t>
  </si>
  <si>
    <t>156/23</t>
  </si>
  <si>
    <t>Aquisição de Ar Condicionado e Telão Projetor</t>
  </si>
  <si>
    <t>157/23</t>
  </si>
  <si>
    <t>Agencia Adventista de Desenvolvimento e Recursos Assistenciais Central Brasileira</t>
  </si>
  <si>
    <t xml:space="preserve">Vivência e Afetos na Maturidade </t>
  </si>
  <si>
    <t>Artur Nogueira/SP</t>
  </si>
  <si>
    <t>Marlene da Cruz de Ameida</t>
  </si>
  <si>
    <t>nucleo.cubatao@adventistas.org</t>
  </si>
  <si>
    <t xml:space="preserve">Plano de Trabalho com nome errado: Vidas em Movimentos </t>
  </si>
  <si>
    <t>158/23</t>
  </si>
  <si>
    <t>Vidas em Movimentos</t>
  </si>
  <si>
    <t>Solange Moreno Ramirez da Silva</t>
  </si>
  <si>
    <t>adra.arturnogueira@adra.org.br</t>
  </si>
  <si>
    <t>159/23</t>
  </si>
  <si>
    <t>Instituto Cultural Santos Dumont</t>
  </si>
  <si>
    <t>O conto de um Conto</t>
  </si>
  <si>
    <t>Thais Jurema Silva</t>
  </si>
  <si>
    <t xml:space="preserve">Plano de Trabalho sem Rubricar </t>
  </si>
  <si>
    <t>160/23</t>
  </si>
  <si>
    <t>Fundação São Paulo</t>
  </si>
  <si>
    <t>Virada da Maturidade: Intervenção e Avaliação de Impacto do Incentivo ao Esporte e Cultura de Pessoas Idosas</t>
  </si>
  <si>
    <t>Jucelino Ricardo Pereira da Silva</t>
  </si>
  <si>
    <t>fundacaosaopaulo@fundasp.org.br</t>
  </si>
  <si>
    <t>161/23</t>
  </si>
  <si>
    <t xml:space="preserve">Instituto Córtex </t>
  </si>
  <si>
    <t>Dabedoria Financeira</t>
  </si>
  <si>
    <t>Marcelo Nonohay</t>
  </si>
  <si>
    <t>presidencia@institutocortex.org.br</t>
  </si>
  <si>
    <t>162/23</t>
  </si>
  <si>
    <t>Casade Convivencia DR".Mariano Dias"</t>
  </si>
  <si>
    <t>Projeto Revivendo - Aquisição de Van Adaptada</t>
  </si>
  <si>
    <t>Barretos/SP</t>
  </si>
  <si>
    <t>Cristiane Machado Borges Baldúino</t>
  </si>
  <si>
    <t>abrigomarianodias@yahoo.com.br</t>
  </si>
  <si>
    <t>163/23</t>
  </si>
  <si>
    <t>Projeto Revivendo</t>
  </si>
  <si>
    <t>164/23</t>
  </si>
  <si>
    <t>Sociedade Beneficiente de Amparo a Velhice de Macatuba</t>
  </si>
  <si>
    <t>Projeto Energia Voltaica - Autossustentabilidade em Consumo de Energia</t>
  </si>
  <si>
    <t>Macatuba/SP</t>
  </si>
  <si>
    <t>Carmem Aparecida Gonçalves Pafetti</t>
  </si>
  <si>
    <t>sobavem@gmail.com</t>
  </si>
  <si>
    <t>165/23</t>
  </si>
  <si>
    <t>Municipal de Mogi Guaçu</t>
  </si>
  <si>
    <t>Conviver em Geração</t>
  </si>
  <si>
    <t>Mogi Guaçu/SP</t>
  </si>
  <si>
    <t>Rodrigo Falsetti</t>
  </si>
  <si>
    <t>166/23</t>
  </si>
  <si>
    <t>Municipal de Tejupá</t>
  </si>
  <si>
    <t>Reforma do CCI Centro de Convivência do Idoso</t>
  </si>
  <si>
    <t>Tejupá/SP</t>
  </si>
  <si>
    <t>Graziela Catarina de Moraes Tantini</t>
  </si>
  <si>
    <t xml:space="preserve">gabinete@tejupa.sp.gov.br </t>
  </si>
  <si>
    <t>167/23</t>
  </si>
  <si>
    <t>Centro Educacional Rebouças - CER</t>
  </si>
  <si>
    <t>Projeto EnvelheCER Florescendo</t>
  </si>
  <si>
    <t>Sumaré/SP</t>
  </si>
  <si>
    <t>Helena Pereira do Rosario</t>
  </si>
  <si>
    <t>contatocer@hotmail.com</t>
  </si>
  <si>
    <t>168/23</t>
  </si>
  <si>
    <t>Municipal de Itararé</t>
  </si>
  <si>
    <t xml:space="preserve">Centro de Convivência do Idoso Novo Horizonte </t>
  </si>
  <si>
    <t>Itararé/SP</t>
  </si>
  <si>
    <t>Maria Paula de Nigris Favier</t>
  </si>
  <si>
    <t>assistencialtejupa@yahoo.com.br</t>
  </si>
  <si>
    <t>169/23</t>
  </si>
  <si>
    <t>Municipal de Piraju</t>
  </si>
  <si>
    <t>Cuidado para Quem já Cuidou</t>
  </si>
  <si>
    <t>Piraju/SP</t>
  </si>
  <si>
    <t>Ana Karina Gonçalves Pansanato josé</t>
  </si>
  <si>
    <t>smds@itarare.sp.gov.br</t>
  </si>
  <si>
    <t>170/23</t>
  </si>
  <si>
    <t>Projeto Viva Mais Leve</t>
  </si>
  <si>
    <t xml:space="preserve">Patrícia Vieira Lima </t>
  </si>
  <si>
    <t>deasoadm@estanciadepiraju.sp.gov.br</t>
  </si>
  <si>
    <t>171/23</t>
  </si>
  <si>
    <t>Asilo São Vicente de Paulo de Piraju</t>
  </si>
  <si>
    <t>Movimento em foco</t>
  </si>
  <si>
    <t>Carlos Alberto Braga</t>
  </si>
  <si>
    <t>asilopira@gmail.com</t>
  </si>
  <si>
    <t>172/23</t>
  </si>
  <si>
    <t>Lar São Vicente de Paulo de Fartura</t>
  </si>
  <si>
    <t>Viva Feliz</t>
  </si>
  <si>
    <t>Tânia Regina Teixeira Garcia</t>
  </si>
  <si>
    <t>Lar.fartura@gmail.com</t>
  </si>
  <si>
    <t>173/23</t>
  </si>
  <si>
    <t xml:space="preserve">Lar São Vicente de Paulo de Cerqueira César </t>
  </si>
  <si>
    <t>Aquisição de Equipamentos para Fisioterapia</t>
  </si>
  <si>
    <t xml:space="preserve">José Alberto de Aruda Campos </t>
  </si>
  <si>
    <t>larsaovicentedecc@hotmail.com</t>
  </si>
  <si>
    <t>174/23</t>
  </si>
  <si>
    <t>Casa Pia São Vicente de Paulo</t>
  </si>
  <si>
    <t>Promoção do Envelhecimento Saudável</t>
  </si>
  <si>
    <t>Botucatu/SP</t>
  </si>
  <si>
    <t>Regina de Fatima Barbuio</t>
  </si>
  <si>
    <t>casapiassvp@gmail.com</t>
  </si>
  <si>
    <t>175/23</t>
  </si>
  <si>
    <t xml:space="preserve">Construir para Cuidar </t>
  </si>
  <si>
    <t>Manduri/SP</t>
  </si>
  <si>
    <t>Alessandra Aparecida Vaz de Moraes</t>
  </si>
  <si>
    <t>Isvp.manduri@hotmail.com</t>
  </si>
  <si>
    <t>176/23</t>
  </si>
  <si>
    <t>Comunidade São Vicente de Paulo</t>
  </si>
  <si>
    <t xml:space="preserve">Morar Bem </t>
  </si>
  <si>
    <t>Aguaí/SP</t>
  </si>
  <si>
    <t xml:space="preserve">Fabiana Bressan </t>
  </si>
  <si>
    <t>csvpaulo@hotmail.com</t>
  </si>
  <si>
    <t>177/23</t>
  </si>
  <si>
    <t>Vila São Vicente de Paulo</t>
  </si>
  <si>
    <t>Atividades Lúdicas na Melhor Idade</t>
  </si>
  <si>
    <t>Itapuí/SP</t>
  </si>
  <si>
    <t>Delza Maria Zenatti Morozini</t>
  </si>
  <si>
    <t>vsvpitapui@hotmail.com</t>
  </si>
  <si>
    <t>178/23</t>
  </si>
  <si>
    <t>Municipal de Igaraçu do Tietê</t>
  </si>
  <si>
    <t xml:space="preserve">"Feliz Idade" no Esporte e Lazer: Sem Barreiras para Vencer </t>
  </si>
  <si>
    <t>Igaraçu do Tietê/SP</t>
  </si>
  <si>
    <t xml:space="preserve">Gleize Merlím Ovídio </t>
  </si>
  <si>
    <t>assistencialsocial@paraiso.sp.gov.br</t>
  </si>
  <si>
    <t>Proponete: Conselho Municipal, e não podemos ter parceias com Conselho, apenas OSC ou PM</t>
  </si>
  <si>
    <t>179/23</t>
  </si>
  <si>
    <t>Associação da APAE de Igaraçu do Tietê</t>
  </si>
  <si>
    <t>AMOR - Alegria - Movimento - Oportunidade - Respeito</t>
  </si>
  <si>
    <t>Anaisa Vinche Vieira</t>
  </si>
  <si>
    <t>apaeigaracu@hotmail.com</t>
  </si>
  <si>
    <t xml:space="preserve">Sem valor total do projeto </t>
  </si>
  <si>
    <t>180/23</t>
  </si>
  <si>
    <t>Municipal de Paraíso</t>
  </si>
  <si>
    <t>Fortalecimento de Vinculo da Melhor Idade</t>
  </si>
  <si>
    <t>Paraíso/SP</t>
  </si>
  <si>
    <t>Erica Pereira</t>
  </si>
  <si>
    <t>prefeitura@orindiuva.sp.gov.br</t>
  </si>
  <si>
    <t>181/23</t>
  </si>
  <si>
    <t>Municipal de Orindiúva</t>
  </si>
  <si>
    <t>Espaço ConViver</t>
  </si>
  <si>
    <t>Orindiúva/SP</t>
  </si>
  <si>
    <t>Mireli Cristina Leite Ruvieri Martins</t>
  </si>
  <si>
    <t>esporte@estanciadepiraju.sp.gov.br</t>
  </si>
  <si>
    <t>Plano de Tralaho sem n° de páginas</t>
  </si>
  <si>
    <t>182/23</t>
  </si>
  <si>
    <t>Municipal de Tarumã</t>
  </si>
  <si>
    <t>Reforma do Condominio Manoel Messias</t>
  </si>
  <si>
    <t>Tarumã</t>
  </si>
  <si>
    <t>Oscar Gozzi</t>
  </si>
  <si>
    <t>gabinetenovotempo@gmail.com</t>
  </si>
  <si>
    <t>183/23</t>
  </si>
  <si>
    <t xml:space="preserve">Lar dos Velhinhos de Mirasol - Fundação Candido Brasil Estrela </t>
  </si>
  <si>
    <t>Projeto para Aquisição de Equipamentos Permanentes</t>
  </si>
  <si>
    <t>Mirassol/SP</t>
  </si>
  <si>
    <t>Rosana Viscardi Estrela</t>
  </si>
  <si>
    <t>equipelardosvelhinhos@gmail.com
 lardosvelhinhosmirassol@gmail.com</t>
  </si>
  <si>
    <t>Plano sem n° de páginas e fora do padrão</t>
  </si>
  <si>
    <t>184/23</t>
  </si>
  <si>
    <t>Vila Vicentina Mirassol</t>
  </si>
  <si>
    <t>Doraci de Oliveira</t>
  </si>
  <si>
    <t>vilavicentina.mirassol@bol.com.br</t>
  </si>
  <si>
    <t>Plano de Trabalho fora do Padrão do Edital</t>
  </si>
  <si>
    <t>185/23</t>
  </si>
  <si>
    <t>Laramara Associação Brasileira de Apoio á Pessoa com Deficiência Visual</t>
  </si>
  <si>
    <t>Arte na Maturidade: Cultura, Esporte e Lazer para Todos</t>
  </si>
  <si>
    <t xml:space="preserve">Kelly Leani Santiago </t>
  </si>
  <si>
    <t>kelly.santiago@laramara.org.br</t>
  </si>
  <si>
    <t>186/23</t>
  </si>
  <si>
    <t>Municipio de São Bernado do Campo</t>
  </si>
  <si>
    <t>Campeões e Vitória para Vida</t>
  </si>
  <si>
    <t>São Bernado do Campo/SP</t>
  </si>
  <si>
    <t>Tamara Vicente</t>
  </si>
  <si>
    <t>conselhoidoso@igaracudotiete.sp.gov.br</t>
  </si>
  <si>
    <t>187/23</t>
  </si>
  <si>
    <t>Municipal de Mendonça</t>
  </si>
  <si>
    <t xml:space="preserve">Projeto na 3° Idade Ativa </t>
  </si>
  <si>
    <t>Mendonça/SP</t>
  </si>
  <si>
    <t>Grace Christiane Dosualdo Gubolin</t>
  </si>
  <si>
    <t>tamara.vicente@saobernadodocampo.sp.gov.br</t>
  </si>
  <si>
    <t>188/23</t>
  </si>
  <si>
    <t>Lar São Vicente de Paulo de Tatuí</t>
  </si>
  <si>
    <t>Resgatando Sonhos, Transformando Vidas</t>
  </si>
  <si>
    <t>Tatuí/SP</t>
  </si>
  <si>
    <t>Carlos Eduardo Olivier Junior</t>
  </si>
  <si>
    <t>larsvpaulotatui.org.br</t>
  </si>
  <si>
    <t>189/23</t>
  </si>
  <si>
    <t>Associação de Pais e Amigos dos Excepcionais de São Caetano do Sul - APAE</t>
  </si>
  <si>
    <t>Para Ouvir Mais - Concessão de Aparelhos de Amplificação Sonora Individual - AASI</t>
  </si>
  <si>
    <t>Jorge Martins Salgado</t>
  </si>
  <si>
    <t>apaescsul@apaescsul.org.br</t>
  </si>
  <si>
    <t>190/23</t>
  </si>
  <si>
    <t>Associação Brasiliera de Porteção ao Individuo - ABRAPI</t>
  </si>
  <si>
    <t>Casa Vida e Esperança - Instituição de Longa Permnaência Para idosos (ILPI)</t>
  </si>
  <si>
    <t>Sintique Nobre Lourenço de Araujo</t>
  </si>
  <si>
    <t>contato@abrapi.org.br</t>
  </si>
  <si>
    <t>191/23</t>
  </si>
  <si>
    <t>Centro Dia do Idoso - CDI</t>
  </si>
  <si>
    <t>192/23</t>
  </si>
  <si>
    <t>Associação de Assistência São Vicente de Paulo (Vila São Vicente)</t>
  </si>
  <si>
    <t>Melhorias, Manutenção e Adequação de Instalação da ILPI Vila São Vicente (Recriar)</t>
  </si>
  <si>
    <t>Catanduva/SP</t>
  </si>
  <si>
    <t>Edson Ferraz</t>
  </si>
  <si>
    <t>lubaferraz@gmail.com</t>
  </si>
  <si>
    <t>193/23</t>
  </si>
  <si>
    <t>Centro de Cultura Recreação e Lazer (Redescobrir)</t>
  </si>
  <si>
    <t>194/23</t>
  </si>
  <si>
    <t>Audiovisual e Envelhecimento: Produzir Comunicar Educar (Reafirmar)</t>
  </si>
  <si>
    <t>195/23</t>
  </si>
  <si>
    <t>Associação e Oficina de Caridade Santa Rita de Cássia</t>
  </si>
  <si>
    <t>60+ Ativos</t>
  </si>
  <si>
    <t>São José do Rio Preto/SP</t>
  </si>
  <si>
    <t xml:space="preserve">Rita Oczkowski </t>
  </si>
  <si>
    <t>asiloschimidt@gmail.com</t>
  </si>
  <si>
    <t>196/23</t>
  </si>
  <si>
    <t>Associação da Caridade Santa Rita de Cássia</t>
  </si>
  <si>
    <t xml:space="preserve">Digitalizar </t>
  </si>
  <si>
    <t>Renata Cristina da Silva</t>
  </si>
  <si>
    <t>larsantaritadecassia77@gmail.com</t>
  </si>
  <si>
    <t>197/23</t>
  </si>
  <si>
    <t>Lar dos Velhinhos Decolores de Santa Adélia</t>
  </si>
  <si>
    <t>Projeto Bem Viver - Estimular Reabilitar Vidas</t>
  </si>
  <si>
    <t> Santa Adélia/SP</t>
  </si>
  <si>
    <t>Antônio Mario Vechiatto</t>
  </si>
  <si>
    <t>lardosvelhinhos2006@yahoo.com.br</t>
  </si>
  <si>
    <t>198/23</t>
  </si>
  <si>
    <t>ADES - Agência De Desenvolvimento Econômico Social</t>
  </si>
  <si>
    <t>Viva Ginástica Terceira Idade</t>
  </si>
  <si>
    <t>Cesar Augusto Telini</t>
  </si>
  <si>
    <t>adesprojetos@gmail.com</t>
  </si>
  <si>
    <t>199/23</t>
  </si>
  <si>
    <t>Viva Esporte Terceira Idade</t>
  </si>
  <si>
    <t>200/23</t>
  </si>
  <si>
    <t>Municipal de Bady Bassitt</t>
  </si>
  <si>
    <t>Florescer 60 +</t>
  </si>
  <si>
    <t>Bady Bassitt/SP</t>
  </si>
  <si>
    <t>Luiz Antonio Tobardini</t>
  </si>
  <si>
    <t>prefeitura@badybassitt.sp.gov.br</t>
  </si>
  <si>
    <t>201/23</t>
  </si>
  <si>
    <t>Centro Social Santa Rita de Cássia</t>
  </si>
  <si>
    <t>Conto e Encanto - Terapia Musical</t>
  </si>
  <si>
    <t>Maria Regina Turino da Silva</t>
  </si>
  <si>
    <t>centrosocialstaritadecassia@hotmail.com</t>
  </si>
  <si>
    <t>202/23</t>
  </si>
  <si>
    <t>Municipal Presidente Prudente</t>
  </si>
  <si>
    <t>Idade em Movimento</t>
  </si>
  <si>
    <t>Clélia Regina Barbalho Tomazini</t>
  </si>
  <si>
    <t>social@adolfo.sp.gov.br</t>
  </si>
  <si>
    <t>203/23</t>
  </si>
  <si>
    <t>Associação Filantropica de Proteção aos Cegos</t>
  </si>
  <si>
    <t>Sons do Coração e Notas que Abraçam: Musica para Idosos com Deficiência Visual</t>
  </si>
  <si>
    <t>Eliete de Carvalho Margutti</t>
  </si>
  <si>
    <t>equipe.tecnica@associacaodoscegos.org.br</t>
  </si>
  <si>
    <t>204/23</t>
  </si>
  <si>
    <t>Vila da Fraternidade Ana Jacinta - Associação de Atenção ao Idoso</t>
  </si>
  <si>
    <t>Energia Sustentável - Sistema Solae/Fotovoltaica</t>
  </si>
  <si>
    <t>Diana Camila Alexandre</t>
  </si>
  <si>
    <t>viladafraternidade@bol.com.br</t>
  </si>
  <si>
    <t>205/23</t>
  </si>
  <si>
    <t>Associação de Surdos e Surdas de Presidente Prudente</t>
  </si>
  <si>
    <t>Atividade Física - "Bem Viver"</t>
  </si>
  <si>
    <t>Lucinete</t>
  </si>
  <si>
    <t>asspp17042016@gmail.com</t>
  </si>
  <si>
    <t>206/23</t>
  </si>
  <si>
    <t>Habilidade Manuais - "A Arte da Vida"</t>
  </si>
  <si>
    <t>207/23</t>
  </si>
  <si>
    <t>Informática - "Amigos Digitais"</t>
  </si>
  <si>
    <t>208/23</t>
  </si>
  <si>
    <t>Associação de Assistência ao Deficiente Físico - AADF</t>
  </si>
  <si>
    <t xml:space="preserve">Histórias que se Contam e Encantam </t>
  </si>
  <si>
    <t>Aline Bueno Debusto</t>
  </si>
  <si>
    <t>aadf.ourinhos@uol.com.br</t>
  </si>
  <si>
    <t>209/23</t>
  </si>
  <si>
    <t>Conectadoa Melhor Idade</t>
  </si>
  <si>
    <t>210/23</t>
  </si>
  <si>
    <t>Caminho da Reabilitação na Melhor Idade</t>
  </si>
  <si>
    <t>Glaucia Fernanda Fitipaldi Capel</t>
  </si>
  <si>
    <t>211/23</t>
  </si>
  <si>
    <t>Associação dos Amigos da Terceira Idade de Ourinhos</t>
  </si>
  <si>
    <t>Melhor Idade em Movimento</t>
  </si>
  <si>
    <t>Sergio Gasperoto</t>
  </si>
  <si>
    <t>aatiomelhoridadeemmovimento@gmail.com.br</t>
  </si>
  <si>
    <t>212/23</t>
  </si>
  <si>
    <t xml:space="preserve">Asilo Chavantes </t>
  </si>
  <si>
    <t>No Movimento do Amor</t>
  </si>
  <si>
    <t>Chavantes/SP</t>
  </si>
  <si>
    <t>Maria Madalena Caxias Silva</t>
  </si>
  <si>
    <t>larsvp.chavantes@gmail.com</t>
  </si>
  <si>
    <t>213/23</t>
  </si>
  <si>
    <t>Associação de Pais e Amigos dos Excepcionais de Chavantes - APAE</t>
  </si>
  <si>
    <t xml:space="preserve">Longevidade Saudável e Inclusiva </t>
  </si>
  <si>
    <t>Carlos Alberto Delafiori</t>
  </si>
  <si>
    <t>apaechavantes@hotmail.com</t>
  </si>
  <si>
    <t>214/23</t>
  </si>
  <si>
    <t xml:space="preserve">Lar dos Velhinhos de Regente Feijó </t>
  </si>
  <si>
    <t>Bem Estar na Melhor Idade</t>
  </si>
  <si>
    <t>Regente Feijó/SP</t>
  </si>
  <si>
    <t>Soellyn Omodei Fontes Monção</t>
  </si>
  <si>
    <t>aidosos@hotmail.com</t>
  </si>
  <si>
    <t>215/23</t>
  </si>
  <si>
    <t xml:space="preserve">Municipal de Adolfo </t>
  </si>
  <si>
    <t xml:space="preserve">Viver e Conviver </t>
  </si>
  <si>
    <t>Adolfo/SP</t>
  </si>
  <si>
    <t>Elisabete Roncato Santiago</t>
  </si>
  <si>
    <t>karla.castro@campinas.sp.gov.br</t>
  </si>
  <si>
    <t>216/23</t>
  </si>
  <si>
    <t xml:space="preserve">Nova Aliança </t>
  </si>
  <si>
    <t xml:space="preserve">Idoso Ativo </t>
  </si>
  <si>
    <t>Nova Aliança/SP</t>
  </si>
  <si>
    <t>Christian da Silva Ragazzi</t>
  </si>
  <si>
    <t>pmna@terra.com.br</t>
  </si>
  <si>
    <t>217/23</t>
  </si>
  <si>
    <t>Felicidade não tem idade</t>
  </si>
  <si>
    <t>Marcela Correa de Souza</t>
  </si>
  <si>
    <t>abavin@hotmail.com</t>
  </si>
  <si>
    <t>218/23</t>
  </si>
  <si>
    <t>Comunidade Geriatrica de Nova Odessa</t>
  </si>
  <si>
    <t>Instalação do sistema fotovoltaico</t>
  </si>
  <si>
    <t>Nova Odessa/SP</t>
  </si>
  <si>
    <t>Tatiane Poltronieri Campa</t>
  </si>
  <si>
    <t>adm2.geriatrica@gmail.com</t>
  </si>
  <si>
    <t>219/23</t>
  </si>
  <si>
    <t>Fundação Assistencial do Municipio de Ipaussu</t>
  </si>
  <si>
    <t xml:space="preserve">Viva Bem </t>
  </si>
  <si>
    <t>Ipaussu/SP</t>
  </si>
  <si>
    <t>Giovana Galvanin da Costa</t>
  </si>
  <si>
    <t>fami.ipaussu@gmail.com</t>
  </si>
  <si>
    <t>220/23</t>
  </si>
  <si>
    <t>Alimento é Vida</t>
  </si>
  <si>
    <t>221/23</t>
  </si>
  <si>
    <t>Municipal de Campinas</t>
  </si>
  <si>
    <t>Centro Integrado de Atenção a Pessoa Idosa</t>
  </si>
  <si>
    <t>Eixo VI: Justiça
Eixo III: Educação</t>
  </si>
  <si>
    <t>Karla de Castro Borghi</t>
  </si>
  <si>
    <t>prefeito@mendonca.sp.gov.br</t>
  </si>
  <si>
    <t>Recurso n°040/24</t>
  </si>
  <si>
    <t>222/23</t>
  </si>
  <si>
    <t>Lar Nova Era</t>
  </si>
  <si>
    <t>Débora Ferreira Comonian</t>
  </si>
  <si>
    <t>223/2</t>
  </si>
  <si>
    <t>Inclusão Digital de Pessoas Idosas 2.0</t>
  </si>
  <si>
    <t>224/23</t>
  </si>
  <si>
    <t>Lar Presbiteriano Lili Ribeiro</t>
  </si>
  <si>
    <t xml:space="preserve">Geração de Renda - Acolher e Amparar </t>
  </si>
  <si>
    <t>coordenacao@lardosvelhos.com.br / assitenciasocial@lardosvelhos.com.br</t>
  </si>
  <si>
    <t>225/23</t>
  </si>
  <si>
    <t>226/23</t>
  </si>
  <si>
    <t>Instituto Pró+Vida São Sebastião</t>
  </si>
  <si>
    <t>Centro Dia Pró+Vida</t>
  </si>
  <si>
    <t>São Sebastião/SP</t>
  </si>
  <si>
    <t>Cristiane Nogueira de Melo</t>
  </si>
  <si>
    <t>institutopromaisvida@ipvss.org.br</t>
  </si>
  <si>
    <t>227/23</t>
  </si>
  <si>
    <t xml:space="preserve">Espaço Pró-Vida </t>
  </si>
  <si>
    <t>228/23</t>
  </si>
  <si>
    <t xml:space="preserve">Estância para Idosos </t>
  </si>
  <si>
    <t>229/23</t>
  </si>
  <si>
    <t>Lar São Vicente de Paulo de Guarulhos</t>
  </si>
  <si>
    <t xml:space="preserve">Enquanto Há vida, transformação em Ação  </t>
  </si>
  <si>
    <t xml:space="preserve">Nefletire Souza </t>
  </si>
  <si>
    <t>servicosocial@larsaovicentegru.org</t>
  </si>
  <si>
    <t>230/23</t>
  </si>
  <si>
    <t>Associação da Melhor Idade de Monte Aprazível</t>
  </si>
  <si>
    <t>Nesse Jogo o Idoso não Fica no Banco, ele Entra para Disputar</t>
  </si>
  <si>
    <t>Monte Aprazível/SP</t>
  </si>
  <si>
    <t>Maria Aparecida Canezin</t>
  </si>
  <si>
    <t>pcontas@servdez.com.br</t>
  </si>
  <si>
    <t>231/23</t>
  </si>
  <si>
    <t xml:space="preserve">Histórias de Vida em Movimento </t>
  </si>
  <si>
    <t>232/23</t>
  </si>
  <si>
    <t xml:space="preserve">Associação de Assistencia Social Santo Antonio de Junqueiropolis </t>
  </si>
  <si>
    <t>Conforto térmico</t>
  </si>
  <si>
    <t>Junqueiropolis/SP</t>
  </si>
  <si>
    <t>DRADS  ALTA PAULISTA EM DRACENA</t>
  </si>
  <si>
    <t>Emilene Teixeira da Silva</t>
  </si>
  <si>
    <t>larsantoantonio@outlook.com</t>
  </si>
  <si>
    <t>233/23</t>
  </si>
  <si>
    <t>Municipal de Duardina</t>
  </si>
  <si>
    <t xml:space="preserve">Cuidando de Quem já Cuidou </t>
  </si>
  <si>
    <t>Duartina/SP</t>
  </si>
  <si>
    <t>Josiane Ap. da Silva Nogueira</t>
  </si>
  <si>
    <t>gabinete@duartina.sp.gov.br</t>
  </si>
  <si>
    <t>234/23</t>
  </si>
  <si>
    <t>Associação Beneficiente e Cultura B'nai B"rith de São Paulo</t>
  </si>
  <si>
    <t>Projeto Cultural - SE ConheSER</t>
  </si>
  <si>
    <t>SR. Pedro Mendes</t>
  </si>
  <si>
    <t>secretariasp@bnai-brith.org.br</t>
  </si>
  <si>
    <t>235/23</t>
  </si>
  <si>
    <t>Juntando Pontas: Economia Prateada na Longevidade</t>
  </si>
  <si>
    <t>236/23</t>
  </si>
  <si>
    <t>Lar do Idoso "Servas do Senhor"</t>
  </si>
  <si>
    <t>Vivendo com Dignidade</t>
  </si>
  <si>
    <t>Bebedouro/SP</t>
  </si>
  <si>
    <t xml:space="preserve">Lucimara da Silva </t>
  </si>
  <si>
    <t>lardoidoso.bebedouro@yahoo.com.br</t>
  </si>
  <si>
    <t>237/23</t>
  </si>
  <si>
    <t>Municipal de Itatinga</t>
  </si>
  <si>
    <t xml:space="preserve">Aquisição de Veiculo Automotor (ônibus) </t>
  </si>
  <si>
    <t>Itatinga/SP</t>
  </si>
  <si>
    <t xml:space="preserve">João Bosco Borges </t>
  </si>
  <si>
    <t>secretatia@itatinga.sp.gov.br</t>
  </si>
  <si>
    <t>238/23</t>
  </si>
  <si>
    <t>Ampliação do Prédio</t>
  </si>
  <si>
    <t>239/23</t>
  </si>
  <si>
    <t xml:space="preserve">Lar Vicentino Padre Pio de Itatinga </t>
  </si>
  <si>
    <t xml:space="preserve">Bem Vindo ao Lar </t>
  </si>
  <si>
    <t>Antônio Edurado Barbosa</t>
  </si>
  <si>
    <t>ou.larpadrepio@hotmail.com</t>
  </si>
  <si>
    <t>Envelope</t>
  </si>
  <si>
    <t>240/23</t>
  </si>
  <si>
    <t>Municipal de Santo Antônio da Alegria</t>
  </si>
  <si>
    <t xml:space="preserve">SUAS Absoluto </t>
  </si>
  <si>
    <t>Ricardo da Silva Sobrinho</t>
  </si>
  <si>
    <t>assist@montealto.sp.gov.br</t>
  </si>
  <si>
    <t xml:space="preserve">Dois projetos em envelope - Verificar com a Comissão </t>
  </si>
  <si>
    <t>Alegria Sênior</t>
  </si>
  <si>
    <t>241/23</t>
  </si>
  <si>
    <t>Lar São Vicente de Paulo- Obra Unida a Sociedade de São Vicente de Paulo</t>
  </si>
  <si>
    <t>Aquisição de Equipamentos Permanentes para Modernização do Lar São Vicente de Paulo - Obra Unidade a Sociedade de São Vicente de Paulo</t>
  </si>
  <si>
    <t>Monte Alto/SP</t>
  </si>
  <si>
    <t>Ailton Roberto Costa</t>
  </si>
  <si>
    <t>coordenador@lsvpmontealto.com.br</t>
  </si>
  <si>
    <t>242/23</t>
  </si>
  <si>
    <t>Municipal de Barrinha</t>
  </si>
  <si>
    <t>Resgatando Memórias e Construindo Histórias</t>
  </si>
  <si>
    <t>Barrinha/SP</t>
  </si>
  <si>
    <t>Ana Maria de Sousa</t>
  </si>
  <si>
    <t>social@santoantoniodaalegria.sp.gov.br</t>
  </si>
  <si>
    <t>243/23</t>
  </si>
  <si>
    <t>Municipal de Altinópolis</t>
  </si>
  <si>
    <t>Serviço de Convivência e Fortalecimento de Vínculos Terceira Idade</t>
  </si>
  <si>
    <t>Altinópolis/SP</t>
  </si>
  <si>
    <t>Adriana Shirley Gonçalves</t>
  </si>
  <si>
    <t>assistenciasocial@barrinha.sp.gov.br</t>
  </si>
  <si>
    <t>244/23</t>
  </si>
  <si>
    <t>Municipal de Guariba</t>
  </si>
  <si>
    <t xml:space="preserve">Bem Estar </t>
  </si>
  <si>
    <t>Angela Maria Furtado</t>
  </si>
  <si>
    <t>assistenciasocial@cravinhos.sp.gov.br</t>
  </si>
  <si>
    <t>245/23</t>
  </si>
  <si>
    <t>Municipal de Monte Alto</t>
  </si>
  <si>
    <t>Academia ao Ar Livre no Centro Dia do Idoso</t>
  </si>
  <si>
    <t>Monte Alto/ SP</t>
  </si>
  <si>
    <t>Danúbia Aparecida Loredo</t>
  </si>
  <si>
    <t>246/23</t>
  </si>
  <si>
    <t>Municipal Dumont</t>
  </si>
  <si>
    <t>Melhor Idade</t>
  </si>
  <si>
    <t>Dumont/SP</t>
  </si>
  <si>
    <t>Marisa Aprecida Bálsamo</t>
  </si>
  <si>
    <t xml:space="preserve">gabinete@dumont.sp.gov.br </t>
  </si>
  <si>
    <t>247/23</t>
  </si>
  <si>
    <t>Municipal Cravinhos/SP</t>
  </si>
  <si>
    <t>Viver</t>
  </si>
  <si>
    <t>Cravinhos/SP</t>
  </si>
  <si>
    <t>Márcio Luís de Lima Barroso</t>
  </si>
  <si>
    <t>gabinete@dumont.sp.gov.br ou socialdumont@gmail.com</t>
  </si>
  <si>
    <t>Nota 0 nos itens 2 e 5</t>
  </si>
  <si>
    <t>248/23</t>
  </si>
  <si>
    <t>Municipal do Cajuru</t>
  </si>
  <si>
    <t>Feliz Idade</t>
  </si>
  <si>
    <t>Cajuru/SP</t>
  </si>
  <si>
    <t>Katia Regina Lippi</t>
  </si>
  <si>
    <t>gabinetedoprefeito@altinopolis.sp.gov.br</t>
  </si>
  <si>
    <t>249/23</t>
  </si>
  <si>
    <t>Municiapal de Brodowski</t>
  </si>
  <si>
    <t>Lazer e Conexão</t>
  </si>
  <si>
    <t>Brodowski/SP</t>
  </si>
  <si>
    <t>Ivana ou Livia</t>
  </si>
  <si>
    <t>pmcgabinete@cajuru.sp.gov.br</t>
  </si>
  <si>
    <t>250/23</t>
  </si>
  <si>
    <t>Municipal de Serrana</t>
  </si>
  <si>
    <t>Centro Dia - Idoso em Movimento</t>
  </si>
  <si>
    <t>Serrana/sP</t>
  </si>
  <si>
    <t>Maria Amélia Zamariolli Serra</t>
  </si>
  <si>
    <t>administracao@taquaral.gov.br</t>
  </si>
  <si>
    <t>251/23</t>
  </si>
  <si>
    <t>Municipal de Taquaral</t>
  </si>
  <si>
    <t>Sons da Maturidade</t>
  </si>
  <si>
    <t>Taquaral/SP</t>
  </si>
  <si>
    <t>Paulo Sérgio Cardoso de Oliveira</t>
  </si>
  <si>
    <t>gabinete@barbosa.sp.gov.br</t>
  </si>
  <si>
    <t>252/23</t>
  </si>
  <si>
    <t>Municipal de Barbosa</t>
  </si>
  <si>
    <t xml:space="preserve">Aquisição de Veiculo Automotor </t>
  </si>
  <si>
    <t>Barbosa/SP</t>
  </si>
  <si>
    <t>Rodrigo Primo Antunes</t>
  </si>
  <si>
    <t>social@brodowslki.sp.gov.br</t>
  </si>
  <si>
    <t>253/23</t>
  </si>
  <si>
    <t>Municipal de Jaborandi</t>
  </si>
  <si>
    <t>Centro de Saúde Preventiva do Idoso - Casa Pajé</t>
  </si>
  <si>
    <t>Jaborandi/SP</t>
  </si>
  <si>
    <t>Ana Helena Miranda Marsai Cestaro ou André Yooiti Muramoto</t>
  </si>
  <si>
    <t>social1321@gmail.com</t>
  </si>
  <si>
    <t>Nota zero no item 2</t>
  </si>
  <si>
    <t>254/23</t>
  </si>
  <si>
    <t>Municipal de Paulo Faria</t>
  </si>
  <si>
    <t>Arte e Movimento na Melhor Idade</t>
  </si>
  <si>
    <t>Paulo de Faria/SP</t>
  </si>
  <si>
    <t>Amélia Maria Borges de Oliveira</t>
  </si>
  <si>
    <t>assistenciasocial@ribeiraopires.sp.gov.br</t>
  </si>
  <si>
    <t>255/23</t>
  </si>
  <si>
    <t>256/23</t>
  </si>
  <si>
    <t xml:space="preserve">Santa Casa de Misericordia de Barretos </t>
  </si>
  <si>
    <t xml:space="preserve">Adequação de Acomodações para Idosos </t>
  </si>
  <si>
    <t xml:space="preserve">Tainara Barbosa Rodrigues de Souza </t>
  </si>
  <si>
    <t>administracao@santacasabarretos.com.br</t>
  </si>
  <si>
    <t>257/23</t>
  </si>
  <si>
    <t>Fundação Pio XII -Hospital do Câncer de Barretos</t>
  </si>
  <si>
    <t>Projeto de Ampliação do Serviço de Atendimento Domiciliar Paliativo (SADP)</t>
  </si>
  <si>
    <t xml:space="preserve">Luis Fernando </t>
  </si>
  <si>
    <t>lufe.luis@gmail.com</t>
  </si>
  <si>
    <t>258/23</t>
  </si>
  <si>
    <t>Municipal de Itaí</t>
  </si>
  <si>
    <t>AtivaMente</t>
  </si>
  <si>
    <t>Itaí/SP</t>
  </si>
  <si>
    <t>Fabiana Pereira Luciano</t>
  </si>
  <si>
    <t>gabinete@mococa.sp.gov.br ou cultura@mococa.sp.gov.br</t>
  </si>
  <si>
    <t>259/23</t>
  </si>
  <si>
    <t>Vila Vicentina de Lorena</t>
  </si>
  <si>
    <t>O Bem-Estar da Pessoa Idosa</t>
  </si>
  <si>
    <t>Lorena/SP</t>
  </si>
  <si>
    <t xml:space="preserve">Arina Domingues Moreira </t>
  </si>
  <si>
    <t>sercicosocialvvl@outlook.com</t>
  </si>
  <si>
    <t>260/23</t>
  </si>
  <si>
    <t xml:space="preserve">Vila Vicentina  Sagrada Familia </t>
  </si>
  <si>
    <t xml:space="preserve">Reforma Lar de Idosos </t>
  </si>
  <si>
    <t>Andréia Stina Soares Espindola Moura</t>
  </si>
  <si>
    <t>sagradafamilia.vilavicentina@gmail.com</t>
  </si>
  <si>
    <t>Plano de Trabalho Digitalizado Folha por Folha</t>
  </si>
  <si>
    <t>261/23</t>
  </si>
  <si>
    <t>Vila Vicentino de Jambeiro</t>
  </si>
  <si>
    <t>A Moradia que todos deveriam ter não por favor, mas por Direito. Segura e Acessível</t>
  </si>
  <si>
    <t>Jambeiro/SP</t>
  </si>
  <si>
    <t>Rafael de Souza Fonseca</t>
  </si>
  <si>
    <t>vilavicentinadejambeiro@gmail.com</t>
  </si>
  <si>
    <t>PDF sem rubricar</t>
  </si>
  <si>
    <t>262/23</t>
  </si>
  <si>
    <t>Associação EDUCASURF</t>
  </si>
  <si>
    <t>Projeto Vida Ativa 60 +</t>
  </si>
  <si>
    <t>Guarujá/SP</t>
  </si>
  <si>
    <t xml:space="preserve">Lilia Maria de Lima Rodrigues </t>
  </si>
  <si>
    <t>educasurf1@gmail.com</t>
  </si>
  <si>
    <t>263/23</t>
  </si>
  <si>
    <t>Lar dos Velhinhos DR. Adolpho Barreto</t>
  </si>
  <si>
    <t>Garantindo um Teto Seguro</t>
  </si>
  <si>
    <t>Mococa/SP</t>
  </si>
  <si>
    <t xml:space="preserve">Daiane Cristina Satilio Pereira </t>
  </si>
  <si>
    <t>velhinhosdemococa@uol.com.br</t>
  </si>
  <si>
    <t>264/23</t>
  </si>
  <si>
    <t>Academia ao Ar Livre</t>
  </si>
  <si>
    <t>265/23</t>
  </si>
  <si>
    <t>Promovendo Acessibilidade para a Terceira Idade</t>
  </si>
  <si>
    <t>266/23</t>
  </si>
  <si>
    <t>Associação Cristã Francisco de Assis</t>
  </si>
  <si>
    <t>Projeto Beija-Flor "Tranquila - Idade"</t>
  </si>
  <si>
    <t xml:space="preserve">Magda de Carvalho Ferreira </t>
  </si>
  <si>
    <t>espacoartecultura@outlook.com</t>
  </si>
  <si>
    <t>267/22</t>
  </si>
  <si>
    <t>Beija Flor 60+</t>
  </si>
  <si>
    <t>268/23</t>
  </si>
  <si>
    <t>Grupo Arco Íris</t>
  </si>
  <si>
    <t>Orientação Psicossocial ao Idoso em Tratamento Oncológico</t>
  </si>
  <si>
    <t>Arco Iris/SP</t>
  </si>
  <si>
    <t xml:space="preserve">Ademar Aparecido Mporeira da Silva </t>
  </si>
  <si>
    <t>arcoirirs01.grupo21@terra.com.br</t>
  </si>
  <si>
    <t>269/23</t>
  </si>
  <si>
    <t>Municipal de Mococa</t>
  </si>
  <si>
    <t>Resgatando Memórias e Fortalecendo a Importância da Cidade Mococa</t>
  </si>
  <si>
    <t>Eduardo Ribeiro Barison</t>
  </si>
  <si>
    <t>gabinetejaborandi@hotmail.com ou gabinete2@jaborandi.com.br</t>
  </si>
  <si>
    <t>270/23</t>
  </si>
  <si>
    <t>Associação de Desenvolvimento de Criança Limitadas Lument ET Fides</t>
  </si>
  <si>
    <t>Programa de Prevençao de Quedas para Idosos Através de Atividades de Estimulação Psicomotora, Pilates e Adequação de Dispositivos para Marcha</t>
  </si>
  <si>
    <t>Luciana Christine Fernandes Tanaka</t>
  </si>
  <si>
    <t>lumen@stetnet.com.br</t>
  </si>
  <si>
    <t>271/23</t>
  </si>
  <si>
    <t>comunidade de Amparo Social e Asilar - C.A.S.A</t>
  </si>
  <si>
    <t>Lar Renovado</t>
  </si>
  <si>
    <t xml:space="preserve">Ana Célia da Silva </t>
  </si>
  <si>
    <t>coordenacaoasilar@gmail.com</t>
  </si>
  <si>
    <t>272/23</t>
  </si>
  <si>
    <t>Teto Amigo</t>
  </si>
  <si>
    <t>273/23</t>
  </si>
  <si>
    <t>Renovação Energetica</t>
  </si>
  <si>
    <t>274/23</t>
  </si>
  <si>
    <t>Instituição casa dos Velhos de Tupâ</t>
  </si>
  <si>
    <t>Tupã/SP</t>
  </si>
  <si>
    <t xml:space="preserve">Natália Moreno Gaiotte Manfré </t>
  </si>
  <si>
    <t>casadosvelhos@gmail.com</t>
  </si>
  <si>
    <t>275/23</t>
  </si>
  <si>
    <t>Lar e Escola José Olintho Fortes Junqueira</t>
  </si>
  <si>
    <t>São Joaquim da Barra/SP</t>
  </si>
  <si>
    <t>DRADS FRANCA</t>
  </si>
  <si>
    <t>Bianca</t>
  </si>
  <si>
    <t>larescola1@hotmail.com</t>
  </si>
  <si>
    <t>276/23</t>
  </si>
  <si>
    <t>Municiapal de Sud Menucci</t>
  </si>
  <si>
    <t xml:space="preserve">Idosos Conectados </t>
  </si>
  <si>
    <t>Sud Menucci/SP</t>
  </si>
  <si>
    <t>José Urbino dos Santos Neto</t>
  </si>
  <si>
    <t>social@sudmenucci.sp.gov.br</t>
  </si>
  <si>
    <t>277/23</t>
  </si>
  <si>
    <t>Municipal de Sertãozinho</t>
  </si>
  <si>
    <t>Cuidando sem Limites</t>
  </si>
  <si>
    <t>Sertãozinho/SP</t>
  </si>
  <si>
    <t>Taise Cristina Balarin</t>
  </si>
  <si>
    <t>pad@sertaozinho.sp.gov.br</t>
  </si>
  <si>
    <t>278/23</t>
  </si>
  <si>
    <t>Casa Pia de São Vicente de Paulo</t>
  </si>
  <si>
    <t>Aquisição Efetiva</t>
  </si>
  <si>
    <t>Ingridi Sanchez Rissatti</t>
  </si>
  <si>
    <t>assistenciasocial@casapiasertaozinho.com.br</t>
  </si>
  <si>
    <t>279/23</t>
  </si>
  <si>
    <t>Liga das Senhoras Católicas de São Paulo</t>
  </si>
  <si>
    <t>LÁPIS - Letramento e Aprendizagem para Idosos</t>
  </si>
  <si>
    <t>Joyce C. Meireles de Oliveira</t>
  </si>
  <si>
    <t>joyce.oliveira@ligasolidaria.org.br</t>
  </si>
  <si>
    <t>280/23</t>
  </si>
  <si>
    <t xml:space="preserve">Vila São Vicente de Paulo de Bragança Paulista </t>
  </si>
  <si>
    <t xml:space="preserve">Aquisição de Equipamentos Permanentes para Lavanderia </t>
  </si>
  <si>
    <t>Bragança Paulista/SP</t>
  </si>
  <si>
    <t xml:space="preserve">Benedito Franco Bueno </t>
  </si>
  <si>
    <t>vilasvdepaulo@uol.com.br</t>
  </si>
  <si>
    <t>281/23</t>
  </si>
  <si>
    <t>Municipal da Estancia Turistica de Ribeirão Pires</t>
  </si>
  <si>
    <t>Projeto Agite sua Idade</t>
  </si>
  <si>
    <t>Ribeirão Pires/SP</t>
  </si>
  <si>
    <t>Valter Antônio da Silva</t>
  </si>
  <si>
    <t>282/23</t>
  </si>
  <si>
    <t xml:space="preserve">Instituto Nair Pereira de Direitos Humanos e A.S </t>
  </si>
  <si>
    <t xml:space="preserve">Núcleo Regional de Promoção e Defesa dos Direitos das Pessoas Idosas </t>
  </si>
  <si>
    <t>Eixo VI: Justiça</t>
  </si>
  <si>
    <t>Júlio Cezar Figueiredo Caetano</t>
  </si>
  <si>
    <t>diretoria@institutonairpereira.org.br</t>
  </si>
  <si>
    <t>283/23</t>
  </si>
  <si>
    <t>Lar Vicentino de Itapeva</t>
  </si>
  <si>
    <t>Aquisição de camas hospitalares, colchões, cadeiras de rodas, cadeiras de banho e poltronas reclináveis</t>
  </si>
  <si>
    <t>Itapeva/SP</t>
  </si>
  <si>
    <t>Renê de castro Silva</t>
  </si>
  <si>
    <t>larvicentinodeitapeva@gmail.com</t>
  </si>
  <si>
    <t>284/23</t>
  </si>
  <si>
    <t>Instalação de energia solar sistema fotovoltaico no Lar Vicentino de Itapeva.</t>
  </si>
  <si>
    <t>285/23</t>
  </si>
  <si>
    <t>Aquisição de Máquina de Lavar Roupas</t>
  </si>
  <si>
    <t>286/23</t>
  </si>
  <si>
    <t>Asilo Betel de Castilho</t>
  </si>
  <si>
    <t xml:space="preserve">Sol Nascente </t>
  </si>
  <si>
    <t>Castilho/SP</t>
  </si>
  <si>
    <t xml:space="preserve">Angelita Gonçalves da Silva </t>
  </si>
  <si>
    <t>asilobetel@yahoo.com.br</t>
  </si>
  <si>
    <t>287/23</t>
  </si>
  <si>
    <t>Abrigo Esperança</t>
  </si>
  <si>
    <t>Banheiros Adequados</t>
  </si>
  <si>
    <t>Presidente Venceslau/SP</t>
  </si>
  <si>
    <t>Jacqueline Oliveira Montanha</t>
  </si>
  <si>
    <t>abrigo.esperanca@hotmail.com</t>
  </si>
  <si>
    <t>288/23</t>
  </si>
  <si>
    <t xml:space="preserve">Casa Betel </t>
  </si>
  <si>
    <t>Angelita Gonçalves da Silva</t>
  </si>
  <si>
    <t>289/23</t>
  </si>
  <si>
    <t>Asilo São José - Obra Unida à Sociedade São Vicente de Paulo</t>
  </si>
  <si>
    <t xml:space="preserve">Praticando o Pertencimento </t>
  </si>
  <si>
    <t>Colina/SP</t>
  </si>
  <si>
    <t>Maria Inês Torquato Malpica</t>
  </si>
  <si>
    <t>asilosaojosecolina@hotmail.com</t>
  </si>
  <si>
    <t>290/23</t>
  </si>
  <si>
    <t>Municipal de Aramina</t>
  </si>
  <si>
    <t>Projeto Dança de Salão</t>
  </si>
  <si>
    <t>Aramina/SP</t>
  </si>
  <si>
    <t>Joyce Luciana Lima de Paula</t>
  </si>
  <si>
    <t>gabinete@aramina.sp.gov.br</t>
  </si>
  <si>
    <t>291/23</t>
  </si>
  <si>
    <t>Inclusão Digital para a Terceira Idade (Uma Nova Realidade para o Nossos Idosos</t>
  </si>
  <si>
    <t>Solange Ap. S. Polydorio</t>
  </si>
  <si>
    <t>292/2</t>
  </si>
  <si>
    <t>Organização Comunitária de Aramina</t>
  </si>
  <si>
    <t xml:space="preserve">Viver </t>
  </si>
  <si>
    <t>Ana Paula</t>
  </si>
  <si>
    <t>orgcomara@hotmail.com</t>
  </si>
  <si>
    <t>293/23</t>
  </si>
  <si>
    <t>Clube da Melhor Idade de Apiai</t>
  </si>
  <si>
    <t>Perolas do Vale</t>
  </si>
  <si>
    <t>Suely de Fatima Martins</t>
  </si>
  <si>
    <t>vovocasuely@gmail.com</t>
  </si>
  <si>
    <t>294/23</t>
  </si>
  <si>
    <t>OLHE - Observatório da Longevidade Humana e Envelhecimento</t>
  </si>
  <si>
    <t>Olhe para ILPIs - Consultoria Técnica para ILPsI Beneficentes do Estado de São Paulo</t>
  </si>
  <si>
    <t>Marilia Vicena Berzins</t>
  </si>
  <si>
    <t>olheobservatorio@gmail.com</t>
  </si>
  <si>
    <t>295/23</t>
  </si>
  <si>
    <t>Lar Vicentino de Caçapava</t>
  </si>
  <si>
    <t>Só Lar - Aquisição e Instalação de Sistema de Energia Fotovoltaica</t>
  </si>
  <si>
    <t>Caçapava/SP</t>
  </si>
  <si>
    <t>Marta Rovida Cardoso</t>
  </si>
  <si>
    <t>larviccacapava@gmail.com</t>
  </si>
  <si>
    <t>296/23</t>
  </si>
  <si>
    <t>Vila Vicentina de Cachoeira Paulista</t>
  </si>
  <si>
    <t>Proteção e Segurança</t>
  </si>
  <si>
    <t>Juliana Marinho Lopes</t>
  </si>
  <si>
    <t>vilavicentina@gmail.com</t>
  </si>
  <si>
    <t>297/2</t>
  </si>
  <si>
    <t>Municipal de Taiaçu</t>
  </si>
  <si>
    <t xml:space="preserve">Uma História para Vida </t>
  </si>
  <si>
    <t>Taiaçu/SP</t>
  </si>
  <si>
    <t>Mauricio Lofrano Geraldo</t>
  </si>
  <si>
    <t>assistenciasocial@taiacu.sp.gov.br</t>
  </si>
  <si>
    <t>298/23</t>
  </si>
  <si>
    <t>Sociedade Humana Despertar</t>
  </si>
  <si>
    <t xml:space="preserve">Vida em Movimento, Encontros Culturais </t>
  </si>
  <si>
    <t>Terezinha Ongaro Monteiro de Barros</t>
  </si>
  <si>
    <t>terezinha.ongaro@shd.org.br
diretoria@shd.org.br</t>
  </si>
  <si>
    <t>299/23</t>
  </si>
  <si>
    <t>Associação de Pais e Amigos dos expecionais de Catanduva - SP</t>
  </si>
  <si>
    <t>A Alimentação que eu Preciso</t>
  </si>
  <si>
    <t>Cantanduva/SP</t>
  </si>
  <si>
    <t>Ticiana Regina Dias</t>
  </si>
  <si>
    <t>apaecat@apaecat.org.br</t>
  </si>
  <si>
    <t>300/23</t>
  </si>
  <si>
    <t>VEM SER - Associação de Apolo à Incl. E Assis. Ao Ind. C/ Necessidades Especiais</t>
  </si>
  <si>
    <t xml:space="preserve">Laboratório do Envelhecimento </t>
  </si>
  <si>
    <t>Cassia Akemi Yamada Eguthi</t>
  </si>
  <si>
    <t>vemser@associacaovemser.org.br</t>
  </si>
  <si>
    <t>301/23</t>
  </si>
  <si>
    <t>Lar São Vicente de Paulo de Pontiredaba</t>
  </si>
  <si>
    <t>Programa de Acolhimento com mais Dignidade aos Idosos</t>
  </si>
  <si>
    <t>Potirendaba</t>
  </si>
  <si>
    <t>Lucy Jorge da Silva</t>
  </si>
  <si>
    <t>larsaovicentepoti@gmail.com</t>
  </si>
  <si>
    <t>302/23</t>
  </si>
  <si>
    <t>Associação do Asilo Vicentino Nossa Senhora da Penha</t>
  </si>
  <si>
    <t>Promovendo o Envelhecimento Ativo</t>
  </si>
  <si>
    <t>Pirapozinho/SP</t>
  </si>
  <si>
    <t>Daiara Botelho / Juliana Tavares</t>
  </si>
  <si>
    <t>asilovicentinopirapozinho@gmail.com</t>
  </si>
  <si>
    <t>303/23</t>
  </si>
  <si>
    <t xml:space="preserve">Qualidade de Vida com Energia Limpa </t>
  </si>
  <si>
    <t>Cedral/SP</t>
  </si>
  <si>
    <t>Mauro Basílio Trevizan</t>
  </si>
  <si>
    <t>larcedral@gmail.com</t>
  </si>
  <si>
    <t>304/23</t>
  </si>
  <si>
    <t>Municipal de Potirendaba</t>
  </si>
  <si>
    <t>Ressignificando os 60+</t>
  </si>
  <si>
    <t>Pontirendaba/SP</t>
  </si>
  <si>
    <t>Edinéia Perpétua Lazarin Aguiar</t>
  </si>
  <si>
    <t>pmpotirendaba@potirendaba.sp.gov.br</t>
  </si>
  <si>
    <t>305/23</t>
  </si>
  <si>
    <t>Municipal de Luiz Antônio</t>
  </si>
  <si>
    <t>Para Ficar na Memória</t>
  </si>
  <si>
    <t>Luís Antônio/SP</t>
  </si>
  <si>
    <t>Elaine Maria de Castro Mesquita</t>
  </si>
  <si>
    <t>social@pontirendaba.sp.gov.br</t>
  </si>
  <si>
    <t>306/23</t>
  </si>
  <si>
    <t>Municipal São Simão</t>
  </si>
  <si>
    <t xml:space="preserve">Movimenta Idoso </t>
  </si>
  <si>
    <t>São Simão/SP</t>
  </si>
  <si>
    <t>Thiago Akira Portugal Miyahara</t>
  </si>
  <si>
    <t>gabinete@tabapua.sp.gov.br ou administracao@tabapua.sp.gov.br</t>
  </si>
  <si>
    <t>307/23</t>
  </si>
  <si>
    <t>Municipal de Sales Oliveira</t>
  </si>
  <si>
    <t xml:space="preserve">Mediação Diálogo Intersetoriais na Proteção à Pessoa Idosa </t>
  </si>
  <si>
    <t>Sales Oliveira/SP</t>
  </si>
  <si>
    <t>Protocolo 307/23</t>
  </si>
  <si>
    <t>social@luizantonio.sp.gov.br</t>
  </si>
  <si>
    <t>308/23</t>
  </si>
  <si>
    <t>Lar São Francisco de Assis de Mogi Mirim</t>
  </si>
  <si>
    <t xml:space="preserve">Acolhendo, Alimentando e Nutrindo </t>
  </si>
  <si>
    <t>Vanessa Zinetti</t>
  </si>
  <si>
    <t>saofraanciscomm@gmail.com</t>
  </si>
  <si>
    <t>309/23</t>
  </si>
  <si>
    <t>Instituto o Amor</t>
  </si>
  <si>
    <t>Amor na Terceira Idade</t>
  </si>
  <si>
    <t>Alexsandra Ventura/ Anderson Souza Alves</t>
  </si>
  <si>
    <t>institutooamorsede@hotmail.com</t>
  </si>
  <si>
    <t>310/23</t>
  </si>
  <si>
    <t>Instituto Valorize</t>
  </si>
  <si>
    <t>Lazer e Qualidade de Vida na Terceira Idade</t>
  </si>
  <si>
    <t>Juliana Adão</t>
  </si>
  <si>
    <t>institutovalorize@gmail.com</t>
  </si>
  <si>
    <t>311/23</t>
  </si>
  <si>
    <t>Instituto Cesalpina</t>
  </si>
  <si>
    <t>Melhor Idade Feliz</t>
  </si>
  <si>
    <t>Carlos Antonio Ferreira</t>
  </si>
  <si>
    <t>institutocelsapina@hotmail.com</t>
  </si>
  <si>
    <t>312/23</t>
  </si>
  <si>
    <t>Casa Transitória André Luiz</t>
  </si>
  <si>
    <t>Cuidados e Longevidade</t>
  </si>
  <si>
    <t>Maria Lúcia Silva de Araújo</t>
  </si>
  <si>
    <t>casaandreluizbarretos@gmail.com</t>
  </si>
  <si>
    <t>313/23</t>
  </si>
  <si>
    <t>Fundação LVF " Lugar de Viver Feliz de Barretos"</t>
  </si>
  <si>
    <t xml:space="preserve">Centro de Lazer - Bem Viver </t>
  </si>
  <si>
    <t>Pamella Paula da Silva Camargo</t>
  </si>
  <si>
    <t>fundacao_lvf@hotmail.com</t>
  </si>
  <si>
    <t>Plano de Trabalho foar do Padrão do Edital</t>
  </si>
  <si>
    <t>314/23</t>
  </si>
  <si>
    <t>Obra de Ação Social Pio XII</t>
  </si>
  <si>
    <t>Restauralar RSJD</t>
  </si>
  <si>
    <t>Cassia Ofusa</t>
  </si>
  <si>
    <t>cassia@ofusa@hpioxii.org.br</t>
  </si>
  <si>
    <t>315/23</t>
  </si>
  <si>
    <t>Municipal de Pradópolis</t>
  </si>
  <si>
    <t>Comunidade em Movimento, de mãos dadas com a Melhor Idade</t>
  </si>
  <si>
    <t>Pradópolis/SP</t>
  </si>
  <si>
    <t>Kátia Helena Garcia de Almeida Marques</t>
  </si>
  <si>
    <t xml:space="preserve">prefeitosilviobuchera@pradopolis.sp.gov.br  </t>
  </si>
  <si>
    <t>316/23</t>
  </si>
  <si>
    <t xml:space="preserve">Municipal Santa Cruz do Rio Pardo </t>
  </si>
  <si>
    <t>Aquisição de equipamentos para o Condomínio Prefeito Doutor Clóvis Guimarães Teixeira Coelho</t>
  </si>
  <si>
    <t>Diego Henrique Singolani Costa</t>
  </si>
  <si>
    <t>gabinete@pradopolis.sp.gov.br</t>
  </si>
  <si>
    <t>317/23</t>
  </si>
  <si>
    <t>Ampliação do número de vagas em Instituições de Longa Permanência para Idosos</t>
  </si>
  <si>
    <t>318/23</t>
  </si>
  <si>
    <t>Instituto de Incentivo a Vida</t>
  </si>
  <si>
    <t xml:space="preserve">Nova Casa </t>
  </si>
  <si>
    <t>Mauá/SP</t>
  </si>
  <si>
    <t>Geise Kelly da Fonseca</t>
  </si>
  <si>
    <t>coordenacao@solidarios.org.br</t>
  </si>
  <si>
    <t xml:space="preserve">Sem Pendrive </t>
  </si>
  <si>
    <t>319/23</t>
  </si>
  <si>
    <t>Lar Frederico Ozanam</t>
  </si>
  <si>
    <t xml:space="preserve">Eficiência Energética </t>
  </si>
  <si>
    <t>Nayane Soares</t>
  </si>
  <si>
    <t>assistenciasocial@larfozanam.com.br</t>
  </si>
  <si>
    <t>Enviado 1 pendrive para 2 projetos (319/23)</t>
  </si>
  <si>
    <t>320/23</t>
  </si>
  <si>
    <t xml:space="preserve">Carro Adaptado </t>
  </si>
  <si>
    <t>Pendrive com 2 projetos diferentes</t>
  </si>
  <si>
    <t>321/23</t>
  </si>
  <si>
    <t>Obras Sociais Nossa Senhora do Rosário</t>
  </si>
  <si>
    <t>Longevidade</t>
  </si>
  <si>
    <t>Carolina Miranda Tetzner Pelusse</t>
  </si>
  <si>
    <t>assistente@recantodosidososlimeira.org.br</t>
  </si>
  <si>
    <t>322/23</t>
  </si>
  <si>
    <t>Associação Cultural Interligada Social Esportiva Guarulhos</t>
  </si>
  <si>
    <t xml:space="preserve">Vida Ativa na 3° Idade </t>
  </si>
  <si>
    <t>Gleice Cabral do Nascimento</t>
  </si>
  <si>
    <t>aciseg.institucional@gmail.com</t>
  </si>
  <si>
    <t>323/23</t>
  </si>
  <si>
    <t>Recanto do Bom Velhinho Vale da Lua</t>
  </si>
  <si>
    <t>Quero ser Feliz Agora</t>
  </si>
  <si>
    <t>Tatuí</t>
  </si>
  <si>
    <t>Claudia Rosana N. R. Fagundes</t>
  </si>
  <si>
    <t>contato@recantodobomvelhinho.com</t>
  </si>
  <si>
    <t>324/23</t>
  </si>
  <si>
    <t>Sorri Bauru</t>
  </si>
  <si>
    <t xml:space="preserve">Viva Ativo: Arte, Esporte e Bem-Estar </t>
  </si>
  <si>
    <t>Claudete Panini</t>
  </si>
  <si>
    <t>projetos@sorribauru.com.br</t>
  </si>
  <si>
    <t>325/23</t>
  </si>
  <si>
    <t xml:space="preserve">Excelência no Cuidado: Capacitação para Cuidadores de Pessoas Idosas </t>
  </si>
  <si>
    <t>326/23</t>
  </si>
  <si>
    <t>Acesso Imediato à Mobilidade: Tecnologia Assistiva para Pessoas Idosas</t>
  </si>
  <si>
    <t>327/23</t>
  </si>
  <si>
    <t>Associação dos Pioneiros e Veterenanos do Embraer</t>
  </si>
  <si>
    <t>Asas da Imaginação</t>
  </si>
  <si>
    <t>Maria Heloisa Siqueira Santos</t>
  </si>
  <si>
    <t>apve@apve.com.br</t>
  </si>
  <si>
    <t>328/23</t>
  </si>
  <si>
    <t>Coral Cantares: A voz do Envelhe(ser)</t>
  </si>
  <si>
    <t>329/23</t>
  </si>
  <si>
    <t>Encontros: Pioneiros da Cultura Aeronáuticas</t>
  </si>
  <si>
    <t>330/23</t>
  </si>
  <si>
    <t>Lar São Vicente de Paulo de São José do Rio Preto</t>
  </si>
  <si>
    <t xml:space="preserve">Aquisição de Veiculo: Assegurar e Acessar </t>
  </si>
  <si>
    <t>Maraise Cristina Siqueira</t>
  </si>
  <si>
    <t>adm@larsaovicente.org.br</t>
  </si>
  <si>
    <t>331/23</t>
  </si>
  <si>
    <t>Casa de Amparo Amor e Vida a pessoas com Câncer - CAVIPEC</t>
  </si>
  <si>
    <t>Convivendo e Revivendo um passo para novos laços</t>
  </si>
  <si>
    <t>Siomara Carlson Bérgamo</t>
  </si>
  <si>
    <t>siomara@amorevida.org.br</t>
  </si>
  <si>
    <t xml:space="preserve">
</t>
  </si>
  <si>
    <t>332/23</t>
  </si>
  <si>
    <t>Lar Dos Velhinhos de São Vicente de Paula</t>
  </si>
  <si>
    <t>Corpos e Mentes Ativas</t>
  </si>
  <si>
    <t>Cunha/SP</t>
  </si>
  <si>
    <t>Ana Accácia Almeida Arantes Monteiro</t>
  </si>
  <si>
    <t>asilocunha@gmail.com</t>
  </si>
  <si>
    <t>333/23</t>
  </si>
  <si>
    <t>Municipal de Taciba</t>
  </si>
  <si>
    <t>Maturidade Ativa</t>
  </si>
  <si>
    <t>Taciba/SP</t>
  </si>
  <si>
    <t>Leandra Tomaz Santos Soares</t>
  </si>
  <si>
    <t>suas@saosimao.sp.gov.br</t>
  </si>
  <si>
    <t>334/23</t>
  </si>
  <si>
    <t>Associação Beneficente Reobote</t>
  </si>
  <si>
    <t>Realização de Cursos para Habilitação de Profissionais Atendentes para Cuidadores de Idoso</t>
  </si>
  <si>
    <t>Alzira Ramos</t>
  </si>
  <si>
    <t>abr.adbrperi@terra.com.br</t>
  </si>
  <si>
    <t>335/23</t>
  </si>
  <si>
    <t>Municipal de Itapura</t>
  </si>
  <si>
    <t>O Som da Vida – um projeto de música, conversa, intercâmbio intergeracional e movimento com os idosos de Itapura</t>
  </si>
  <si>
    <t>Itapura/SP</t>
  </si>
  <si>
    <t>Célia Regina dq Silva Dourado</t>
  </si>
  <si>
    <t>assistenciasocial@taciba.sp.gov.br</t>
  </si>
  <si>
    <t>336/23</t>
  </si>
  <si>
    <t>Instituto Educacional Toque para o Futuro</t>
  </si>
  <si>
    <t>Projeto Saúde e Cidadania na Melhor Idade</t>
  </si>
  <si>
    <t>Sara Brahiana de Medeiros</t>
  </si>
  <si>
    <t>toqueparaofuturo@yahoo.com.br</t>
  </si>
  <si>
    <t xml:space="preserve">
Não consta Plano de Trabalho no Pendrive</t>
  </si>
  <si>
    <t>337/23</t>
  </si>
  <si>
    <t>Instituição Tia Ramona</t>
  </si>
  <si>
    <t xml:space="preserve">Avante Tia Ramona </t>
  </si>
  <si>
    <t>Avanti Tia Romana</t>
  </si>
  <si>
    <t>izzxmvds@gmail.com</t>
  </si>
  <si>
    <t>338/23</t>
  </si>
  <si>
    <t>Associação Locomotiva João Ramalho</t>
  </si>
  <si>
    <t xml:space="preserve">Orquestra Master </t>
  </si>
  <si>
    <t>Santo André/SP</t>
  </si>
  <si>
    <t>Micaías P. de Deus</t>
  </si>
  <si>
    <t>contato@projetolocomotiva.com.br</t>
  </si>
  <si>
    <t>339/23</t>
  </si>
  <si>
    <t>Lar de Idosos Vicente de Paulo de Caçapava</t>
  </si>
  <si>
    <t>Cuidando de Nossos Espaços
(Pintura)</t>
  </si>
  <si>
    <t>Maria Luiza Ferreira dos Santos</t>
  </si>
  <si>
    <t>laridosos@yahoo.com.br</t>
  </si>
  <si>
    <t>340/23</t>
  </si>
  <si>
    <t>Cuidando de Nossos Espaços 
(Projeto: Telhado / Elétrica)</t>
  </si>
  <si>
    <t>341/23</t>
  </si>
  <si>
    <t>Cuidando de Nossos Espaços
(Cobertura)</t>
  </si>
  <si>
    <t>342/23</t>
  </si>
  <si>
    <t>Municipal de Óleo</t>
  </si>
  <si>
    <t>Óleo/SP</t>
  </si>
  <si>
    <t xml:space="preserve">João Antônio Vidotto </t>
  </si>
  <si>
    <t>idoso@aramina.sp.gov.br</t>
  </si>
  <si>
    <t>343/23</t>
  </si>
  <si>
    <t>Centro de Convivencia do Idoso de Serrana</t>
  </si>
  <si>
    <t xml:space="preserve">Geração Sustetável </t>
  </si>
  <si>
    <t>Serrana/SP</t>
  </si>
  <si>
    <t>Fernanda Helena Santos</t>
  </si>
  <si>
    <t>cci.serrana@gmail.com</t>
  </si>
  <si>
    <t>344/23</t>
  </si>
  <si>
    <t>Criando Novas Memórias</t>
  </si>
  <si>
    <t>345/23</t>
  </si>
  <si>
    <t>O Idoso Protagonista na ILPI</t>
  </si>
  <si>
    <t>Serra Azul/SP</t>
  </si>
  <si>
    <t>Sinara ou Lúcia</t>
  </si>
  <si>
    <t>lvspserraazul@yahoo.com.br</t>
  </si>
  <si>
    <t>346/23</t>
  </si>
  <si>
    <t>Associação Casa dos Velhinhos de Serrana</t>
  </si>
  <si>
    <t>EnvelheSer com Qualidade</t>
  </si>
  <si>
    <t>Jaqueline Aparecida da Silva dos Reis Lino</t>
  </si>
  <si>
    <t>casadosvelhinhosdeserrana@gmail.com</t>
  </si>
  <si>
    <t xml:space="preserve"> (ajustar paginas do Plano)</t>
  </si>
  <si>
    <t>347/23</t>
  </si>
  <si>
    <t>Cuidando de quem Cuida</t>
  </si>
  <si>
    <t>348/23</t>
  </si>
  <si>
    <t xml:space="preserve">Divergência no nome do Projeto, no plano de trabalho consta "Lavanderia" e no enevolpe "Reforma"
Verificar se não são repetidos (Protocolo 014 e 348/23) </t>
  </si>
  <si>
    <t>349/23</t>
  </si>
  <si>
    <t>Instituto Potencial - Projetos Sociais</t>
  </si>
  <si>
    <t>Ciranda das Memórias Metropolitanas</t>
  </si>
  <si>
    <t>Jacqueline Leonora dos Reis</t>
  </si>
  <si>
    <t>institutopotencial@gmail.com</t>
  </si>
  <si>
    <t>350/23</t>
  </si>
  <si>
    <t>Associação das Damas de Caridade de São Vicente de Paulo</t>
  </si>
  <si>
    <t>Projeto Energia Solar: Caminho Para Um Futuro Sustentável</t>
  </si>
  <si>
    <t>Jaboticabal/SP</t>
  </si>
  <si>
    <t>Michelle Nascimento</t>
  </si>
  <si>
    <t>coordenacaolasvp@gmail.com</t>
  </si>
  <si>
    <t>351/23</t>
  </si>
  <si>
    <t>Encontros de Formação para o Fortalecimento dos Conselhos de Direitos dos Idosos</t>
  </si>
  <si>
    <t>352/23</t>
  </si>
  <si>
    <t>Centro Beneficiente de Assistêncial Social</t>
  </si>
  <si>
    <t>Escola de Moda e Costura</t>
  </si>
  <si>
    <t>Hugo Viana</t>
  </si>
  <si>
    <t>centrobeneficente@outlook.com</t>
  </si>
  <si>
    <t>353/23</t>
  </si>
  <si>
    <t xml:space="preserve">Envelhecendo Sorrindo </t>
  </si>
  <si>
    <t>354/23</t>
  </si>
  <si>
    <t>Municipal Campo Limpo Paulista</t>
  </si>
  <si>
    <t xml:space="preserve">Atenção a População Idosa em Outros Patamar </t>
  </si>
  <si>
    <t>Campo Limpo Paulista/SP</t>
  </si>
  <si>
    <t>Carmem Brandino</t>
  </si>
  <si>
    <t>gabinete@campolimpopaulista.sp.gov.br</t>
  </si>
  <si>
    <t>355/23</t>
  </si>
  <si>
    <t xml:space="preserve">Municipal de Manduri </t>
  </si>
  <si>
    <t>Vovós Ativas, Arteiras e Cantantes</t>
  </si>
  <si>
    <t>José Onivaldo Justi</t>
  </si>
  <si>
    <t xml:space="preserve"> secretaria@manduri.sp.gov.br</t>
  </si>
  <si>
    <t>356/23</t>
  </si>
  <si>
    <t>Municipal Tabapuã</t>
  </si>
  <si>
    <t>SPLISH, SPLASH – Longevidade Ativa</t>
  </si>
  <si>
    <t>Tabapuã/SP</t>
  </si>
  <si>
    <t>Silvio César Sartorello</t>
  </si>
  <si>
    <t>357/23</t>
  </si>
  <si>
    <t xml:space="preserve">Municipal de Bebedouro </t>
  </si>
  <si>
    <t>Vida em movimento</t>
  </si>
  <si>
    <t>Lucas Seren Gibin</t>
  </si>
  <si>
    <t>gabinete.prefeito@bebebedouro.sp.gov.br</t>
  </si>
  <si>
    <t>358/23</t>
  </si>
  <si>
    <t>Municipal de Barretos</t>
  </si>
  <si>
    <t>Programa Leite do Idoso</t>
  </si>
  <si>
    <t>Vitória de Lourdes Toledo Saretta de Oliveira</t>
  </si>
  <si>
    <t>assistenciasocial@barretos.sp.gov.br</t>
  </si>
  <si>
    <t>359/23</t>
  </si>
  <si>
    <t>Fortalecimento de Iniciativas para a População Acima de 60 Anos</t>
  </si>
  <si>
    <t>360/23</t>
  </si>
  <si>
    <t xml:space="preserve">Vila São Vicente de Paulo Obra Unida a Sociedade de Paulo </t>
  </si>
  <si>
    <t>Projeto Envelhecer: Um olhar para Melhor Idade</t>
  </si>
  <si>
    <t>Geni Furgulio</t>
  </si>
  <si>
    <t>vila.svp.map@gmail.com</t>
  </si>
  <si>
    <t xml:space="preserve">Plano de Trablaho sem rubricar </t>
  </si>
  <si>
    <t>361/23</t>
  </si>
  <si>
    <t>Municipal de Monte Azul Paulista</t>
  </si>
  <si>
    <t>Semeando Autores</t>
  </si>
  <si>
    <t>Monte Azul Paulista/SP</t>
  </si>
  <si>
    <t>Marcelo Otaviano dos Santos</t>
  </si>
  <si>
    <t>prefeito@monteazulpaulista.sp.gov.br</t>
  </si>
  <si>
    <t>362/23</t>
  </si>
  <si>
    <t xml:space="preserve">Vivacidade 60+ </t>
  </si>
  <si>
    <t>363/23</t>
  </si>
  <si>
    <t xml:space="preserve">Van Adaptada </t>
  </si>
  <si>
    <t>gabinete@charqueada.sp.gov.br / saude@charqueada.sp.gov.br / cras@charqueada.sp.gov.br</t>
  </si>
  <si>
    <t>Nome do projeto difente: Plano de trabalho com o envelope
Aquisição de Veiculo</t>
  </si>
  <si>
    <t>364/23</t>
  </si>
  <si>
    <t>Hidro 60 Mais</t>
  </si>
  <si>
    <t>365/23</t>
  </si>
  <si>
    <t>lar São Vicentino de Paulo</t>
  </si>
  <si>
    <t>Investimento em "Qualidade do Bem-Estar dos Idosos Acolhidos na Instituição"</t>
  </si>
  <si>
    <t>Aparecida/SP</t>
  </si>
  <si>
    <t>Francine Ferreira Rodrigues Peçanha</t>
  </si>
  <si>
    <t>larsvpaparecida@hotmail.com</t>
  </si>
  <si>
    <t>366/23</t>
  </si>
  <si>
    <t>Instituto Rosa dos Ventos</t>
  </si>
  <si>
    <t>Instituto Rosa dos Ventos 60+</t>
  </si>
  <si>
    <t>Anderson Clayton Rosa</t>
  </si>
  <si>
    <t>contato@institutorosadosventos.com.br</t>
  </si>
  <si>
    <t>367/23</t>
  </si>
  <si>
    <t>Municipal de Charqueada</t>
  </si>
  <si>
    <t>Projeto Evelhecimento AtivoSaúde e Bem Estar. Oficinas de Memórias Estimulação Sensorial Cognitiva e Movimento para Pessoa Idosa</t>
  </si>
  <si>
    <t>Charqueada/SP</t>
  </si>
  <si>
    <t>Marcela Juliana Pupin Gonçalves</t>
  </si>
  <si>
    <t>assistencia@pedrinhaspaulista.sp.gov.br</t>
  </si>
  <si>
    <t>368/23</t>
  </si>
  <si>
    <t>Vila Vicentina Abrigo para Velhos</t>
  </si>
  <si>
    <t>Mobiliar e Climatizar para Melhor Servir</t>
  </si>
  <si>
    <t>Marcia Aparecida Chelim</t>
  </si>
  <si>
    <t>diretoria@vilavicentinabauru.com.br</t>
  </si>
  <si>
    <t>369/23</t>
  </si>
  <si>
    <t>Corpo em Movimento: a água como forma de prevenção e reabilitação de idosos</t>
  </si>
  <si>
    <t>370/23</t>
  </si>
  <si>
    <t>Municipal de Pedrinhas Paulistas</t>
  </si>
  <si>
    <t>Idosos em Movimento</t>
  </si>
  <si>
    <t>Pedrinhas Paulista/SP</t>
  </si>
  <si>
    <t>Michelina Francisca Maresciallo Amorieli</t>
  </si>
  <si>
    <t>sec_acaosocial@guariba.sp.gov.br</t>
  </si>
  <si>
    <t>371/23</t>
  </si>
  <si>
    <t>Instituto Macedônia</t>
  </si>
  <si>
    <t>Centro de Integração Social e de Convivência para Idoso – Programa Sapiência – Redescobrindo Conhecimento e Outras Habilidades na Melhor Idade</t>
  </si>
  <si>
    <t>Melina dos S. Azevedo</t>
  </si>
  <si>
    <t>institutomacedonia4@gmail.com</t>
  </si>
  <si>
    <t>372/23</t>
  </si>
  <si>
    <t xml:space="preserve">Lar Vicentino </t>
  </si>
  <si>
    <t>Guaratingueta/SP</t>
  </si>
  <si>
    <t xml:space="preserve">Daiane de Campos Magalhães </t>
  </si>
  <si>
    <t>larvicentinodeguaratingueta@hotmail.com</t>
  </si>
  <si>
    <t>373/23</t>
  </si>
  <si>
    <t>Sociedade Beneficente de Senhoras Hospital Sírio Libanês</t>
  </si>
  <si>
    <t>Mova-se - Promovendo o envelhecimento saudável dos idosos de São Paulo</t>
  </si>
  <si>
    <t>Angelica Rodrigues da Costa</t>
  </si>
  <si>
    <t>doe@hsl.org.br</t>
  </si>
  <si>
    <t>374/23</t>
  </si>
  <si>
    <t xml:space="preserve">Terapia Assistida por Animais </t>
  </si>
  <si>
    <t>Assis/SP</t>
  </si>
  <si>
    <t xml:space="preserve">Ana Carolina Leite Machado </t>
  </si>
  <si>
    <t>adm@asilosaovicentepauloassis.com.br</t>
  </si>
  <si>
    <t>Pendrive com vários outros Projetos
Construção</t>
  </si>
  <si>
    <t>375/23</t>
  </si>
  <si>
    <t xml:space="preserve">Asilo São Vicente em Movimento </t>
  </si>
  <si>
    <t>376/23</t>
  </si>
  <si>
    <t>Lar Vicentino Dona Albertina schimidt</t>
  </si>
  <si>
    <t>Plantando histórias: árvores e convivências</t>
  </si>
  <si>
    <t>Pontal/SP</t>
  </si>
  <si>
    <t xml:space="preserve">Zumar ou Bruna </t>
  </si>
  <si>
    <t>asilopontal@hotmail.com</t>
  </si>
  <si>
    <t>377/23</t>
  </si>
  <si>
    <t>Municipal de Palmares Paulista</t>
  </si>
  <si>
    <t>Viaja Mais "Melhor Idade"</t>
  </si>
  <si>
    <t>Palmares Paulista/SP</t>
  </si>
  <si>
    <t>Girlene Alves Rocha</t>
  </si>
  <si>
    <t>prefeitura@palmarespaulista.sp.gov.br</t>
  </si>
  <si>
    <t>378/23</t>
  </si>
  <si>
    <t>Municipal de Tabatinga</t>
  </si>
  <si>
    <t xml:space="preserve">Visão do Bem </t>
  </si>
  <si>
    <t>Tabatinga/SP</t>
  </si>
  <si>
    <t>Rosemara dos Santos Fermino</t>
  </si>
  <si>
    <t>gabinete@tabatinga.sp.gov.br</t>
  </si>
  <si>
    <t>379/23</t>
  </si>
  <si>
    <t xml:space="preserve">Viver em Movimento na Melhor Idade </t>
  </si>
  <si>
    <t>380/23</t>
  </si>
  <si>
    <t>Transportar Amor</t>
  </si>
  <si>
    <t>381/23</t>
  </si>
  <si>
    <t xml:space="preserve">Asilo de Velhos José </t>
  </si>
  <si>
    <t>Oficina Fotovoltaica, a Luz que Aquece Corações</t>
  </si>
  <si>
    <t>Sandra Maria de Melo</t>
  </si>
  <si>
    <t>asilo.tabatinga@yahoo.com.br</t>
  </si>
  <si>
    <t>382/23</t>
  </si>
  <si>
    <t>Municipal de Itápolis</t>
  </si>
  <si>
    <t>Itápolis/SP</t>
  </si>
  <si>
    <t>Héllen Cristina Motta Vizotto</t>
  </si>
  <si>
    <t>d.gabinete@itapolis.sp.gov.br</t>
  </si>
  <si>
    <t>383/23</t>
  </si>
  <si>
    <t>Lar Padre Euclides</t>
  </si>
  <si>
    <t>Energia Solar</t>
  </si>
  <si>
    <t xml:space="preserve">Julio Cesar Chaves Ponton </t>
  </si>
  <si>
    <t>administracao@larpadreeuclides.com</t>
  </si>
  <si>
    <t>384/23</t>
  </si>
  <si>
    <t>Municipal de Cafelândia</t>
  </si>
  <si>
    <t>Transporte Segruro CCI</t>
  </si>
  <si>
    <t>Cafelândia/SP</t>
  </si>
  <si>
    <t>Fábio Arrotheia</t>
  </si>
  <si>
    <t>secsocial@cafelandia.sp.gov.br</t>
  </si>
  <si>
    <t>385/23</t>
  </si>
  <si>
    <t>Casa de Apoio ao Morador de Rua - CAMOR</t>
  </si>
  <si>
    <t xml:space="preserve">Bem Estar Senior </t>
  </si>
  <si>
    <t>Andradina/SP</t>
  </si>
  <si>
    <t>Dulcelina Maria Lopes Vittório</t>
  </si>
  <si>
    <t>camor_andradina@hotmail.com</t>
  </si>
  <si>
    <t>386/23</t>
  </si>
  <si>
    <t>Viva Bem, Vida Longa</t>
  </si>
  <si>
    <t>Felipe Assis (Projeto: Viva Bem, vida longa)</t>
  </si>
  <si>
    <t>387/23</t>
  </si>
  <si>
    <t>AOBE_ Associação Ourinhense de Bem Estar</t>
  </si>
  <si>
    <t xml:space="preserve">Volei Adaptado </t>
  </si>
  <si>
    <t>Gerson Simões dos Santos</t>
  </si>
  <si>
    <t>aobe_1974@outlook.com</t>
  </si>
  <si>
    <t>388/23</t>
  </si>
  <si>
    <t>Sociedade São Vicente de Paula de Andradina</t>
  </si>
  <si>
    <t>Viabilização da assistencia integral aos idosos através de adequação das instalações da instituição</t>
  </si>
  <si>
    <t xml:space="preserve">Gercino Jose da Silva </t>
  </si>
  <si>
    <t>asilo.andradina@hotmail.com</t>
  </si>
  <si>
    <t>sem informação no envelope</t>
  </si>
  <si>
    <t>389/23</t>
  </si>
  <si>
    <t>Projeto de Adequação e Equipamentos de Lavanderia para a Melhoria da Qualidade, melhoria de espaço e acessibilidade</t>
  </si>
  <si>
    <t>390/23</t>
  </si>
  <si>
    <t>Fundação Observatório do livro e da leitura</t>
  </si>
  <si>
    <t>Clube de Leitura 6.0</t>
  </si>
  <si>
    <t>Marcella Amorim</t>
  </si>
  <si>
    <t>fundacao@observatoriodolivro.org.br</t>
  </si>
  <si>
    <t>391/23</t>
  </si>
  <si>
    <t xml:space="preserve">Congregação das Irmãzinhas dos Anciãos Desamparados </t>
  </si>
  <si>
    <t>Energia Solar e Sustentabilidad - Lar Santa Teresa Jornet</t>
  </si>
  <si>
    <t>Adriana Aparecida Alves Martins</t>
  </si>
  <si>
    <t>larsaorafael@gmail.com</t>
  </si>
  <si>
    <t>392/23</t>
  </si>
  <si>
    <t xml:space="preserve">CCI: Centro de Convivência do Idoso </t>
  </si>
  <si>
    <t>Ana Caroline Ferreira Olanda</t>
  </si>
  <si>
    <t>protecaobasicasmads@gmail.com</t>
  </si>
  <si>
    <t>393/23</t>
  </si>
  <si>
    <t>Lar e Internato Otoniel de Camargo</t>
  </si>
  <si>
    <t>Acrescentar Vida</t>
  </si>
  <si>
    <t>Leandro José Oliveira</t>
  </si>
  <si>
    <t>larotoniel@outlook.com</t>
  </si>
  <si>
    <t>394/23</t>
  </si>
  <si>
    <t xml:space="preserve">Crescer para Melhor Atender </t>
  </si>
  <si>
    <t>395/23</t>
  </si>
  <si>
    <t>História da Gente</t>
  </si>
  <si>
    <t>396/23</t>
  </si>
  <si>
    <t>Hidroginática na Melhor Idade</t>
  </si>
  <si>
    <t>397/23</t>
  </si>
  <si>
    <t>398/23</t>
  </si>
  <si>
    <t>Municipal de Nova Granada</t>
  </si>
  <si>
    <t>CLIC na VIDA</t>
  </si>
  <si>
    <t>Nova Granada/SP</t>
  </si>
  <si>
    <t>DR. Neuza das Graças Soares da Silva</t>
  </si>
  <si>
    <t>gabinete@novagranada.sp.gov.br</t>
  </si>
  <si>
    <t>399/23</t>
  </si>
  <si>
    <t>Tomates Verdes Fritos</t>
  </si>
  <si>
    <t>400/23</t>
  </si>
  <si>
    <t>lar e Abrigo dos Idosos de Igarapava</t>
  </si>
  <si>
    <t>Garantia de Qualidade de Vida no Lar</t>
  </si>
  <si>
    <t>Igarapava/SP</t>
  </si>
  <si>
    <t>Sibele Gabriela dos Santos</t>
  </si>
  <si>
    <t>abrigodosvelhos1@hotmail.com</t>
  </si>
  <si>
    <t>401/23</t>
  </si>
  <si>
    <t>Associação Humanitaria Amor e Caridade</t>
  </si>
  <si>
    <t>Revitalizar Juntos - Adequação de Espaço Físico (dormitorio)</t>
  </si>
  <si>
    <t>Cristiane Araújo Estevão</t>
  </si>
  <si>
    <t>ahac@associacaoHumanitaria.org.br</t>
  </si>
  <si>
    <t>402/23</t>
  </si>
  <si>
    <t>Revitalizar Juntos - Aquisição de Equipamentos Estruturais</t>
  </si>
  <si>
    <t>403/23</t>
  </si>
  <si>
    <t>Municipal de Juquiá</t>
  </si>
  <si>
    <t xml:space="preserve">Idade Avançada </t>
  </si>
  <si>
    <t>Juquiá/SP</t>
  </si>
  <si>
    <t>Maria Ap. Cavalcanti Vila Nova</t>
  </si>
  <si>
    <t>social@juquia.sp.gov.br</t>
  </si>
  <si>
    <t>404/23</t>
  </si>
  <si>
    <t>Instituto Floravida</t>
  </si>
  <si>
    <t>Programa Coletivo 60+</t>
  </si>
  <si>
    <t>Valquíria B. Moraes dos Santos</t>
  </si>
  <si>
    <t>administracao@floravida.org.br</t>
  </si>
  <si>
    <t>405/23</t>
  </si>
  <si>
    <t>Instituto Brandão Cultural Esporte e A.S</t>
  </si>
  <si>
    <t>Envelhecendo Quebrando Barreiras</t>
  </si>
  <si>
    <t>Márcia Pinheiro</t>
  </si>
  <si>
    <t>institutobran@gmail.com</t>
  </si>
  <si>
    <t>406/23</t>
  </si>
  <si>
    <t>Parque Residencial São Vicente de Paulo</t>
  </si>
  <si>
    <t xml:space="preserve">Sustentabilidade na Energia Prateada </t>
  </si>
  <si>
    <t>Fernandopolis/SP</t>
  </si>
  <si>
    <t>Josiane Gomes</t>
  </si>
  <si>
    <t>admparquesaovicentedepaulo@gmail.com</t>
  </si>
  <si>
    <t>407/23</t>
  </si>
  <si>
    <t>Instituto Paulo Kobayashi</t>
  </si>
  <si>
    <t>Dança de Salão IPK - Terceira Idade</t>
  </si>
  <si>
    <t>Adriana Tolentino</t>
  </si>
  <si>
    <t>adriana@delb.com.br</t>
  </si>
  <si>
    <t>408/23</t>
  </si>
  <si>
    <t xml:space="preserve">TI - Terceira Idade </t>
  </si>
  <si>
    <t>409/23</t>
  </si>
  <si>
    <t xml:space="preserve">Curso de Teatro IPK - Terceira Idade </t>
  </si>
  <si>
    <t>410/23</t>
  </si>
  <si>
    <t xml:space="preserve">Intercâmbio Regional  </t>
  </si>
  <si>
    <t>411/23</t>
  </si>
  <si>
    <t xml:space="preserve">Associação de Pais e Amigos dos Deficientes Auditivos de Fernadópolis - APADAF </t>
  </si>
  <si>
    <t>Ouvindo na Melhor Idade</t>
  </si>
  <si>
    <t xml:space="preserve">Danilo Ruiz de Souza </t>
  </si>
  <si>
    <t>apadafadm1@gmail.com</t>
  </si>
  <si>
    <t>412/23</t>
  </si>
  <si>
    <t>Batuira Serviços de Promoçao Familia</t>
  </si>
  <si>
    <t>Vida Plena</t>
  </si>
  <si>
    <t>Athur Sinnhofer</t>
  </si>
  <si>
    <t>nucleobatuira2@gmail.com</t>
  </si>
  <si>
    <t>413/23</t>
  </si>
  <si>
    <t xml:space="preserve">Experiencia e Vida </t>
  </si>
  <si>
    <t>414/23</t>
  </si>
  <si>
    <t>Nosso Lar</t>
  </si>
  <si>
    <t>415/23</t>
  </si>
  <si>
    <t>Lar Evangélico Alice de Oliveira</t>
  </si>
  <si>
    <t>Projeto de Inovação e qualificação do Serviço de Acolhimento Lar Alice de Oliveira.</t>
  </si>
  <si>
    <t>Alessandra A. Bueno</t>
  </si>
  <si>
    <t>lar.alice.oliveira@hotmail.com</t>
  </si>
  <si>
    <t>416/23</t>
  </si>
  <si>
    <t>Projeto Espaço Conviver</t>
  </si>
  <si>
    <t>417/23</t>
  </si>
  <si>
    <t xml:space="preserve">Instituto Viver Bem </t>
  </si>
  <si>
    <t>Viver Bem na Maior Idade</t>
  </si>
  <si>
    <t>Rosemir Rezende Nagib</t>
  </si>
  <si>
    <t>institutoviverbem35@gmail.com</t>
  </si>
  <si>
    <t>418/23</t>
  </si>
  <si>
    <t xml:space="preserve">Centro Cultural e Social Aruanda Brasil </t>
  </si>
  <si>
    <t xml:space="preserve">Projeto Longevidade </t>
  </si>
  <si>
    <t>Letícia Alves Miranda</t>
  </si>
  <si>
    <t>aruandabrasil@yahoo.com.br</t>
  </si>
  <si>
    <t>419/23</t>
  </si>
  <si>
    <t>Associação Beneficiente Residencial Evangélico Benaiah</t>
  </si>
  <si>
    <t>Dignidade e direito à vida através da garantia à alimentação adequada</t>
  </si>
  <si>
    <t xml:space="preserve"> Helio de Oliveira Camargo</t>
  </si>
  <si>
    <t>contato@benaiah.org.br</t>
  </si>
  <si>
    <t>420/23</t>
  </si>
  <si>
    <t>Municipal de Americana</t>
  </si>
  <si>
    <t>EnvelheSer</t>
  </si>
  <si>
    <t>Janainade Freitas de Oliveira</t>
  </si>
  <si>
    <t>janainafreitas.sasdh@americana.sp.gov.br</t>
  </si>
  <si>
    <t>421/23</t>
  </si>
  <si>
    <t>Recanto dos Idosos Luz Divina</t>
  </si>
  <si>
    <t>Um olhar para o Amanhã na Terceira Idade</t>
  </si>
  <si>
    <t>Suzano/SP</t>
  </si>
  <si>
    <t>Naiara  Santos Pinho</t>
  </si>
  <si>
    <t>luzdivina-financeiro@hotmail.com</t>
  </si>
  <si>
    <t>422/23</t>
  </si>
  <si>
    <t>Municipal de São Sebastião</t>
  </si>
  <si>
    <t>Centro dia de Refência da Pessoa Idosa</t>
  </si>
  <si>
    <t>São Sebastião</t>
  </si>
  <si>
    <t>Juliana</t>
  </si>
  <si>
    <t>sepedi.departamentoidoso@saosebastiao.sp.gov.br</t>
  </si>
  <si>
    <t>423/23</t>
  </si>
  <si>
    <t>CadastraSaber</t>
  </si>
  <si>
    <t>424/23</t>
  </si>
  <si>
    <t>Projeto Pé na Estrada</t>
  </si>
  <si>
    <t>425/23</t>
  </si>
  <si>
    <t>Municipal de Jaboticabal</t>
  </si>
  <si>
    <t>Hidro +: Hidroginástica e Desenvolvimento Social</t>
  </si>
  <si>
    <t>Lássila Roberta de Almeida</t>
  </si>
  <si>
    <t>assistenciasocial@jaboticabal.sp.gov.br</t>
  </si>
  <si>
    <t>426/23</t>
  </si>
  <si>
    <t>Leito Serenidade para enfermaria” para aquisição de 24 (vinte e quatro) camas novas com colchões que serão utilizadas nas enfermarias da OSC (ala masculina e feminina) para otimizar os serviços e proporcionar segurança, bem estar, saúde e tranquilidade na prestação dos serviços às pessoas idosas residentes com a aquisição dos novos equipamentos</t>
  </si>
  <si>
    <t xml:space="preserve">larsaorafael@gmail.com  </t>
  </si>
  <si>
    <t>427/23</t>
  </si>
  <si>
    <t>Provedoria da omunidade Portuguesa de S/P</t>
  </si>
  <si>
    <t>Melhores Cuidados na Terceira Idade</t>
  </si>
  <si>
    <t>Silvio Torres dos Santos (Projeto: Melhores Cuidados na 3° Idade)</t>
  </si>
  <si>
    <t>provedoria@provedoria.org.br</t>
  </si>
  <si>
    <t>428/23</t>
  </si>
  <si>
    <t>Projeto RenovaLar</t>
  </si>
  <si>
    <t>Silvio Torres dos Santos (Projeto: Renovalar)</t>
  </si>
  <si>
    <t>PDF sem n° de páginas e rubricar</t>
  </si>
  <si>
    <t>429/23</t>
  </si>
  <si>
    <t xml:space="preserve">Associação de deficiente Visual e Amigos </t>
  </si>
  <si>
    <t>Visão 60+ - Pessoas com Deficiência Visual e a Melhor Idade</t>
  </si>
  <si>
    <t>Markiano Charan Filho</t>
  </si>
  <si>
    <t>sandra@adeva.org.br</t>
  </si>
  <si>
    <t>430/23</t>
  </si>
  <si>
    <t>Municipal de Mairiporã</t>
  </si>
  <si>
    <t>Ciranda Itinerante do Cuidar</t>
  </si>
  <si>
    <t>Mairiporã/SP</t>
  </si>
  <si>
    <t>gabinete.prefeito@mairipora.sp.gov.br</t>
  </si>
  <si>
    <t>431/23</t>
  </si>
  <si>
    <t xml:space="preserve">Municipal de Espírito Santo do Turvo </t>
  </si>
  <si>
    <t xml:space="preserve">Alegria de Viver </t>
  </si>
  <si>
    <t>Espírito Santo do Turvo/SP</t>
  </si>
  <si>
    <t>Afonso Nascimento Neto</t>
  </si>
  <si>
    <t>prefeito@espiritosantodoturvo.sp.gov.br</t>
  </si>
  <si>
    <t xml:space="preserve">Projeto duplicado com o Protocolo n° 432/23 </t>
  </si>
  <si>
    <t>432/23</t>
  </si>
  <si>
    <t xml:space="preserve"> Plano sem n° de páginas e projeto duplicado com o Protocolo n° 431/23 </t>
  </si>
  <si>
    <t>433/23</t>
  </si>
  <si>
    <t>Projeto Arco-Íris</t>
  </si>
  <si>
    <t>Roseli Cristina Rodrigues</t>
  </si>
  <si>
    <t>segurancaalimentar@birigui.sp.gov.br</t>
  </si>
  <si>
    <t>434/23</t>
  </si>
  <si>
    <t>Mater Dei Cam - Casa de Apoio a Menina</t>
  </si>
  <si>
    <t>Renovarte</t>
  </si>
  <si>
    <t>Atibaia/SP</t>
  </si>
  <si>
    <t>Ginmarco Bisaglia</t>
  </si>
  <si>
    <t>cadastro@materdeicam.org.br</t>
  </si>
  <si>
    <t>435/23</t>
  </si>
  <si>
    <t>Centro de Voluntariado</t>
  </si>
  <si>
    <t>436/23</t>
  </si>
  <si>
    <t xml:space="preserve">Projeto Conta Tua História </t>
  </si>
  <si>
    <t>437/23</t>
  </si>
  <si>
    <t>Associação Benficente Unidos do Jardim Soares</t>
  </si>
  <si>
    <t>Centro de Convivência Cultural Esportivo e de Lazer para Pessoa Idosa Novo Olhar - III</t>
  </si>
  <si>
    <t>Priscila Roberta</t>
  </si>
  <si>
    <t>unidosdojardimsoares@gmail.com</t>
  </si>
  <si>
    <t>438/23</t>
  </si>
  <si>
    <t>Centro de Convivência Cultural Esportivo e de Lazer para Pessoa Idosa Novo Olhar - II</t>
  </si>
  <si>
    <t>439/23</t>
  </si>
  <si>
    <t>Centro de Convivência Cultural Esportivo e de Lazer para Pessoa Idosa Novo Olhar - I</t>
  </si>
  <si>
    <t>440/23</t>
  </si>
  <si>
    <t>Uniãp Brasileira Israelita do Bem Estar Social</t>
  </si>
  <si>
    <t>Convivio e Cuidado</t>
  </si>
  <si>
    <t>Rachel Vainzoff Katz</t>
  </si>
  <si>
    <t>unibes@unibes.org.br</t>
  </si>
  <si>
    <t>441/23</t>
  </si>
  <si>
    <t>Cuidar para Mudar</t>
  </si>
  <si>
    <t>442/23</t>
  </si>
  <si>
    <t>Movimento Assistencial Espírita Maria Rosa</t>
  </si>
  <si>
    <t>Bem Viver: Jornada Cultural de Lazer e Turismo</t>
  </si>
  <si>
    <t>Kelly Cristina Parro da Silva</t>
  </si>
  <si>
    <t>maeadm@maemariarosa.org.br</t>
  </si>
  <si>
    <t>443/23</t>
  </si>
  <si>
    <t>Instituto Divina Luz</t>
  </si>
  <si>
    <t>Amor a Vida</t>
  </si>
  <si>
    <t>Kayo Melo</t>
  </si>
  <si>
    <t>ongdivinaluz@bol.com.br</t>
  </si>
  <si>
    <t>tudo OK apenas o pendrive não abre</t>
  </si>
  <si>
    <t>444/23</t>
  </si>
  <si>
    <t>Rede Cidadã</t>
  </si>
  <si>
    <t>Conecta</t>
  </si>
  <si>
    <t>Marcos Alemida</t>
  </si>
  <si>
    <t>parceriaspublica@redecidada.org.br</t>
  </si>
  <si>
    <t>445/23</t>
  </si>
  <si>
    <t>Associação de Pais e Amigos dos Excepcionais de Ipausso - APAE</t>
  </si>
  <si>
    <t>Cuidar - Cinvívio de Apoio a Idosos com Deficiência Intelectual, Múltiplas e Autismo</t>
  </si>
  <si>
    <t xml:space="preserve">Vera Lucia Cachoni Nunes </t>
  </si>
  <si>
    <t>dirapae@gmail.com</t>
  </si>
  <si>
    <t>446/23</t>
  </si>
  <si>
    <t>Municipal de Ariranha</t>
  </si>
  <si>
    <t>Histórias de Vida Escritas</t>
  </si>
  <si>
    <t>Ariranha/SP</t>
  </si>
  <si>
    <t>Michele Cristina Barboza</t>
  </si>
  <si>
    <t>secretaria@ariranha.sp.gov.br</t>
  </si>
  <si>
    <t>447/23</t>
  </si>
  <si>
    <t>Casa dos Velhinhos de Ondina Lobo</t>
  </si>
  <si>
    <t>Memorize-se!</t>
  </si>
  <si>
    <t>Adriana Domingos Horvath</t>
  </si>
  <si>
    <t>projetos@ondinalobo.org.br</t>
  </si>
  <si>
    <t>448/2</t>
  </si>
  <si>
    <t>Lar Vicentino</t>
  </si>
  <si>
    <t xml:space="preserve">Aquisição de Equipamento para Fisioterapia </t>
  </si>
  <si>
    <t>Bocaina/SP</t>
  </si>
  <si>
    <t>Anaina Patricia Violla</t>
  </si>
  <si>
    <t>larvicentinobcaina@uol.com.br</t>
  </si>
  <si>
    <t>449/23</t>
  </si>
  <si>
    <t>Abrigo São Lourenço de Jaú</t>
  </si>
  <si>
    <t>Promover a melhoria da qualidade de vida e bem-estar físico e social da pessoa idosa acolhida no Abrigo São Lourenço de Jaú</t>
  </si>
  <si>
    <t>Jaú/SP</t>
  </si>
  <si>
    <t>Renato Hilst Ribeiro</t>
  </si>
  <si>
    <t>abrigosaoloureco@gmail.com</t>
  </si>
  <si>
    <t>450/23</t>
  </si>
  <si>
    <t>Modernização do Sistema Eletrico do Abrigo São Lourenço de Jaú</t>
  </si>
  <si>
    <t>451/23</t>
  </si>
  <si>
    <t>Municipal São Roque</t>
  </si>
  <si>
    <t xml:space="preserve">Cuidar e Reabilitar </t>
  </si>
  <si>
    <t>São Roque/SP</t>
  </si>
  <si>
    <t>Simoni Camargo Rocha</t>
  </si>
  <si>
    <t>scamargo@saoroque.sp.gov.br</t>
  </si>
  <si>
    <t>452/23</t>
  </si>
  <si>
    <t>Viva Melhor Idade - Hidroginástica</t>
  </si>
  <si>
    <t>453/23</t>
  </si>
  <si>
    <t>Viva Melhor Idade - Noite Estrelada</t>
  </si>
  <si>
    <t>454/23</t>
  </si>
  <si>
    <t>Lar Escola Francisco Cândido Xavier</t>
  </si>
  <si>
    <t>Movimentando a Vida</t>
  </si>
  <si>
    <t>Cotia/SP</t>
  </si>
  <si>
    <t>Marcelo Nicolini Teixeira</t>
  </si>
  <si>
    <t>larescolafcx@outlook.com.bt</t>
  </si>
  <si>
    <t xml:space="preserve">Sem valor no plano de trabalho
Construção </t>
  </si>
  <si>
    <t>455/23</t>
  </si>
  <si>
    <t>Assistência Social Santo Antônio</t>
  </si>
  <si>
    <t xml:space="preserve">Xô Bengala </t>
  </si>
  <si>
    <t>Kelen Garcia</t>
  </si>
  <si>
    <t>info@assa.org.br</t>
  </si>
  <si>
    <t>456/23</t>
  </si>
  <si>
    <t xml:space="preserve">Viagem do Saber </t>
  </si>
  <si>
    <t>457/23</t>
  </si>
  <si>
    <t>Páginas da Vida</t>
  </si>
  <si>
    <t>458/23</t>
  </si>
  <si>
    <t>Municipal de Oriente</t>
  </si>
  <si>
    <t>Melhor Idade - Grandes Desafios</t>
  </si>
  <si>
    <t>Oriente/SP</t>
  </si>
  <si>
    <t>Geraldo Matheus Moris</t>
  </si>
  <si>
    <t>prefeitura@oriente.sp.gov.br</t>
  </si>
  <si>
    <t>459/23</t>
  </si>
  <si>
    <t>Municipal de Santa Adélia</t>
  </si>
  <si>
    <t>Vivendo o Turismo</t>
  </si>
  <si>
    <t>Santa Adélia/SP</t>
  </si>
  <si>
    <t>Cristiane M.J Raydan</t>
  </si>
  <si>
    <t>social@santaadelia.sp.gov.br</t>
  </si>
  <si>
    <t>460/23</t>
  </si>
  <si>
    <t xml:space="preserve">Lar São Vicente de Paulo </t>
  </si>
  <si>
    <t xml:space="preserve">Idoso em Movimento - Mobilidade/Acessibilidade/Convivência </t>
  </si>
  <si>
    <t>Jefferson Donizete Bueno</t>
  </si>
  <si>
    <t>assistenciasocial@asilojardimpublico.com.br</t>
  </si>
  <si>
    <t>461/23</t>
  </si>
  <si>
    <t>Lar dos Velhinhos de Souza Spinola</t>
  </si>
  <si>
    <t>Projeto Piso Novo</t>
  </si>
  <si>
    <t>Novo Horizonte/SP</t>
  </si>
  <si>
    <t>Maria Lourenço Prado da Silva</t>
  </si>
  <si>
    <t>lardevelhicemss@hotmail.com</t>
  </si>
  <si>
    <t>Plano fora do padrão</t>
  </si>
  <si>
    <t>462/23</t>
  </si>
  <si>
    <t>Municipal de Pardinho</t>
  </si>
  <si>
    <t>Viva Mais II</t>
  </si>
  <si>
    <t>Pardinho/SP</t>
  </si>
  <si>
    <t>Camila Carvalhon Corrêa</t>
  </si>
  <si>
    <t>prefeitura@pardinho.sp.gov.br</t>
  </si>
  <si>
    <t>463/23</t>
  </si>
  <si>
    <t>Viva Mais I</t>
  </si>
  <si>
    <t>464/23</t>
  </si>
  <si>
    <t>Aplicação CCI</t>
  </si>
  <si>
    <t>465/23</t>
  </si>
  <si>
    <t xml:space="preserve">Associação dos Idosos de Campinas </t>
  </si>
  <si>
    <t>A Pessoa Idosa e o direito de ser um cidadão visível</t>
  </si>
  <si>
    <t>Juarez Bispo Mateus</t>
  </si>
  <si>
    <t>iassociacaodosidososdecampinas@gmail.com</t>
  </si>
  <si>
    <t>466/23</t>
  </si>
  <si>
    <t>Municipal de Areiopolis</t>
  </si>
  <si>
    <t>Saúde na Mulher Idade</t>
  </si>
  <si>
    <t>Areiópolis/SP</t>
  </si>
  <si>
    <t>Antônio Marcos dos Santos</t>
  </si>
  <si>
    <t>prefeitira@areiopolis.sp.gov.br</t>
  </si>
  <si>
    <t>467/23</t>
  </si>
  <si>
    <t>Acolher Instituto de Desenvolvimento Humano e Organizacional</t>
  </si>
  <si>
    <t xml:space="preserve">Escola de Filhos: Capacitação Integral para Cuidadores Familiares e Profissionais </t>
  </si>
  <si>
    <t>Orozina Aparecida Costa</t>
  </si>
  <si>
    <t>acolher@acolher.org.br</t>
  </si>
  <si>
    <t>468/23</t>
  </si>
  <si>
    <t xml:space="preserve">Escola de Filhos: Orientação e Apoio para Cuidadores de Pessoas Idosas </t>
  </si>
  <si>
    <t>469/23</t>
  </si>
  <si>
    <t xml:space="preserve">Lar São Vicente de Paulo de Piracaia </t>
  </si>
  <si>
    <t>Estratégias Inovadoras na Cultura Tecnológica</t>
  </si>
  <si>
    <t>Piracaia/SP</t>
  </si>
  <si>
    <t>Ricardo Pinheiro</t>
  </si>
  <si>
    <t>lsvpiracaia@gmail.com</t>
  </si>
  <si>
    <t>02 projetos dentro do mesmo envelope (Rumo a Longevidade)</t>
  </si>
  <si>
    <t>Rumo a Longevidade - Estrátegias par um envelhecimento saudável</t>
  </si>
  <si>
    <t>470/2</t>
  </si>
  <si>
    <t xml:space="preserve">Municipal Taboão da Serra </t>
  </si>
  <si>
    <t>No Meu Tempo: A Participação e Cidadania com Garatia de Direito da Pessoa Idosa</t>
  </si>
  <si>
    <t>Taboão da Serra/SP</t>
  </si>
  <si>
    <t xml:space="preserve">Pedro Soares </t>
  </si>
  <si>
    <t>sas@taboaodaserra.sp.gov.br</t>
  </si>
  <si>
    <t>471/23</t>
  </si>
  <si>
    <t>Municipal Taquarituba</t>
  </si>
  <si>
    <t>AmpliAÇÃO – CCI espaço que transforma vidas</t>
  </si>
  <si>
    <t>Carolina Maria Aparecida Vieira</t>
  </si>
  <si>
    <t>taquarituba@taquarituba.sp.gov.br</t>
  </si>
  <si>
    <t>472/23</t>
  </si>
  <si>
    <t xml:space="preserve">Centro de Comvivencia Para Idoso- CCI Saber Viver </t>
  </si>
  <si>
    <t>CCI Saber Viver Roberto Fuad Salim - Vivendo, a Melhor Idade</t>
  </si>
  <si>
    <t>Viradouro/SP</t>
  </si>
  <si>
    <t xml:space="preserve">Adriana Rodrigues Piassa </t>
  </si>
  <si>
    <t>cciaberviver@gmail.com</t>
  </si>
  <si>
    <t>473/23</t>
  </si>
  <si>
    <t>Lar Central N S Aparecida Obra Unida A S S V de Paulo</t>
  </si>
  <si>
    <t>Um Lar Aconchegante</t>
  </si>
  <si>
    <t>Josefa Costa de Menezes Claudino</t>
  </si>
  <si>
    <t>assistentesocial.larcentral@gmail.com</t>
  </si>
  <si>
    <t>474/23</t>
  </si>
  <si>
    <t>Municipal de Viradouro</t>
  </si>
  <si>
    <t>CCI Hélio Guerreiro - Idoso, Vida Feliz!</t>
  </si>
  <si>
    <t>Vânia Eduarda bocalete Pontes Gestal</t>
  </si>
  <si>
    <t>social@viradouro.sp.gov.br</t>
  </si>
  <si>
    <t>475/23</t>
  </si>
  <si>
    <t>Instituto de Desenvolvimento Social Caminhando com Amor</t>
  </si>
  <si>
    <t>Cuidado em Domicilio</t>
  </si>
  <si>
    <t>Valter Luis da Silva</t>
  </si>
  <si>
    <t>caminhandocomamor@gmail.com</t>
  </si>
  <si>
    <t>476/23</t>
  </si>
  <si>
    <t xml:space="preserve">Municipal Julio Mesquita </t>
  </si>
  <si>
    <t>Aquisição de Equipamentos e Mobiliários para Centro de Convivência do Idoso</t>
  </si>
  <si>
    <t>Júlio Mesquita/SP</t>
  </si>
  <si>
    <t xml:space="preserve">Elton Francisco de Brito </t>
  </si>
  <si>
    <t>prefeitur@juliomesquita.sp.gov.br</t>
  </si>
  <si>
    <t>477/23</t>
  </si>
  <si>
    <t>Municipal Turmalina</t>
  </si>
  <si>
    <t>Equipar para Melhor Atender</t>
  </si>
  <si>
    <t>Turmalina/SP</t>
  </si>
  <si>
    <t xml:space="preserve">Fábio Martins </t>
  </si>
  <si>
    <t>secretaria@turmalina.sp.gov.br</t>
  </si>
  <si>
    <t>478/23</t>
  </si>
  <si>
    <t>Melhor idade em Movimento</t>
  </si>
  <si>
    <t>479/23</t>
  </si>
  <si>
    <t>Registrando Sonhos</t>
  </si>
  <si>
    <t>480/23</t>
  </si>
  <si>
    <t xml:space="preserve">Centro Educacional Efraim </t>
  </si>
  <si>
    <t>Creche para a Melhor Idade</t>
  </si>
  <si>
    <t>Vilma Silva</t>
  </si>
  <si>
    <t>entroedefraim@gmail.com</t>
  </si>
  <si>
    <t xml:space="preserve">Projeto duplicado </t>
  </si>
  <si>
    <t>(documentos no Pendrive está misturado e a capa do envolope repetida 480/23 e 481/23)</t>
  </si>
  <si>
    <t>481/23</t>
  </si>
  <si>
    <t>Documentos no Pendrive está misturado e a capa do envolope repetida 480/23 e 481/23</t>
  </si>
  <si>
    <t>482/23</t>
  </si>
  <si>
    <t>Municipal de Jardinópolis</t>
  </si>
  <si>
    <t>Acesso Certo, Inserção às Pessoas Idosas Invisíveis Sociais</t>
  </si>
  <si>
    <t>Jardinópolis/SP</t>
  </si>
  <si>
    <t>Francielle Aleixo Giraldo</t>
  </si>
  <si>
    <t>semas@jardinopolis.sp.gov.br</t>
  </si>
  <si>
    <t>483/23</t>
  </si>
  <si>
    <t>Municipal de Mesópolis</t>
  </si>
  <si>
    <t>Mais Atividade Física menos Doenças</t>
  </si>
  <si>
    <t>Mesópolis/SP</t>
  </si>
  <si>
    <t>Éder William Barboza Domingos (Projeto: Mais atividade Física, menos doença)</t>
  </si>
  <si>
    <t>esporte@mesopolis.sp.gov.br</t>
  </si>
  <si>
    <t>484/23</t>
  </si>
  <si>
    <t xml:space="preserve">A Melhor Idade é Agora </t>
  </si>
  <si>
    <t>Éder William Barboza Domingos (Projeto: A melhor idade é agora)</t>
  </si>
  <si>
    <t>485/23</t>
  </si>
  <si>
    <t>Instalação de Sistema Fotovoltaico</t>
  </si>
  <si>
    <t>São Caetano/SP</t>
  </si>
  <si>
    <t xml:space="preserve">Reina </t>
  </si>
  <si>
    <t>insdm.adm@gmail.com</t>
  </si>
  <si>
    <t>486/2</t>
  </si>
  <si>
    <t>Municipal de Juquitiba</t>
  </si>
  <si>
    <t>Promovendo a Autonomia do Idoso</t>
  </si>
  <si>
    <t>Juquitiba/SP</t>
  </si>
  <si>
    <t>Ayres Scorsatto</t>
  </si>
  <si>
    <t>comunicacao@juquitiba.sp.gov.br</t>
  </si>
  <si>
    <t>487/23</t>
  </si>
  <si>
    <t>Municipal de Dois Corregos</t>
  </si>
  <si>
    <t>Academia do Idoso</t>
  </si>
  <si>
    <t>Dois Córregos/SP</t>
  </si>
  <si>
    <t>Ruy Diomedes Favaro</t>
  </si>
  <si>
    <t>terceirosetor@doiscorregos.sp.gov.br</t>
  </si>
  <si>
    <t>488/23</t>
  </si>
  <si>
    <t>Instituto Bixiga</t>
  </si>
  <si>
    <t>Diver-Cidade 60+ Direitos Humanos e Dibersaidade Cultural, Étnica e Racial na Cidade de São Paulo</t>
  </si>
  <si>
    <t>Danielle Franco da Rocha</t>
  </si>
  <si>
    <t>institutobixiga@gmail.com</t>
  </si>
  <si>
    <t>489/23</t>
  </si>
  <si>
    <t>Municipal de Vera Cruz</t>
  </si>
  <si>
    <t xml:space="preserve">Novas Vivências
</t>
  </si>
  <si>
    <t>Vera Cruz/SP</t>
  </si>
  <si>
    <t>Rodolfo Silva Davoli</t>
  </si>
  <si>
    <t>gabinete@veracruz.sp.gov.br</t>
  </si>
  <si>
    <t xml:space="preserve">Dois projetos em um único envelope (Novas Vivências - Movimento na melhor idade)
</t>
  </si>
  <si>
    <t>490/23</t>
  </si>
  <si>
    <t>Associação Grupo de Amigos Voluntarios de Severínia</t>
  </si>
  <si>
    <t>Cidadania Proativa</t>
  </si>
  <si>
    <t>Severínia/SP</t>
  </si>
  <si>
    <t>João Carlos</t>
  </si>
  <si>
    <t>onggavs@gmail.com</t>
  </si>
  <si>
    <t>491/23</t>
  </si>
  <si>
    <t>Municipal de Severínia</t>
  </si>
  <si>
    <t>Conviver</t>
  </si>
  <si>
    <t>Rafaela Neves Ferreira</t>
  </si>
  <si>
    <t>administracao@santaritadooeste.sp.gov.br</t>
  </si>
  <si>
    <t>Total R$ 120.000,00
Concedente: R$ 30.000,00
Proponente: R$ 150.000,00</t>
  </si>
  <si>
    <t>492/23</t>
  </si>
  <si>
    <t>Instituto  Ecoanima</t>
  </si>
  <si>
    <t>Centro Dia para Idosos em Bairro Sustentável - Desenvolvimento Urbano Sustentável - São Bernardo do Campo 2030</t>
  </si>
  <si>
    <t>Luiz Alexandre Mucerino</t>
  </si>
  <si>
    <t>luiz.alexandre@ecoplano.com.br</t>
  </si>
  <si>
    <t>493/23</t>
  </si>
  <si>
    <t>associação UB</t>
  </si>
  <si>
    <t>Nutri Repouso Estadual</t>
  </si>
  <si>
    <t>Izar Mansur</t>
  </si>
  <si>
    <t>operacao@unidosdobem.org.br</t>
  </si>
  <si>
    <t>494/23</t>
  </si>
  <si>
    <t>ONG Heróis dos Lacres</t>
  </si>
  <si>
    <t xml:space="preserve">Melhor Idade em Ação </t>
  </si>
  <si>
    <t>Djalma Nunes Ferreira</t>
  </si>
  <si>
    <t>lacredobemermelino@gmail.com</t>
  </si>
  <si>
    <t>495/23</t>
  </si>
  <si>
    <t>Associação Ação Vida</t>
  </si>
  <si>
    <t>Agindo com Justiça</t>
  </si>
  <si>
    <t xml:space="preserve">Arnaldo Sousa de Oliveira </t>
  </si>
  <si>
    <t>ongacaovida_presidencia@hotmail.com</t>
  </si>
  <si>
    <t>496/23</t>
  </si>
  <si>
    <t>Alfabetizando</t>
  </si>
  <si>
    <t>497/23</t>
  </si>
  <si>
    <t>Municipal de Santa Rita d'Oeste</t>
  </si>
  <si>
    <t>Santa Rita d' Oeste/SP</t>
  </si>
  <si>
    <t>Fernanda Leme</t>
  </si>
  <si>
    <t>administrcao@dircereis.sp.gov.br</t>
  </si>
  <si>
    <t>498/23</t>
  </si>
  <si>
    <t>Centro Reformista de A. S O Bom Samaritano</t>
  </si>
  <si>
    <t>Revitalização e Mobilidade</t>
  </si>
  <si>
    <t>Louveira/SP</t>
  </si>
  <si>
    <t xml:space="preserve">Marcelo Vitor da Silva Lima </t>
  </si>
  <si>
    <t>diretorcr@obmsamaritano.org.br</t>
  </si>
  <si>
    <t>499/23</t>
  </si>
  <si>
    <t>Associação de Dança Itanhaém- ADI</t>
  </si>
  <si>
    <t>Breaking Melhor Idade</t>
  </si>
  <si>
    <t>Itanhaém/SP</t>
  </si>
  <si>
    <t>Fernando F. Curcio</t>
  </si>
  <si>
    <t>adi.itanhaem@gmail.com</t>
  </si>
  <si>
    <t>500/23</t>
  </si>
  <si>
    <t xml:space="preserve">Conviver - Construção de Espaço </t>
  </si>
  <si>
    <t xml:space="preserve">Fernanda Leme </t>
  </si>
  <si>
    <t>social@severinia.sp.gov.br</t>
  </si>
  <si>
    <t>501/23</t>
  </si>
  <si>
    <t xml:space="preserve">Municipal de Santa Clara D'oeste </t>
  </si>
  <si>
    <t>Viva a Vida</t>
  </si>
  <si>
    <t>Santa Clara D'oeste/SP</t>
  </si>
  <si>
    <t>José Basílio de Faria</t>
  </si>
  <si>
    <t>prefeito@santaclaradoeste.sp.gov.br</t>
  </si>
  <si>
    <t xml:space="preserve">Planode Trabalho sem Rubricar </t>
  </si>
  <si>
    <t>502/23</t>
  </si>
  <si>
    <t>Municipal Dirce Reis</t>
  </si>
  <si>
    <t>Viajar é Preciso</t>
  </si>
  <si>
    <t>Dirce Reis/SP</t>
  </si>
  <si>
    <t>TarginoPereira de Sousa Filho</t>
  </si>
  <si>
    <t>captaoderecursos@sorocaba.sp.gov.br</t>
  </si>
  <si>
    <t>503/23</t>
  </si>
  <si>
    <t xml:space="preserve">Associação Unida Jardim Ângela </t>
  </si>
  <si>
    <t>Expressiva Idade</t>
  </si>
  <si>
    <t xml:space="preserve">Aleksandre Santana Oliveira </t>
  </si>
  <si>
    <t>associuja@gmail.com</t>
  </si>
  <si>
    <t>504/23</t>
  </si>
  <si>
    <t xml:space="preserve">Associação Unida Jardim Angela </t>
  </si>
  <si>
    <t xml:space="preserve">Troca de Saberes </t>
  </si>
  <si>
    <t xml:space="preserve">Alexandre de Oliveira </t>
  </si>
  <si>
    <t>pr.aleksandreoliveira@gmail.com</t>
  </si>
  <si>
    <t>505/23</t>
  </si>
  <si>
    <t xml:space="preserve">Minha Melhor Idade </t>
  </si>
  <si>
    <t>506/23</t>
  </si>
  <si>
    <t>Instituto Acão Social Enéas Tognini</t>
  </si>
  <si>
    <t>Centro de Convivência 60+</t>
  </si>
  <si>
    <t>Diadema/SP</t>
  </si>
  <si>
    <t xml:space="preserve">Roseli de Fatima Barbosa Magalhaes </t>
  </si>
  <si>
    <t>institutosocial@eneastognini.org</t>
  </si>
  <si>
    <t>O escaner falhou na rubrica e páginas (Comissão Verificar)</t>
  </si>
  <si>
    <t>507/23</t>
  </si>
  <si>
    <t>Municipal de Sorocaba</t>
  </si>
  <si>
    <t>Diego Garcia Diniz</t>
  </si>
  <si>
    <t xml:space="preserve">PDF sem n° de páginas </t>
  </si>
  <si>
    <t>508/23</t>
  </si>
  <si>
    <t>Qualifica Sorocaba “Melhor Idade”</t>
  </si>
  <si>
    <t xml:space="preserve">Rodrigo Cesar Oliveira </t>
  </si>
  <si>
    <t>municipio@indiapora.sp.gov.br</t>
  </si>
  <si>
    <t>509/23</t>
  </si>
  <si>
    <t>Silmar Rogério Abdala</t>
  </si>
  <si>
    <t>Plano sem rubrica</t>
  </si>
  <si>
    <t>510/23</t>
  </si>
  <si>
    <t>Instituto Ability Brasil</t>
  </si>
  <si>
    <t>Feliz Idade - Qualidade de Vida Através da Música, Esporte e Dança</t>
  </si>
  <si>
    <t>Baetris Gambirasi Cabral</t>
  </si>
  <si>
    <t>contato@institutoabilitybrasil.org.br</t>
  </si>
  <si>
    <t>511/23</t>
  </si>
  <si>
    <t>Sociedade Beneficiente casa da Esperança - Kibô-No-Iê</t>
  </si>
  <si>
    <t>Caminho da Longevidade</t>
  </si>
  <si>
    <t>Itaquaquecetuba/SP</t>
  </si>
  <si>
    <t xml:space="preserve">Sandra Sakata </t>
  </si>
  <si>
    <t>di@kibonoie.org.br</t>
  </si>
  <si>
    <t>512/23</t>
  </si>
  <si>
    <t xml:space="preserve">Vila Social </t>
  </si>
  <si>
    <t xml:space="preserve">Música para Todos </t>
  </si>
  <si>
    <t>Rudnei Antônio Machado</t>
  </si>
  <si>
    <t>social@ctn.org.br</t>
  </si>
  <si>
    <t>513/23</t>
  </si>
  <si>
    <t>Municipal de Indiaporã</t>
  </si>
  <si>
    <t>Voleibol Adaptado Feminino</t>
  </si>
  <si>
    <t>Indiaporã/SP</t>
  </si>
  <si>
    <t>Leonardo Nunes Gonzaga</t>
  </si>
  <si>
    <t>d.social@embudasartes.sp.gov.br</t>
  </si>
  <si>
    <t>PDF sem n° de páginas</t>
  </si>
  <si>
    <t>514/23</t>
  </si>
  <si>
    <t>Organização Social Identidade Periferica</t>
  </si>
  <si>
    <t xml:space="preserve">Vivências que Transformam </t>
  </si>
  <si>
    <t>Wellington Souza Matos</t>
  </si>
  <si>
    <t>contato@identidadeperiferica.org</t>
  </si>
  <si>
    <t>2 eixos no processo</t>
  </si>
  <si>
    <t>515/23</t>
  </si>
  <si>
    <t>Associação dos Aposentados e Pensionistas de Presidente Venceslaus e Região</t>
  </si>
  <si>
    <t xml:space="preserve">Revoada </t>
  </si>
  <si>
    <t xml:space="preserve">Rosenei Costa Bartol Doias </t>
  </si>
  <si>
    <t>aap.pv@hotmail.com</t>
  </si>
  <si>
    <t>516/23</t>
  </si>
  <si>
    <t xml:space="preserve">Associação Idade Dourada de Pinheiros </t>
  </si>
  <si>
    <t>Conexão Dourada 2.0</t>
  </si>
  <si>
    <t>Eixo III: Educação
Eixo IV – Trabalho e Previdência Social</t>
  </si>
  <si>
    <t xml:space="preserve">Maria da Cruz Pinheiros Sobrinho </t>
  </si>
  <si>
    <t>assidadedourada@outlook.com.br</t>
  </si>
  <si>
    <t>517/23</t>
  </si>
  <si>
    <t>Conectando Geraçõe</t>
  </si>
  <si>
    <t>518/23</t>
  </si>
  <si>
    <t>Municipal da Estancia de Atibaia</t>
  </si>
  <si>
    <t xml:space="preserve">Centro Rural de Convivência do Idoso – Tanque </t>
  </si>
  <si>
    <t>Magali Pereira Gonçalves Costato Basile</t>
  </si>
  <si>
    <t>secretaria@itapura.sp.gov.br</t>
  </si>
  <si>
    <t>519/23</t>
  </si>
  <si>
    <t xml:space="preserve">Centro Rural de Convivência do Idoso – Portão </t>
  </si>
  <si>
    <t>mbasile@atibaia.sp.gov.br</t>
  </si>
  <si>
    <t>520/23</t>
  </si>
  <si>
    <t>Municipal de Embu das Artes</t>
  </si>
  <si>
    <t>Acesso à Cultura e Lazer para Idosos em Vulnerabilidade Social da Cidade de Embu das Artes</t>
  </si>
  <si>
    <t>Embu das Artes/SP</t>
  </si>
  <si>
    <t>Álvaro Hideki Odasaki</t>
  </si>
  <si>
    <t>521/23</t>
  </si>
  <si>
    <t>Projeto Acolhimento para Pessoa Idosa</t>
  </si>
  <si>
    <t>Simone Jorge da Rocha Nunes</t>
  </si>
  <si>
    <t>gestao.pse@gmail.com</t>
  </si>
  <si>
    <t>522/23</t>
  </si>
  <si>
    <t>Acesso à Cultura e Lazer para Idosos em vulnerabilidade social da cidade de Embu das Artes</t>
  </si>
  <si>
    <t>523/23</t>
  </si>
  <si>
    <t>Municipal de Cabrália Paulista</t>
  </si>
  <si>
    <t>Viva bem Cabrália</t>
  </si>
  <si>
    <t>Cabrália Paulista/SP</t>
  </si>
  <si>
    <t>Mauro Sérgio Leal</t>
  </si>
  <si>
    <t>gabinete@cabralia.sp.gov.br</t>
  </si>
  <si>
    <t>Plano sem n° de páginas o Pedndrive está com problema para abrir</t>
  </si>
  <si>
    <t>524/23</t>
  </si>
  <si>
    <t>Associação sonhar e Viver</t>
  </si>
  <si>
    <t>Padaria Escola Sonhar e Viver o Sonho</t>
  </si>
  <si>
    <t>Maria Sonia Alves Batista dos Santos</t>
  </si>
  <si>
    <t>associacaosonhareviver@Gmail.com</t>
  </si>
  <si>
    <t>525/23</t>
  </si>
  <si>
    <t>Colonia dos Idosos de Cabrália Paulista</t>
  </si>
  <si>
    <t>Cuidando de quem já cuidou</t>
  </si>
  <si>
    <t>Laurice Pereira de Godoy</t>
  </si>
  <si>
    <t>colônia.fredericoozanan@gmail.com</t>
  </si>
  <si>
    <t xml:space="preserve">Plano de Trablaho sem Rubricar </t>
  </si>
  <si>
    <t>526/23</t>
  </si>
  <si>
    <t xml:space="preserve">Associação de Pais e Amigos dos Excepcionais de Campinas - APAE </t>
  </si>
  <si>
    <t>Diversidade e Diversas Artes</t>
  </si>
  <si>
    <t>Sergio Prodócimo</t>
  </si>
  <si>
    <t>secretaria@apaecampinas.org.br</t>
  </si>
  <si>
    <t>527/23</t>
  </si>
  <si>
    <t>Associação Educacional, Esportiva e Cultural</t>
  </si>
  <si>
    <t xml:space="preserve">Projeto Idade Feliz </t>
  </si>
  <si>
    <t>Vlademir Pereira Silva</t>
  </si>
  <si>
    <t>vlademir75@gmail.com</t>
  </si>
  <si>
    <t>528/23</t>
  </si>
  <si>
    <t>Municipal Várzea Paulista</t>
  </si>
  <si>
    <t>Teatro Melhor Idade</t>
  </si>
  <si>
    <t>Várzea Paulista/SP</t>
  </si>
  <si>
    <t>Miriam Conceição Dias</t>
  </si>
  <si>
    <t>imprensa@varzeapaulista.sp.gov.br</t>
  </si>
  <si>
    <t>Plano de trabalho sem rubricar</t>
  </si>
  <si>
    <t>529/23</t>
  </si>
  <si>
    <t>Aluguel de Ônibus</t>
  </si>
  <si>
    <t>530/23</t>
  </si>
  <si>
    <t>Projeto Instrutor de Pilates</t>
  </si>
  <si>
    <t>531/23</t>
  </si>
  <si>
    <t>Irmandade Boituva de Saúde e Educação</t>
  </si>
  <si>
    <t xml:space="preserve">Cpacitação de Equipes Multidiciplinares das Instituições de Longa Permanência </t>
  </si>
  <si>
    <t>Boituva/SP</t>
  </si>
  <si>
    <t>Antonio Tabajara Serrano</t>
  </si>
  <si>
    <t>irmandadeboituva@gmail.com</t>
  </si>
  <si>
    <t>532/23</t>
  </si>
  <si>
    <t>Melhor Idade sem Dor</t>
  </si>
  <si>
    <t>533/2</t>
  </si>
  <si>
    <t>Academia ao Ar Livre Exercícios Saudáveis</t>
  </si>
  <si>
    <t>534/23</t>
  </si>
  <si>
    <t>Programa de Atenção à Saúde Auditiva do idoso</t>
  </si>
  <si>
    <t>535/23</t>
  </si>
  <si>
    <t>Terceira Idade em Ação</t>
  </si>
  <si>
    <t>Euclides da Cunha Paulista/SP</t>
  </si>
  <si>
    <t>Domingos Mente Lopes</t>
  </si>
  <si>
    <t>prefeitura@euclidesdacunha.sp.gov.br</t>
  </si>
  <si>
    <t xml:space="preserve">Plano sem n° de páginas e falta informações no envelope </t>
  </si>
  <si>
    <t>536/23</t>
  </si>
  <si>
    <t>Associação Beneficente Divina Graça</t>
  </si>
  <si>
    <t>Centro de Convivência Cultural Esportivo e de Lazer para Pessoa Idosa Divina Graça - II</t>
  </si>
  <si>
    <t>Valéria</t>
  </si>
  <si>
    <t>assdivinagraca@gmail.com</t>
  </si>
  <si>
    <t>537/23</t>
  </si>
  <si>
    <t>Centro de Convivência Cultural Esportivo e de Lazer para Pessoa Idosa Divina Graça - III</t>
  </si>
  <si>
    <t>538/23</t>
  </si>
  <si>
    <t>Centro de Convivência Cultural Esportivo e de Lazer para Pessoa Idosa Divina Graça - I</t>
  </si>
  <si>
    <t>539/23</t>
  </si>
  <si>
    <t>Associação Projeto Gileade</t>
  </si>
  <si>
    <t>Centro de Convivência para Pessoa Idosa</t>
  </si>
  <si>
    <t>Jackson Cordeiro Lima</t>
  </si>
  <si>
    <t>projetogileade2019@outlook.com</t>
  </si>
  <si>
    <t>540/23</t>
  </si>
  <si>
    <t>Asilo São Vicente de Paulo</t>
  </si>
  <si>
    <t xml:space="preserve">Casa Acolhedora </t>
  </si>
  <si>
    <t>Cruzeiro/SP</t>
  </si>
  <si>
    <t>Maressa Francine de Aquino Dias</t>
  </si>
  <si>
    <t>asilocrz@gmail.com</t>
  </si>
  <si>
    <t>541/23</t>
  </si>
  <si>
    <t>Casa Nova</t>
  </si>
  <si>
    <t>542/23</t>
  </si>
  <si>
    <t xml:space="preserve">Envelhecer Também é Viver </t>
  </si>
  <si>
    <t>543/23</t>
  </si>
  <si>
    <t>Cáritas Paroquial Nossa Mãe dos Homens e Santo Antônio de Pádua</t>
  </si>
  <si>
    <t>Ser Pleno</t>
  </si>
  <si>
    <t>Fabiana Cristina</t>
  </si>
  <si>
    <t>coordenacaocaritasparoquial@gmail.com</t>
  </si>
  <si>
    <t>544/23</t>
  </si>
  <si>
    <t>Associação Beneficente Yachad</t>
  </si>
  <si>
    <t xml:space="preserve">Yachad Cultural </t>
  </si>
  <si>
    <t>Gisele Grunpeter</t>
  </si>
  <si>
    <t>projetoyachad@gmail.com</t>
  </si>
  <si>
    <t xml:space="preserve">Plano Trabalho sem n° de páginas </t>
  </si>
  <si>
    <t>545/23</t>
  </si>
  <si>
    <t xml:space="preserve">Música e Arte </t>
  </si>
  <si>
    <t>546/23</t>
  </si>
  <si>
    <t>Fazendo a Diferença</t>
  </si>
  <si>
    <t>547/23</t>
  </si>
  <si>
    <t>Associação Cultural Ory</t>
  </si>
  <si>
    <t>Lashir</t>
  </si>
  <si>
    <t>Isaac Michanie</t>
  </si>
  <si>
    <t>ory@oryeduca.com.br</t>
  </si>
  <si>
    <t>548/23</t>
  </si>
  <si>
    <t>Colorindo a Vida</t>
  </si>
  <si>
    <t>Issac Michanie</t>
  </si>
  <si>
    <t>549/23</t>
  </si>
  <si>
    <t>Fazendo Arte</t>
  </si>
  <si>
    <t>550/23</t>
  </si>
  <si>
    <t>Associação Beneficente Luz de Um Novo Mundo</t>
  </si>
  <si>
    <t>Centro de Convivência Cultural Esportivo e de Lazer para Pessoa Idosa Vivendo Plenamento II</t>
  </si>
  <si>
    <t>Alan</t>
  </si>
  <si>
    <t>abc.alanmaxi@icloud.com</t>
  </si>
  <si>
    <t>551/23</t>
  </si>
  <si>
    <t>Centro de Convivência Cultural Esportivo e de Lazer para Pessoa Idosa Vivendo Plenamento I</t>
  </si>
  <si>
    <t>552/23</t>
  </si>
  <si>
    <t>Associação São Francisco de Assis</t>
  </si>
  <si>
    <t>Centro de Convivência Cultural Esportivo e de Lazer para Pessoa Idosa Tecendo Vinculos-I</t>
  </si>
  <si>
    <t>553/23</t>
  </si>
  <si>
    <t>Centro de Convivência Cultural Esportivo e de Lazer para Pessoa Idosa Tecendo Vinculos-II</t>
  </si>
  <si>
    <t>554/23</t>
  </si>
  <si>
    <t>Centro de Convivência Cultural Esportivo e de Lazer para Pessoa Idosa Tecendo Vinculos-III</t>
  </si>
  <si>
    <t>555/23</t>
  </si>
  <si>
    <t>Centro de Convivência Cultural Esportivo e de Lazer para Pessoa Idosa Vivendo Plenamento III</t>
  </si>
  <si>
    <t>556/23</t>
  </si>
  <si>
    <t>Associação Cuidar e Educar</t>
  </si>
  <si>
    <t>Centro de Convivência Cultura Esportivo e de Lazer para Pessoa Idosa Novo Encontro Dourado - II</t>
  </si>
  <si>
    <t>gilccrv@gmail.com</t>
  </si>
  <si>
    <t>557/23</t>
  </si>
  <si>
    <t>Centro de Convivência Cultura Esportivo e de Lazer para Pessoa Idosa Novo Encontro Dourado - I</t>
  </si>
  <si>
    <t>558/23</t>
  </si>
  <si>
    <t>Centro de Convivência Cultura Esportivo e de Lazer para Pessoa Idosa Novo Encontro Dourado - III</t>
  </si>
  <si>
    <t>559/23</t>
  </si>
  <si>
    <t>Coordenação Regional das Obras de Promoção Humanas - CROPH</t>
  </si>
  <si>
    <t>Carlota Cardoso da Silva</t>
  </si>
  <si>
    <t>contato@croph.org.br</t>
  </si>
  <si>
    <t>Sem Pendrive e faltando várias informaçãoes no Plano de Trabalho</t>
  </si>
  <si>
    <t>560/23</t>
  </si>
  <si>
    <t>Associação Cuidado ao Próximo</t>
  </si>
  <si>
    <t>Marcos Antônio Bamban Pereira</t>
  </si>
  <si>
    <t>cuidadoaoproximo@gmail.com</t>
  </si>
  <si>
    <t>561/23</t>
  </si>
  <si>
    <t>Centro Promocional "Nossa Senhora da Visitação"</t>
  </si>
  <si>
    <t>Informatizando</t>
  </si>
  <si>
    <t>Luis Carlos Martins Pereira</t>
  </si>
  <si>
    <t>visitacao@cpvisitacao.org.br</t>
  </si>
  <si>
    <t>PDF sem assinatura</t>
  </si>
  <si>
    <t>562/23</t>
  </si>
  <si>
    <t>Bordando no Território</t>
  </si>
  <si>
    <t>563/23</t>
  </si>
  <si>
    <t>Associação de Reintegração Assistencial</t>
  </si>
  <si>
    <t>Longevidade Saudavel II</t>
  </si>
  <si>
    <t>Maria Elena da Rocha</t>
  </si>
  <si>
    <t>ara.longevidade@outlook.com</t>
  </si>
  <si>
    <t>Recurso n° 007/24</t>
  </si>
  <si>
    <t>564/23</t>
  </si>
  <si>
    <t>Costurando Histórias</t>
  </si>
  <si>
    <t>565/23</t>
  </si>
  <si>
    <t>Municipal Álvares Machado</t>
  </si>
  <si>
    <t>Jovelina de Souza Monteiro</t>
  </si>
  <si>
    <t>assistencia@alvaresmachado.sp.gov.br</t>
  </si>
  <si>
    <t>566/23</t>
  </si>
  <si>
    <t>Instituto dos Deficientes Visuais de Catanduva</t>
  </si>
  <si>
    <t>Aquisição e instalação de sistema de energia fotovoltaica</t>
  </si>
  <si>
    <t>Fernanda de Souza Rocha</t>
  </si>
  <si>
    <t>idvc@idvc.org.br</t>
  </si>
  <si>
    <t>567/23</t>
  </si>
  <si>
    <t xml:space="preserve">Vivendo com Sabedoria </t>
  </si>
  <si>
    <t>Nota 0 no item 5</t>
  </si>
  <si>
    <t>568/23</t>
  </si>
  <si>
    <t>Municipal de Franco da Rocha</t>
  </si>
  <si>
    <t>Inclusão Digital</t>
  </si>
  <si>
    <t>Franco da Rocha/SP</t>
  </si>
  <si>
    <t>Nivaldo da Silva Santos</t>
  </si>
  <si>
    <t>sads@francodarocha.sp.gov.br</t>
  </si>
  <si>
    <t xml:space="preserve">Plano de Trabalho sem nº de páginas e sem informação do Eixo </t>
  </si>
  <si>
    <t xml:space="preserve">Projeto Laços </t>
  </si>
  <si>
    <t>Diagnóstico e Mapeamento da Pessoa Idosa em Franco da Rocha</t>
  </si>
  <si>
    <t>569/23</t>
  </si>
  <si>
    <t>Associação DNA Doando Nossas Ações</t>
  </si>
  <si>
    <t>Acolhimento Sênior / Cuidando em Casa</t>
  </si>
  <si>
    <t>São Vicente/SP</t>
  </si>
  <si>
    <t>Silvia Sampaio Sales Santos</t>
  </si>
  <si>
    <t>ss-sales@uol.com.br</t>
  </si>
  <si>
    <t>570/23</t>
  </si>
  <si>
    <t xml:space="preserve">Instituto Sementinha do Amanhecer </t>
  </si>
  <si>
    <t>O Lugar é aqui e o Tempo é Agora</t>
  </si>
  <si>
    <t>Ricardo Moreira Soares</t>
  </si>
  <si>
    <t>institutosementinhaamanhecer.inst@gmail.com</t>
  </si>
  <si>
    <t>571/23</t>
  </si>
  <si>
    <t>Instituto Futuro</t>
  </si>
  <si>
    <t xml:space="preserve">Cultura e Ação </t>
  </si>
  <si>
    <t>Maria Lúcia dos Santos Correia</t>
  </si>
  <si>
    <t>institutofuturo@uol.com.br</t>
  </si>
  <si>
    <t>572/23</t>
  </si>
  <si>
    <t>Associação Beneficente da Comunidade Nossa Senhora de Fátima de Bertioga</t>
  </si>
  <si>
    <t>Nossa Senhora de Fátima - II</t>
  </si>
  <si>
    <t>Bertioga/SP</t>
  </si>
  <si>
    <t>Protocolo 572/23</t>
  </si>
  <si>
    <t>associacao.bertioga@gmail.com</t>
  </si>
  <si>
    <t xml:space="preserve">Plano de Trabalho sem Rubricar
</t>
  </si>
  <si>
    <t>573/23</t>
  </si>
  <si>
    <t>Nossa Senhora de Fátima - I</t>
  </si>
  <si>
    <t>Expedito Antônio dos Santos</t>
  </si>
  <si>
    <t>574/23</t>
  </si>
  <si>
    <t>Instituto Luz do Amanhã</t>
  </si>
  <si>
    <t xml:space="preserve">Casa Azul </t>
  </si>
  <si>
    <t>Roberto Rodrigues</t>
  </si>
  <si>
    <t>contato@luzdoamanhã.org</t>
  </si>
  <si>
    <t>575/23</t>
  </si>
  <si>
    <t>Associação Beneficente Esperança Viva</t>
  </si>
  <si>
    <t>Reviver - I</t>
  </si>
  <si>
    <t>Anderson Aparecido dos Santos</t>
  </si>
  <si>
    <t>abeviva@gmail.com</t>
  </si>
  <si>
    <t>Divergência no nome do Projeto</t>
  </si>
  <si>
    <t>576/23</t>
  </si>
  <si>
    <t>Nossa Senhora de Fátima - III</t>
  </si>
  <si>
    <t>Protocolo 573/23</t>
  </si>
  <si>
    <t>577/23</t>
  </si>
  <si>
    <t>Reviver - III</t>
  </si>
  <si>
    <t>578/23</t>
  </si>
  <si>
    <t>Reviver - II</t>
  </si>
  <si>
    <t>579/23</t>
  </si>
  <si>
    <t>Associação Cultural Toca da Onça</t>
  </si>
  <si>
    <t>Vida é Movimento e Movimento é Vida</t>
  </si>
  <si>
    <t>Antonio Luiz de Almeida Francisco</t>
  </si>
  <si>
    <t>associacaotocadaonca@gmail.com</t>
  </si>
  <si>
    <t>580/23</t>
  </si>
  <si>
    <t>Negritute Futebol Clube</t>
  </si>
  <si>
    <t xml:space="preserve">Copa Negritude Master 60 Mais </t>
  </si>
  <si>
    <t>José Roberto de Andrade</t>
  </si>
  <si>
    <t>joser.andrade8@gmail.com</t>
  </si>
  <si>
    <t>581/23</t>
  </si>
  <si>
    <t xml:space="preserve">Esporte para Todos </t>
  </si>
  <si>
    <t>582/23</t>
  </si>
  <si>
    <t>Instituto Mãos e Gratidão</t>
  </si>
  <si>
    <t xml:space="preserve">Projeto Mais vida </t>
  </si>
  <si>
    <t>Wagner de Souza Silva</t>
  </si>
  <si>
    <t>institutomaosegratidao@gmail.com</t>
  </si>
  <si>
    <t>Divergência de Eixo</t>
  </si>
  <si>
    <t>583/23</t>
  </si>
  <si>
    <t>Irmandade do Lar Nossa Senhora da Candelária de Itu</t>
  </si>
  <si>
    <t xml:space="preserve">Mexa-se com Segurança </t>
  </si>
  <si>
    <t>Itu/SP</t>
  </si>
  <si>
    <t>Jamile Cristina Halter Malvezzi</t>
  </si>
  <si>
    <t>ss.larcandelaria@gmail.com</t>
  </si>
  <si>
    <t>584/23</t>
  </si>
  <si>
    <t>Associação Beneficente Luz da Sabedoria</t>
  </si>
  <si>
    <t>Centro de Convivência Cultural, Esporte e Lazer da Pessoa Idosa NAZARÉ-1</t>
  </si>
  <si>
    <t>Elizabete Rossi</t>
  </si>
  <si>
    <t>luzdasabedoriadh@gmail.com</t>
  </si>
  <si>
    <t>585/23</t>
  </si>
  <si>
    <t>Centro de Convivência Cultural, Esporte e Lazer da Pessoa Idosa NAZARÉ-2</t>
  </si>
  <si>
    <t>586/23</t>
  </si>
  <si>
    <t>Centro de Convivência Cultural, Esporte e Lazer da Pessoa Idosa NAZARÉ-3</t>
  </si>
  <si>
    <t>587/23</t>
  </si>
  <si>
    <t>Instituto Didi Santana</t>
  </si>
  <si>
    <t>Caminhos da Longevidade III</t>
  </si>
  <si>
    <t>Luciene Aguiar Santos</t>
  </si>
  <si>
    <t>institutodidisantana@hotmail.com</t>
  </si>
  <si>
    <t>588/23</t>
  </si>
  <si>
    <t>Caminhos da Longevidade II</t>
  </si>
  <si>
    <t>589/23</t>
  </si>
  <si>
    <t>Caminhos da Longevidade I</t>
  </si>
  <si>
    <t>590/23</t>
  </si>
  <si>
    <t>Associação Star Clube Esporte e Lazer</t>
  </si>
  <si>
    <t>Ativos na Maturidade  - I</t>
  </si>
  <si>
    <t>Franca/SP</t>
  </si>
  <si>
    <t>Desdedith Morais da Silva</t>
  </si>
  <si>
    <t>starfutebolclube@hotmail.com</t>
  </si>
  <si>
    <t>PDF sem n° de páginas e rubricas</t>
  </si>
  <si>
    <t>591/23</t>
  </si>
  <si>
    <t>Ativos na Maturidade  - III</t>
  </si>
  <si>
    <t>592/23</t>
  </si>
  <si>
    <t>Ativos na Maturidade  - II</t>
  </si>
  <si>
    <t>Duplicidade de Projeto</t>
  </si>
  <si>
    <t>593/23</t>
  </si>
  <si>
    <t>Instituto Nelf Ruah</t>
  </si>
  <si>
    <t>Luiciana Nascimento Tagliari</t>
  </si>
  <si>
    <t>institutonelfruah@gmail.com</t>
  </si>
  <si>
    <t>594/23</t>
  </si>
  <si>
    <t>Municipal de Guaira</t>
  </si>
  <si>
    <t>Viver com Qualidade de Vida na Melhor Idade</t>
  </si>
  <si>
    <t>Guairá/SP</t>
  </si>
  <si>
    <t>Silmara Aparecida dos Reis Cipriano</t>
  </si>
  <si>
    <t>dadis@guaira.sp.gov.br</t>
  </si>
  <si>
    <t>595/23</t>
  </si>
  <si>
    <t>União da Fé</t>
  </si>
  <si>
    <t xml:space="preserve">Arte em Movimento </t>
  </si>
  <si>
    <t>Felipe Pereira Bruno</t>
  </si>
  <si>
    <t>prfelipepereira87@gmail.com</t>
  </si>
  <si>
    <t>596/23</t>
  </si>
  <si>
    <t>Instituto Social Maris</t>
  </si>
  <si>
    <t>O Tempo não para, vamos Viver a Melhor Idade</t>
  </si>
  <si>
    <t>Izimares</t>
  </si>
  <si>
    <t>institutosocial.maris@gmail.com</t>
  </si>
  <si>
    <t>597/23</t>
  </si>
  <si>
    <t>Agape</t>
  </si>
  <si>
    <t xml:space="preserve">Terceira Idade Cultura e Ação </t>
  </si>
  <si>
    <t>Ricardo Pereira</t>
  </si>
  <si>
    <t>admagape1@gmail.com</t>
  </si>
  <si>
    <t>598/23</t>
  </si>
  <si>
    <t>Clube de mães</t>
  </si>
  <si>
    <t xml:space="preserve">Cultuta e Arte </t>
  </si>
  <si>
    <t>Maria de Fatima de Sousa dos Santos</t>
  </si>
  <si>
    <t>correialsantos@gmail.com</t>
  </si>
  <si>
    <t>599/23</t>
  </si>
  <si>
    <t>Projeto Missão Amar em Cristo</t>
  </si>
  <si>
    <t xml:space="preserve">Terceira Idade em Movimento </t>
  </si>
  <si>
    <t>Andre Aparecida Santos Quintiliano Oliveira</t>
  </si>
  <si>
    <t>acmeireli@gmail.com</t>
  </si>
  <si>
    <t>600/23</t>
  </si>
  <si>
    <t>União Popular de Moradia Adão Manoel da Silva</t>
  </si>
  <si>
    <t>Nucleo de Convivio Social para Idosos "Carpe Diem"</t>
  </si>
  <si>
    <t>Vera Lucia Alves</t>
  </si>
  <si>
    <t>recursoshumanosadaomanoel@hotmail.com</t>
  </si>
  <si>
    <t>601/23</t>
  </si>
  <si>
    <t>Real e Benemérita Associação Portuguesa de Beneficiência</t>
  </si>
  <si>
    <t>Cidados Para a Melhor Idade</t>
  </si>
  <si>
    <t>Juliana de Carvalho Opipari</t>
  </si>
  <si>
    <t>parcerias@bp.org.br</t>
  </si>
  <si>
    <t>Recurso n° 029/24</t>
  </si>
  <si>
    <t>602/23</t>
  </si>
  <si>
    <t>Terceira Idade Ativa</t>
  </si>
  <si>
    <t>Plano de Trabalho sem Rubricar
Falta Clareza do Objeto da Proposta</t>
  </si>
  <si>
    <t>Recurso n°029/24</t>
  </si>
  <si>
    <t>603/23</t>
  </si>
  <si>
    <t xml:space="preserve">Escola de Cuidadores </t>
  </si>
  <si>
    <t>604/23</t>
  </si>
  <si>
    <t>Municipal de Osasco</t>
  </si>
  <si>
    <t>Projeto: Fala Musical</t>
  </si>
  <si>
    <t>Rogério Lins Wanderley</t>
  </si>
  <si>
    <t>gabinete.sas@osasco.sp.gov.br</t>
  </si>
  <si>
    <t>605/23</t>
  </si>
  <si>
    <t>Aprender para Melhor Cuidar</t>
  </si>
  <si>
    <t>606/23</t>
  </si>
  <si>
    <t>Aquisição de Transporte Adaptado</t>
  </si>
  <si>
    <t>607/23</t>
  </si>
  <si>
    <t>Associação Beneficiente Passos para o Futuro</t>
  </si>
  <si>
    <t>Viver Melhor</t>
  </si>
  <si>
    <t>Tatiane Barbosa Pimentel</t>
  </si>
  <si>
    <t>passos_paraofuturo@outlook.com</t>
  </si>
  <si>
    <t>608/23</t>
  </si>
  <si>
    <t>Associação Cultural e social do Idoso Criança e Adolescente</t>
  </si>
  <si>
    <t xml:space="preserve">Sem Pendrive e Plano de Trabalho sem Rubricar </t>
  </si>
  <si>
    <t>Projeto igual ao Protocolo n° 090/23</t>
  </si>
  <si>
    <t>609/23</t>
  </si>
  <si>
    <t xml:space="preserve">Lugar da Melhor Idade </t>
  </si>
  <si>
    <t>610/23</t>
  </si>
  <si>
    <t>ASSOCIAÇÃO Viver Bem no Centro</t>
  </si>
  <si>
    <t xml:space="preserve">Projeto CDC – Cuidando de quem cuidou – Centro de Convivencia de Fortalecimento de Vínculos para Idosos </t>
  </si>
  <si>
    <t>Fabiula</t>
  </si>
  <si>
    <t>avbc2013@gmail.com</t>
  </si>
  <si>
    <t xml:space="preserve"> </t>
  </si>
  <si>
    <t>Tudo OK</t>
  </si>
  <si>
    <t xml:space="preserve">Desclassificado e Reprovado </t>
  </si>
  <si>
    <t>Aguardando Correção (classificado)</t>
  </si>
  <si>
    <t>Pré-Classicado (falta 1 nota)</t>
  </si>
  <si>
    <t xml:space="preserve">Classificado falta nota para fechar </t>
  </si>
  <si>
    <r>
      <rPr>
        <b/>
        <sz val="16"/>
        <color theme="1"/>
        <rFont val="Calibri"/>
        <family val="2"/>
        <scheme val="minor"/>
      </rPr>
      <t>CONSELHO ESTADUAL DO IDOSO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Rua Boa Vista, 170 -  CEP 01204-001 - São Paulo-SP
Fone 11-2763-8122/2763-8035
cei@desenvolvimentosocial.sp.gov.br</t>
    </r>
    <r>
      <rPr>
        <sz val="11"/>
        <color theme="1"/>
        <rFont val="Calibri"/>
        <family val="2"/>
        <scheme val="minor"/>
      </rPr>
      <t xml:space="preserve">
</t>
    </r>
  </si>
  <si>
    <t>Rita Ou Camila</t>
  </si>
  <si>
    <t>gestorsocial@altinopolis.sp.gov.br</t>
  </si>
  <si>
    <t>Apresentou 4 propostas</t>
  </si>
  <si>
    <t>Municipal de Euclides da Cunha</t>
  </si>
  <si>
    <t>Plano de Trabalho não está Rubricado</t>
  </si>
  <si>
    <t>Não enviou o Plano de Trabalho 
(fora do padrão do Edital)</t>
  </si>
  <si>
    <t>Plano de Trabalho não está Rubricado
Sem Pendrive</t>
  </si>
  <si>
    <t>Enviou 4 Propostas</t>
  </si>
  <si>
    <t xml:space="preserve">Edital não Contempla Aquisição de Veiculo </t>
  </si>
  <si>
    <r>
      <rPr>
        <sz val="9"/>
        <rFont val="Calibri"/>
        <family val="2"/>
        <scheme val="minor"/>
      </rPr>
      <t xml:space="preserve">Faltou Preencher os Itens ns° </t>
    </r>
    <r>
      <rPr>
        <sz val="10"/>
        <rFont val="Calibri"/>
        <family val="2"/>
        <scheme val="minor"/>
      </rPr>
      <t>6, 10,11 e 12 do Plano de Trabalho</t>
    </r>
  </si>
  <si>
    <t>Nota 0 no item 1 Formulário de Avaliação de Projeto (Edital)
- CNPJ de Sociedade Empresaria Limitada</t>
  </si>
  <si>
    <t>Edital não Contempla Construção</t>
  </si>
  <si>
    <t>Vários projetos dentro de um Único Plano de Trabalho</t>
  </si>
  <si>
    <t xml:space="preserve">Sem Valor Total do Projeto </t>
  </si>
  <si>
    <t>Nota 0 nos itens 2 e 5 Formulário de Avaliação de Projeto (Edital)</t>
  </si>
  <si>
    <t>Nota 0 no item 2 Formulário de Avaliação de Projeto (Edital)</t>
  </si>
  <si>
    <t>Projeto enviado em Duplicidade</t>
  </si>
  <si>
    <t>Nota 0 no item 5 Formulário de Avaliação de Projeto (Edital)</t>
  </si>
  <si>
    <t>Nota 0 nos itens 2 Formulário de Avaliação de Projeto (Edital)</t>
  </si>
  <si>
    <t>,</t>
  </si>
  <si>
    <t>CUSTEIO</t>
  </si>
  <si>
    <t xml:space="preserve">AQUISIÇÃO </t>
  </si>
  <si>
    <t>N° DE BENEFICIÁRIO</t>
  </si>
  <si>
    <t>CNPJ</t>
  </si>
  <si>
    <t>ENDEREÇO</t>
  </si>
  <si>
    <t>BAIRRO</t>
  </si>
  <si>
    <t>CEP</t>
  </si>
  <si>
    <t>CODIGO IBGE</t>
  </si>
  <si>
    <t xml:space="preserve">TELEFONE </t>
  </si>
  <si>
    <t>SOMA</t>
  </si>
  <si>
    <t xml:space="preserve">Documentação </t>
  </si>
  <si>
    <t>1° contato correção</t>
  </si>
  <si>
    <t>PROCESSO SEI</t>
  </si>
  <si>
    <t>TCE</t>
  </si>
  <si>
    <t xml:space="preserve">Prazo Notificação </t>
  </si>
  <si>
    <t>Localização</t>
  </si>
  <si>
    <t>Etapa</t>
  </si>
  <si>
    <t>Data da Assinatura do TERMO</t>
  </si>
  <si>
    <t>Aditamento</t>
  </si>
  <si>
    <t>Vigência do Termo
(12 meses)</t>
  </si>
  <si>
    <t xml:space="preserve">Data da Publicação em Diário Oficial </t>
  </si>
  <si>
    <t>Data do Pagamento
1° parcela</t>
  </si>
  <si>
    <t>Data do Pagamento
2° parcela</t>
  </si>
  <si>
    <t>Gestor</t>
  </si>
  <si>
    <t>SimPPA</t>
  </si>
  <si>
    <t>DATA</t>
  </si>
  <si>
    <t xml:space="preserve">Dias </t>
  </si>
  <si>
    <t xml:space="preserve">53.415.717 0001-60 </t>
  </si>
  <si>
    <t xml:space="preserve">Rua Antônio de Almeida Leite, 649 </t>
  </si>
  <si>
    <t>Jardim Paulista</t>
  </si>
  <si>
    <t xml:space="preserve">19900-000 </t>
  </si>
  <si>
    <t>Ourinhos</t>
  </si>
  <si>
    <t xml:space="preserve">3302-6000 </t>
  </si>
  <si>
    <t xml:space="preserve">smmf.ourinhos@gmail.com
</t>
  </si>
  <si>
    <t>APROVADO</t>
  </si>
  <si>
    <t>Atualizar o oficio, faltou ANEXO VII e os 03 orçamentos</t>
  </si>
  <si>
    <t>falta terminar o processo</t>
  </si>
  <si>
    <t>012.00004181/2024-35</t>
  </si>
  <si>
    <t>28.05.2024</t>
  </si>
  <si>
    <t>SES-GS-ATA8</t>
  </si>
  <si>
    <t xml:space="preserve">Sec. Saúde </t>
  </si>
  <si>
    <t>Sec. Saúde</t>
  </si>
  <si>
    <t>Parecer Técnico</t>
  </si>
  <si>
    <t>Email enviado aos Conselheiros da Pasta de atuação do eixo em 11/11.</t>
  </si>
  <si>
    <t>45.148.970/0001-77</t>
  </si>
  <si>
    <t>Praça Maria Dias, 614</t>
  </si>
  <si>
    <t>Centro</t>
  </si>
  <si>
    <t>15480-000</t>
  </si>
  <si>
    <t>Orindiúva</t>
  </si>
  <si>
    <t xml:space="preserve"> (17)3816-9600</t>
  </si>
  <si>
    <t>prefeitura@orindiuva.sp.gov.br
Assistencia@orindiuva.sp.gov.br</t>
  </si>
  <si>
    <t>faltou 3 orçamentos</t>
  </si>
  <si>
    <t>Notificado por e-mail 09.05.2024 ás 17h10</t>
  </si>
  <si>
    <t>012.00004267/2024-68</t>
  </si>
  <si>
    <t>30.05.2024</t>
  </si>
  <si>
    <t>SEDS-CEI-PRESTCONTAS</t>
  </si>
  <si>
    <t>Prestação de Contas - CEI</t>
  </si>
  <si>
    <t>Manual de prestação de contas enviado</t>
  </si>
  <si>
    <t>45.093.267/0001-09</t>
  </si>
  <si>
    <t>Rua Camilo de Moraes,75</t>
  </si>
  <si>
    <t>15115-000</t>
  </si>
  <si>
    <t>Bady Bassitt</t>
  </si>
  <si>
    <t>(17) 3818-5100</t>
  </si>
  <si>
    <t>Notificação enviada dia 09.05.24 ás 13h29</t>
  </si>
  <si>
    <t>012.00004110/2024-32</t>
  </si>
  <si>
    <t>Não Tem</t>
  </si>
  <si>
    <t>Setembro á dezembro 
2024</t>
  </si>
  <si>
    <t>Sem prestação de Contas - Não foi executado - Notificação reenviada 09/03/26
E-mail enviado dia 29.01.2026 solicitando envio do oficio para execução</t>
  </si>
  <si>
    <t>52.506.110/0001-23</t>
  </si>
  <si>
    <t>Coronel José Pereira Lima,1274</t>
  </si>
  <si>
    <t>13730-220</t>
  </si>
  <si>
    <t>Mococa</t>
  </si>
  <si>
    <t>(19) 36560203</t>
  </si>
  <si>
    <t>DESCLASSIFICADO</t>
  </si>
  <si>
    <t>Notificado dia 03.06.2024</t>
  </si>
  <si>
    <t>Atalizar oficio
declaração Dirigente máximo
Falta o CCM
Valores não batem 
Confirmar os Orçamentos e planilha</t>
  </si>
  <si>
    <t>012.00005167/2024-59</t>
  </si>
  <si>
    <t>24.06.2024</t>
  </si>
  <si>
    <t>SEDS-CEI</t>
  </si>
  <si>
    <t>Declassificado - OBRA
E-mail enviado dia 17.12.2024</t>
  </si>
  <si>
    <t>49.802.762/0001-09</t>
  </si>
  <si>
    <t>Praça Dom Sílvio Maria Dário, 126</t>
  </si>
  <si>
    <t>Itapeva</t>
  </si>
  <si>
    <t>18.400-004</t>
  </si>
  <si>
    <t xml:space="preserve">(15) 3522-03481 </t>
  </si>
  <si>
    <t>Notificado 28.05.2024</t>
  </si>
  <si>
    <t>Atualizar oficio
Declaração Dirigente
Planilha Orçamento</t>
  </si>
  <si>
    <t>012.00004301/2024-02</t>
  </si>
  <si>
    <t xml:space="preserve"> 
0000038851</t>
  </si>
  <si>
    <t>20.06.2024</t>
  </si>
  <si>
    <t xml:space="preserve">	SEDS-SPP-CAR-ITA</t>
  </si>
  <si>
    <t>Prestação de Contas Final</t>
  </si>
  <si>
    <t xml:space="preserve">Priscilla Domingues
</t>
  </si>
  <si>
    <t>Processo enviado para DRADS emitir o parecer conclusivo.
Processo em finalização e sem vigência</t>
  </si>
  <si>
    <t>44.544.690/0001-15</t>
  </si>
  <si>
    <t>Rua Raul Maçone, 306</t>
  </si>
  <si>
    <t>14.725-000</t>
  </si>
  <si>
    <t>Taiaçu</t>
  </si>
  <si>
    <t>(16) 3275-6400</t>
  </si>
  <si>
    <t>assistenciasocial@taiacu.sp.gov.br
contas@taiacu.sp.gov.br</t>
  </si>
  <si>
    <t>Atualizar Oficio
Orçamentos 
Planilha</t>
  </si>
  <si>
    <t>Notificado por e-mail dia 16.05.2024 às 16h20</t>
  </si>
  <si>
    <t>012.00004907/2024-30</t>
  </si>
  <si>
    <t>10.05.2024</t>
  </si>
  <si>
    <t>SEDS-CEI PARCERIAS</t>
  </si>
  <si>
    <t xml:space="preserve">Sec. Cultura, Economia </t>
  </si>
  <si>
    <t>Execução 1° Parcela</t>
  </si>
  <si>
    <t xml:space="preserve">Não Tem </t>
  </si>
  <si>
    <t>maio à agosto 2025</t>
  </si>
  <si>
    <t>44.447.126/0001-84</t>
  </si>
  <si>
    <t>Rua Getúlio Vargas,1.087</t>
  </si>
  <si>
    <t xml:space="preserve">15.390-000 </t>
  </si>
  <si>
    <t>Itapura</t>
  </si>
  <si>
    <t>(18) 3742-9020.</t>
  </si>
  <si>
    <t>secretaria@itapura.sp.gov.br
lpgitapura@gmail.com</t>
  </si>
  <si>
    <t xml:space="preserve">Ajuste oficio e planilha </t>
  </si>
  <si>
    <t>Notificação por e-mail dia 09.05.2024 às 17h51</t>
  </si>
  <si>
    <t>012.00003922/2024-61</t>
  </si>
  <si>
    <t> SEDS-SGC-DA-CCP</t>
  </si>
  <si>
    <t>Não tem</t>
  </si>
  <si>
    <t>Prestação de contas não analisada e o processo perderá a vigência em 16/05/26. Processo encaminhado para aditamento  e posterior envio para analise da prestação de contas.</t>
  </si>
  <si>
    <t>46.223.749/0001-07</t>
  </si>
  <si>
    <t>Rua Bahia nº 233</t>
  </si>
  <si>
    <t>18780-000</t>
  </si>
  <si>
    <t>Manduri</t>
  </si>
  <si>
    <t xml:space="preserve">(14) 3356-9200 </t>
  </si>
  <si>
    <t>Soma do total não bate com o valor do plano de trabalho</t>
  </si>
  <si>
    <t>Não consegui contato por telefone, e-mail enviado dia 08.05 ás 12h52</t>
  </si>
  <si>
    <t>012.00003837/2024-01</t>
  </si>
  <si>
    <t>23.05.2024</t>
  </si>
  <si>
    <t>SEDS-CEI-PROJETOS</t>
  </si>
  <si>
    <t>Prestação de Contas</t>
  </si>
  <si>
    <t>Setembro á dezembro
2024</t>
  </si>
  <si>
    <t>03/10 enviada orientações para devolução do valor e encerramento do processo..</t>
  </si>
  <si>
    <t>52.942.380/0001-87</t>
  </si>
  <si>
    <t xml:space="preserve"> Praça Rio Branco, 86</t>
  </si>
  <si>
    <t>14730-000</t>
  </si>
  <si>
    <t>Monte Azul Paulista</t>
  </si>
  <si>
    <t>(17) 3361-2210</t>
  </si>
  <si>
    <t>faltou 3 orçamentos, ajustar oficio, PT e os anexos</t>
  </si>
  <si>
    <t>Notificação enviada por e-mail 09.05.2024 ás 17h28</t>
  </si>
  <si>
    <t>012.00003851/2024-04</t>
  </si>
  <si>
    <t>Notificação enviada 26/02</t>
  </si>
  <si>
    <t>71.989.685/0001-99</t>
  </si>
  <si>
    <t>Rua Dario Rodrigues Louzada,338</t>
  </si>
  <si>
    <t>14910-000</t>
  </si>
  <si>
    <t>Tabatinga</t>
  </si>
  <si>
    <t>(16) 3321-9500</t>
  </si>
  <si>
    <t>gabinete@tabatinga.sp.gov.br
social@tabatinga.sp.gov.br</t>
  </si>
  <si>
    <t>(16) 9 9790-5724</t>
  </si>
  <si>
    <t xml:space="preserve">Tudo OK </t>
  </si>
  <si>
    <t>012.00003525/2024-99</t>
  </si>
  <si>
    <t>SEDS-SGC-DA-CCP-DIVPC</t>
  </si>
  <si>
    <t>Prestação de Contas - DPC</t>
  </si>
  <si>
    <t>janeiro à abril 2025</t>
  </si>
  <si>
    <t>Processo encaminhado a Coordenadoria de Convênios e Parcerias 03/03/2026</t>
  </si>
  <si>
    <t>43.542.505/0001-90</t>
  </si>
  <si>
    <t>Rua São Sebastião s/n</t>
  </si>
  <si>
    <t xml:space="preserve">Pereira Jordão </t>
  </si>
  <si>
    <t>16900-160</t>
  </si>
  <si>
    <t>Andradina</t>
  </si>
  <si>
    <t>(18)3722-1318</t>
  </si>
  <si>
    <t>Notificado dia 28.05.2024</t>
  </si>
  <si>
    <t xml:space="preserve">Oficio
Digirente máximo
Cetidão de improbidade
planilha </t>
  </si>
  <si>
    <t>012.00004591/2024-86</t>
  </si>
  <si>
    <t>SEDS-SGC-DA-CCP-DIVGCP</t>
  </si>
  <si>
    <t>Pagamento 2° parcela</t>
  </si>
  <si>
    <t>Thiago Agenor Dos Santos De Lima - 
DRADS-ANO</t>
  </si>
  <si>
    <t xml:space="preserve">Processo encaminhado para aditamento e ressarcimento </t>
  </si>
  <si>
    <t>45.781.176/0001-66</t>
  </si>
  <si>
    <t xml:space="preserve">Rua das Poncianas, 1225 </t>
  </si>
  <si>
    <t xml:space="preserve">Jardim Glória </t>
  </si>
  <si>
    <t>13468-180</t>
  </si>
  <si>
    <t>Americana</t>
  </si>
  <si>
    <t xml:space="preserve">(19) 3471-6770 </t>
  </si>
  <si>
    <t xml:space="preserve">ajuste oficio, planilha e dúvida nos orçamentos </t>
  </si>
  <si>
    <t>Notificação enviada para Janaína por e-mail e no dia 09.05 às 12h08</t>
  </si>
  <si>
    <t>012.00004175/2024-88</t>
  </si>
  <si>
    <t xml:space="preserve">DRADS Campinas </t>
  </si>
  <si>
    <t>49.862.493/0001-68</t>
  </si>
  <si>
    <t>Rua Guilherme Francisco da Silva, 256</t>
  </si>
  <si>
    <t>Bocaina</t>
  </si>
  <si>
    <t>1240-017</t>
  </si>
  <si>
    <t xml:space="preserve">:(14) 3666-1500 </t>
  </si>
  <si>
    <t>larvicentinobocaina@uol.com.br</t>
  </si>
  <si>
    <t>Notificado dia 27.05.2024</t>
  </si>
  <si>
    <t>012.00004721/2024-81</t>
  </si>
  <si>
    <t>19.06.2024</t>
  </si>
  <si>
    <t>Daniele Ribeiro da Silva</t>
  </si>
  <si>
    <t>26/02/2026</t>
  </si>
  <si>
    <t>Processo enviado para análise da prestação de contas ( Divisão de prestação de contas)</t>
  </si>
  <si>
    <t>50.759.091/0001-11</t>
  </si>
  <si>
    <t>Avenida do Café,131</t>
  </si>
  <si>
    <t>Vila Ivan</t>
  </si>
  <si>
    <t>17207-202</t>
  </si>
  <si>
    <t>Jaú</t>
  </si>
  <si>
    <t>(14) 3622-2624</t>
  </si>
  <si>
    <t>abrigosaolourenco@gmail.com
marahilst19@gmail.com</t>
  </si>
  <si>
    <t>Tudo Ok (ver apenas os 03 orçamentos de aceitos)</t>
  </si>
  <si>
    <t>012.00004515/2024-71</t>
  </si>
  <si>
    <t>SEDS-SGC-DA-CCP</t>
  </si>
  <si>
    <t xml:space="preserve">Angelita Maria 
DRADS Bauru </t>
  </si>
  <si>
    <t>Projeto executado, encaminhado a Divisão de Prestação de Contas</t>
  </si>
  <si>
    <t>51.347.540/0001-87</t>
  </si>
  <si>
    <t>Rua lacanga, 374</t>
  </si>
  <si>
    <t>Jardim Santa Clara</t>
  </si>
  <si>
    <t xml:space="preserve">14.962-202 </t>
  </si>
  <si>
    <t>Novo Horizonte</t>
  </si>
  <si>
    <t xml:space="preserve">(17) 3542 1935 </t>
  </si>
  <si>
    <t>Atualizar Oficio
plano de Trabalho ajustar (modelo, execução e itens 11 e 12)
planilha</t>
  </si>
  <si>
    <t>012.00004678/2024-53</t>
  </si>
  <si>
    <t>Patricia Cecilio Domingues Azevedo</t>
  </si>
  <si>
    <t>Lucimara (17) 9 9748-2189 
Encaminhado para Coordenadoria de Convênios e Parceria 09/03/26</t>
  </si>
  <si>
    <t>44.518.496/0001-65</t>
  </si>
  <si>
    <t>Rua Francisco da Fonseca, 213</t>
  </si>
  <si>
    <t xml:space="preserve"> 17550-000</t>
  </si>
  <si>
    <t>Júlio Mesquita</t>
  </si>
  <si>
    <t>(14) 3487-9090</t>
  </si>
  <si>
    <t>prefeitura@juliomesquita.sp.gov.br</t>
  </si>
  <si>
    <t>Sona não bate, ajustar oficio, PT, planilha e anexos 0
Falta o novo plano de trabalaho</t>
  </si>
  <si>
    <t>Notificação enviada por e-mail dia 09.05.2024 às 17h39
03.06.2024 às 15h44</t>
  </si>
  <si>
    <t>012.00004269/2024-57</t>
  </si>
  <si>
    <t xml:space="preserve">Aditamento </t>
  </si>
  <si>
    <t xml:space="preserve">Não tem </t>
  </si>
  <si>
    <t xml:space="preserve">Processo enviado para Aditamento (sem prestação de contas) </t>
  </si>
  <si>
    <t>46.634.044/0001-74</t>
  </si>
  <si>
    <t xml:space="preserve">Avenida Engenheiro Carlos Reinaldo Mendes, 3041 </t>
  </si>
  <si>
    <t xml:space="preserve"> Parque da Boa ista</t>
  </si>
  <si>
    <t>18013-280</t>
  </si>
  <si>
    <t>Sorocaba</t>
  </si>
  <si>
    <t xml:space="preserve">(15) 3238-2422 </t>
  </si>
  <si>
    <t>captacaoderecursos@sorocaba.sp.gov.br</t>
  </si>
  <si>
    <t>Oficio
Planilha 
PT esta diferente usar da rede</t>
  </si>
  <si>
    <t>Notificação enviada por e-mail dia 16.05.2024 às 16h46</t>
  </si>
  <si>
    <t>012.00004347/2024-13</t>
  </si>
  <si>
    <t>Notificação enviada 09/03/26</t>
  </si>
  <si>
    <t>47.437.751/0001-33</t>
  </si>
  <si>
    <t>Rua Dom bosco, 567</t>
  </si>
  <si>
    <t>12701-250</t>
  </si>
  <si>
    <t>Cruzeiro</t>
  </si>
  <si>
    <t>(12) 31441257</t>
  </si>
  <si>
    <t>Decl. Diririgente máximo
Experiencia previa
Os valores do PT não batem (11 e 12) valor total
Planilha de orç.</t>
  </si>
  <si>
    <t>012.00005101/2024-69</t>
  </si>
  <si>
    <t xml:space="preserve">A OSC não retornar os e-mail 
Enviar e-mail de desclassificação </t>
  </si>
  <si>
    <t>46.044-467/0001-34</t>
  </si>
  <si>
    <t>Avenida Márcio Egídio de Souza Aranha, 143</t>
  </si>
  <si>
    <t xml:space="preserve">Jardim Ipaussurama </t>
  </si>
  <si>
    <t>13060-840</t>
  </si>
  <si>
    <t>Campinas</t>
  </si>
  <si>
    <t xml:space="preserve">(19) 3227-81ZI </t>
  </si>
  <si>
    <t xml:space="preserve">Analisada, falta notificar </t>
  </si>
  <si>
    <t xml:space="preserve">Faltou Oficio
CMA
Decl. Dirigente máximo
Inegebilidade
Planilha dos orç.
</t>
  </si>
  <si>
    <t>012.00005074/2024-24</t>
  </si>
  <si>
    <t>Processo encaminhado para Coordenadora de Convênios e Parceria 03/03/26</t>
  </si>
  <si>
    <t>45.298.569.0001-13</t>
  </si>
  <si>
    <t xml:space="preserve">Rua Major Garcia, 144 </t>
  </si>
  <si>
    <t xml:space="preserve">14350-000 </t>
  </si>
  <si>
    <t>Altinópolis</t>
  </si>
  <si>
    <t xml:space="preserve">(16) 3665-9500 </t>
  </si>
  <si>
    <t>012.00004330/2024-66, foi encerrado porque estava com a documentação de outra PM. Novo Processo aberto</t>
  </si>
  <si>
    <t>Oficio
Justificativa
CNPJ
Anexo PL
Eixo PT
Orçamentos e planilha
ajustes PT item 12</t>
  </si>
  <si>
    <t>Notificado por e-mail dia 16.05.2024 às 16h07</t>
  </si>
  <si>
    <t>012.00007184/2024-21</t>
  </si>
  <si>
    <t>03.951.901/0001-57</t>
  </si>
  <si>
    <t xml:space="preserve">Praça Papa João Paulo I, 65 </t>
  </si>
  <si>
    <t xml:space="preserve">Atibaia Jardim </t>
  </si>
  <si>
    <t xml:space="preserve">12940-230 </t>
  </si>
  <si>
    <t>Atibaia</t>
  </si>
  <si>
    <t>(11) 4413 - 2938</t>
  </si>
  <si>
    <t xml:space="preserve">Ajustar o Plano de trabalho e o plano de aplicação </t>
  </si>
  <si>
    <t>012.00004681/2024-77</t>
  </si>
  <si>
    <t>SEDS-GSPOFP</t>
  </si>
  <si>
    <t>Instrução para Assinatura</t>
  </si>
  <si>
    <t>43.206.424/0001-10</t>
  </si>
  <si>
    <t>Praça da Bandeira, s in 0</t>
  </si>
  <si>
    <t>19160-000</t>
  </si>
  <si>
    <t>Álvares Machado</t>
  </si>
  <si>
    <t xml:space="preserve"> (18) 3273-9300</t>
  </si>
  <si>
    <t>E-mail com os apontamentos enviados dia 08.05</t>
  </si>
  <si>
    <t>012.00003839/2024-91</t>
  </si>
  <si>
    <t>13/09/2026</t>
  </si>
  <si>
    <r>
      <rPr>
        <sz val="10"/>
        <color rgb="FF000000"/>
        <rFont val="Calibri"/>
      </rPr>
      <t xml:space="preserve">Processo paralizado a execução pendencia da 2° parcela
Processo enviado para análise da prestação de contas </t>
    </r>
    <r>
      <rPr>
        <b/>
        <sz val="10"/>
        <color rgb="FF000000"/>
        <rFont val="Calibri"/>
      </rPr>
      <t xml:space="preserve">06.02.2026
</t>
    </r>
    <r>
      <rPr>
        <sz val="10"/>
        <color rgb="FF000000"/>
        <rFont val="Calibri"/>
      </rPr>
      <t>Processo encaminhado para Roseli verificar se podemos pagar 17.03.2026</t>
    </r>
  </si>
  <si>
    <t>46.523.239/0001-47</t>
  </si>
  <si>
    <t>Praça Samuel Sabatini, 50</t>
  </si>
  <si>
    <t>09750-700</t>
  </si>
  <si>
    <t>São Bernardo do Campo</t>
  </si>
  <si>
    <t>(11) 2630-7445</t>
  </si>
  <si>
    <t>tamara.vicente@saobernardo.sp.gov.br
orlando.morando@saobernardodocampo.sp.gov.br</t>
  </si>
  <si>
    <t xml:space="preserve">Atualizar o oficio, periodo de execução do PL e enviar as planilhas </t>
  </si>
  <si>
    <t xml:space="preserve">E-mail enviado dia 07.05.2024 às 15h42 
Rafael </t>
  </si>
  <si>
    <t>012.00003606/2024-99</t>
  </si>
  <si>
    <t>31/04/2025</t>
  </si>
  <si>
    <t>Notificação enviada 04/03/2026</t>
  </si>
  <si>
    <t>49.871.700/0001-40</t>
  </si>
  <si>
    <t xml:space="preserve">Rua Santo Antônio, 406 </t>
  </si>
  <si>
    <t>Granja Viana Cotia</t>
  </si>
  <si>
    <t>06708-370</t>
  </si>
  <si>
    <t>Cotia</t>
  </si>
  <si>
    <t>(11) 4702-2580</t>
  </si>
  <si>
    <t>Valor esta diferente do plano inicial, dúvidas nas certidões, cronohtama confuso.</t>
  </si>
  <si>
    <t>012.00005270/2024-07</t>
  </si>
  <si>
    <t> SEDS-CEI-PRESTCONTAS</t>
  </si>
  <si>
    <t xml:space="preserve">50.849.033/0001-89 </t>
  </si>
  <si>
    <t>Rua Rio Branco, 60 A</t>
  </si>
  <si>
    <t>Jardim Veneza</t>
  </si>
  <si>
    <t>17290-390</t>
  </si>
  <si>
    <t>Macatuba</t>
  </si>
  <si>
    <t>(14) 3268-1316</t>
  </si>
  <si>
    <t>Falta os anexos do plano de trabalho
declaração Dirigente</t>
  </si>
  <si>
    <t>012.00004394/2024-67</t>
  </si>
  <si>
    <t>Processo encaminhado para Coordenação de Convênio e parceria para análise da prestação - Aquisição. 02/03/2026</t>
  </si>
  <si>
    <t>47.541.040/0001-04</t>
  </si>
  <si>
    <t xml:space="preserve">Rua Doutor Pedro Moreira da Costa, 249 </t>
  </si>
  <si>
    <t>Vila Antôrio Augusto</t>
  </si>
  <si>
    <t>12287-170</t>
  </si>
  <si>
    <t>Caçapava</t>
  </si>
  <si>
    <t xml:space="preserve">(12) 3653-0954 </t>
  </si>
  <si>
    <t>Experiência Prévia
Decl. Dirigênte máximo
Planilha Orç.</t>
  </si>
  <si>
    <t>012.00004606/2024-14</t>
  </si>
  <si>
    <t xml:space="preserve">Sueli Leite da Silva </t>
  </si>
  <si>
    <t>46.599.270/0001-61</t>
  </si>
  <si>
    <t xml:space="preserve">Avenida Duque de Caxias, 303 </t>
  </si>
  <si>
    <t xml:space="preserve">15950-000 </t>
  </si>
  <si>
    <t>Santa Adélia</t>
  </si>
  <si>
    <t>(17) 3511-8800</t>
  </si>
  <si>
    <t>ajustes Oficio, faltou os 3 orçamentos e faltou anexo VI</t>
  </si>
  <si>
    <t>Não consegui contato por telefone notificação enviada 09.05.2024 ás 11h25</t>
  </si>
  <si>
    <t>012.00004319/2024-04</t>
  </si>
  <si>
    <t>03.06.2024</t>
  </si>
  <si>
    <t>Sec. Turismo</t>
  </si>
  <si>
    <t>Setembro a dezembro 2025</t>
  </si>
  <si>
    <t>46.223.756/0001-09</t>
  </si>
  <si>
    <t>Rua Alexandre Absy,326</t>
  </si>
  <si>
    <t>18830-003</t>
  </si>
  <si>
    <t>Tejupá</t>
  </si>
  <si>
    <t>(14) 3385-3200</t>
  </si>
  <si>
    <t xml:space="preserve">Reforma: verificar os orçamentos se necessários e o cronograma financeiro </t>
  </si>
  <si>
    <t>Não ocnsegui contato por telefone, e-mail enviado dia 08.05 ás 12h23</t>
  </si>
  <si>
    <t>012.00004205/2024-56</t>
  </si>
  <si>
    <t>50.015.916/0001-93</t>
  </si>
  <si>
    <t xml:space="preserve">Rua António Hummel, 204 </t>
  </si>
  <si>
    <t>Pitéu</t>
  </si>
  <si>
    <t>12630-000</t>
  </si>
  <si>
    <t>Cachoeira Paulista</t>
  </si>
  <si>
    <t>(12) 3103-1149</t>
  </si>
  <si>
    <t>Experiência Prévia assinada pela OSC
Decl. Dirigênte máximo
Falta os anexos do plano de trabalho
Planilha Orç</t>
  </si>
  <si>
    <t>012.00004659/2024-27</t>
  </si>
  <si>
    <t>Declassificado - OBRA
E-mail enviado dia 13.01.2025</t>
  </si>
  <si>
    <t>31.635.351/0001-00</t>
  </si>
  <si>
    <t>Rua Prudente de Morais, 1173</t>
  </si>
  <si>
    <t>14015-100</t>
  </si>
  <si>
    <t>Ribeirão Preto</t>
  </si>
  <si>
    <t>(16) 98850-1519</t>
  </si>
  <si>
    <t>Notificada dia 27.05.2024</t>
  </si>
  <si>
    <t>Valores do PT não bate com o total e ajustar item 11 e 12
Ajustar periodo de execução
Decl. Dirigente
Justificativa
não enviou os orç. Só a planilha (verificar o RH e demais itens serv. De terceiro)</t>
  </si>
  <si>
    <t>012.00004724/2024-14</t>
  </si>
  <si>
    <t>58537
0000058539
0000058541</t>
  </si>
  <si>
    <t>Execução 2° Parcela</t>
  </si>
  <si>
    <t>Renan Paulo Quirino Lopes</t>
  </si>
  <si>
    <t>Processo pago a 2° parcela - Execução</t>
  </si>
  <si>
    <t>470/23</t>
  </si>
  <si>
    <t>NÃO ENTREGOU OS DOCUMENTO NO PRAZO (10 DIAS ÚTEIS)</t>
  </si>
  <si>
    <t xml:space="preserve">Não respondeu e-mail e não consigo telefone
Mandou por e-mail
responta dando o prazo até 09.05 
</t>
  </si>
  <si>
    <t xml:space="preserve">INST INICIAL-CFC </t>
  </si>
  <si>
    <t>45.301.264/0001-13</t>
  </si>
  <si>
    <t>Rua Henrique Coppi,200</t>
  </si>
  <si>
    <t>13820-641</t>
  </si>
  <si>
    <t>Mogi Guaçu</t>
  </si>
  <si>
    <t xml:space="preserve">(19) 3851-7000 </t>
  </si>
  <si>
    <t>sps-secretario@mogiguacu.sp.gov.br
rodrigofalsetti@mogiguacu.sp.gob.br</t>
  </si>
  <si>
    <t xml:space="preserve">Ajustar Oficio
Faltou 03 orçamentos
Planilha </t>
  </si>
  <si>
    <t>E-mail enviado dia 16.05.2024 às 15h42</t>
  </si>
  <si>
    <t>012.00004511/2024-92</t>
  </si>
  <si>
    <t>DRADS Mogiana</t>
  </si>
  <si>
    <r>
      <rPr>
        <sz val="10"/>
        <color rgb="FF000000"/>
        <rFont val="Calibri"/>
      </rPr>
      <t xml:space="preserve">Aguardando a PMC atender a informação da Divisão de formalização.
</t>
    </r>
    <r>
      <rPr>
        <b/>
        <sz val="10"/>
        <color rgb="FF000000"/>
        <rFont val="Calibri"/>
      </rPr>
      <t>Prazo: 23.03.2026</t>
    </r>
  </si>
  <si>
    <t>46.223,699/0001-50</t>
  </si>
  <si>
    <t>Praça Ataliba Leonel,  173</t>
  </si>
  <si>
    <t>18800-020</t>
  </si>
  <si>
    <t>Piraju</t>
  </si>
  <si>
    <t>(14) 3305-90Ú0</t>
  </si>
  <si>
    <t>José Maria Costa</t>
  </si>
  <si>
    <t>deasoadm@estanciadepiraju.sp.gov.br
gabinete@estanciadepiraju.sp.gov.br</t>
  </si>
  <si>
    <t>Falta os orçamentos (aquisição e serviços de terceiro)</t>
  </si>
  <si>
    <t>Sem contato telefonico e-mail enviado dia 08.05 as 13h20</t>
  </si>
  <si>
    <t>012.00004177/2024-77</t>
  </si>
  <si>
    <t>29.05.2024</t>
  </si>
  <si>
    <t>Notificação enviada 06/03/26</t>
  </si>
  <si>
    <t xml:space="preserve">vai declinar irá enviar oficio </t>
  </si>
  <si>
    <t>46.189.734/0001-61</t>
  </si>
  <si>
    <t>Praça Eugenio Burjato, 93</t>
  </si>
  <si>
    <t>17270-000</t>
  </si>
  <si>
    <t>Boracéia</t>
  </si>
  <si>
    <t>(14) 3295-9100</t>
  </si>
  <si>
    <t>Valdir de Souza Melo</t>
  </si>
  <si>
    <t>gabinete@boraceia.sp.gov.br</t>
  </si>
  <si>
    <t>Atualizar Oficio
Declaração de conta bancaria
Plano de aplicação os valores não batem 
Planta digitalizada
Planilha</t>
  </si>
  <si>
    <t>Notificada dia 21.05.2024 por e-mail às 12h30</t>
  </si>
  <si>
    <t>012.00004154/2024-62</t>
  </si>
  <si>
    <t>04.06.2024</t>
  </si>
  <si>
    <t>DRADS Bauru</t>
  </si>
  <si>
    <t>: 57.740.342/0001-65</t>
  </si>
  <si>
    <t xml:space="preserve">Rua Luiz de Almeida Batista, 200 </t>
  </si>
  <si>
    <t xml:space="preserve">Vila Industnal </t>
  </si>
  <si>
    <t>11800-000</t>
  </si>
  <si>
    <t>Juquiá</t>
  </si>
  <si>
    <t>(13) 3844-1406</t>
  </si>
  <si>
    <t>Ajuste Oficio
Pró-Social
Experiencia Prévida não pode ser assinada pela OSC
CCM é o alvara?
Declaração do dirigente máximo
Improbidade ADM 
Orçamentos devem ser assinados</t>
  </si>
  <si>
    <t>012.00005087/2024-01</t>
  </si>
  <si>
    <t xml:space="preserve">Nilda Teodoro Silva
</t>
  </si>
  <si>
    <t>Fazer o levantamento sobre a execução do 2° semestre</t>
  </si>
  <si>
    <t>51.316.222/0001-59</t>
  </si>
  <si>
    <t xml:space="preserve">Rua Albino Dantas, 220 </t>
  </si>
  <si>
    <t xml:space="preserve">Jd. Nova Bragança </t>
  </si>
  <si>
    <t>12.914-370</t>
  </si>
  <si>
    <t>Bragança Paulista</t>
  </si>
  <si>
    <t xml:space="preserve">(11) 4033-0545 </t>
  </si>
  <si>
    <t>Atualizar Oficio
Anexo PT
Planilha</t>
  </si>
  <si>
    <t>012.00004421/2024-00</t>
  </si>
  <si>
    <t>17.790.926.0001.20</t>
  </si>
  <si>
    <t xml:space="preserve">: Largo do Paissandu, 72 </t>
  </si>
  <si>
    <t xml:space="preserve">Centro Histórico </t>
  </si>
  <si>
    <t>01034-010</t>
  </si>
  <si>
    <t>São Paulo</t>
  </si>
  <si>
    <t xml:space="preserve">(11) 3227-1431 </t>
  </si>
  <si>
    <t xml:space="preserve">Faltou 3 orçamentos
Planilha
Dec. Dirigente máximo
</t>
  </si>
  <si>
    <t>012.00004423/2024-91</t>
  </si>
  <si>
    <t>SEDS-SGC-DCF-CGF</t>
  </si>
  <si>
    <t>Pagamento 2° Parcela</t>
  </si>
  <si>
    <t>2° parcela paga</t>
  </si>
  <si>
    <t>45.371.820/0001-28</t>
  </si>
  <si>
    <t>Rua Aprígio de Araújo, 837</t>
  </si>
  <si>
    <t>14160-030</t>
  </si>
  <si>
    <t>Sertãozinho</t>
  </si>
  <si>
    <t>(18)3946-3000</t>
  </si>
  <si>
    <t xml:space="preserve">Tudo Ok </t>
  </si>
  <si>
    <t>012.00003588/2024-45</t>
  </si>
  <si>
    <t>Processo aditado em execução e sem prestação de contas</t>
  </si>
  <si>
    <t xml:space="preserve">Centro de Convivencia Para Idoso- CCI Saber Viver </t>
  </si>
  <si>
    <t xml:space="preserve">07.865.189/0001-24 </t>
  </si>
  <si>
    <t>Rua Tiradentes, n. 251</t>
  </si>
  <si>
    <t>Jd. Boa Vista</t>
  </si>
  <si>
    <t>14740-000</t>
  </si>
  <si>
    <t>Viradouro</t>
  </si>
  <si>
    <t xml:space="preserve">(17) 9917 6365 </t>
  </si>
  <si>
    <t>ccisaberviver@gmail.com</t>
  </si>
  <si>
    <t xml:space="preserve">Atualizar Oficio
anexo PT
Experiencia previa (assinado pela osc)
Declaração dirgente máximo
Improbidade
Inidôneas
CNEAS
03 orç / planilha
</t>
  </si>
  <si>
    <t>012.00005105/2024-47</t>
  </si>
  <si>
    <t>Marcia Aparecida Muzeti</t>
  </si>
  <si>
    <r>
      <t xml:space="preserve">Aguardando o pagamento da 2° parcela para poder executar o projeto (viagem) 
(17) 99117 6365 Adriana E-mail solicitando dcoumentação Troca de diretoria dia </t>
    </r>
    <r>
      <rPr>
        <b/>
        <sz val="10"/>
        <color theme="1"/>
        <rFont val="Calibri"/>
        <family val="2"/>
        <scheme val="minor"/>
      </rPr>
      <t>06.02.2026</t>
    </r>
  </si>
  <si>
    <t>54.344.775/0001-03</t>
  </si>
  <si>
    <t xml:space="preserve">Rua São Miguel,480 </t>
  </si>
  <si>
    <t>12970-000</t>
  </si>
  <si>
    <t>Piracaia</t>
  </si>
  <si>
    <t>4036-7238</t>
  </si>
  <si>
    <t xml:space="preserve">Oficio
CCM
Decl. Dirigente
ajustar PT itens 11 e 12 com valores e periodo de execução
Planilha </t>
  </si>
  <si>
    <t>012.00004552/2024-89</t>
  </si>
  <si>
    <t>SEDS-SGC-DA-CCP-DIVFCP</t>
  </si>
  <si>
    <t>SEDS-CAS</t>
  </si>
  <si>
    <t>César</t>
  </si>
  <si>
    <t>11.277.798/0001-30</t>
  </si>
  <si>
    <t>Rua Coronel Américo Batista, 2825</t>
  </si>
  <si>
    <t>José Sampaio Junior</t>
  </si>
  <si>
    <t>14065-210</t>
  </si>
  <si>
    <t>(16) 3021-7364</t>
  </si>
  <si>
    <t>caminhandocomamor@gmail.com
equipecaminhandocomamor@gmail.com</t>
  </si>
  <si>
    <t>Atualizar Oficio
Decl. Dirigente
03 orç + planilha
RH não aceitamos o que enviou
faltou do aluguel do carro
material permanente não veio 3</t>
  </si>
  <si>
    <t>012.00005085/2024-12</t>
  </si>
  <si>
    <t>DRADS Ribeirão preto</t>
  </si>
  <si>
    <t>Apontamentos da prestação de contas enviado para a OSC dia 17.03.2026 prazo até dia 24.03.2026</t>
  </si>
  <si>
    <t>03.557.293/0001-09</t>
  </si>
  <si>
    <t>Rua Américo Brasiliense, 1205, Casa 7</t>
  </si>
  <si>
    <t>14015-050</t>
  </si>
  <si>
    <t xml:space="preserve">(16) 3442-7908 </t>
  </si>
  <si>
    <t>Notificada dia 28.05.2024</t>
  </si>
  <si>
    <t>Os valores do PT (11 e 12) não batem
ajustar periodo de execução 
03 orç. De serviços de Terceiros 
Decl.dirigente máximo
Experiencia Previa (termo)</t>
  </si>
  <si>
    <t>012.00004746/2024-84</t>
  </si>
  <si>
    <r>
      <t xml:space="preserve">Encaminhado para análise da Divisão de Prestação de Contas </t>
    </r>
    <r>
      <rPr>
        <b/>
        <sz val="10"/>
        <color theme="1"/>
        <rFont val="Calibri"/>
        <family val="2"/>
        <scheme val="minor"/>
      </rPr>
      <t>05.02.2026</t>
    </r>
  </si>
  <si>
    <t>45.279.635/0001-08</t>
  </si>
  <si>
    <t xml:space="preserve">Avenida da Saudade, 252 </t>
  </si>
  <si>
    <t>12940-560</t>
  </si>
  <si>
    <t>(11) 4414-0689</t>
  </si>
  <si>
    <t>mbasile@atibaia.sp.gov.br
magalibasile@uol.com.br</t>
  </si>
  <si>
    <t xml:space="preserve">Oficio
doc. Sem assinar
Termo de adesão
Orç. De alguns itens 
planilha </t>
  </si>
  <si>
    <t>Notificação enviada por e-mail dia 16.05.2024 às 17h10</t>
  </si>
  <si>
    <t>012.00004308/2024-16</t>
  </si>
  <si>
    <t>SEDS-SEI</t>
  </si>
  <si>
    <t>Assinatura OSC/PM</t>
  </si>
  <si>
    <t>Sem prestação de Contas - Projeto não executado. Termo aditamento enviado para assinatura dia 19.03.2026</t>
  </si>
  <si>
    <t xml:space="preserve">56.883.838/0001-25 </t>
  </si>
  <si>
    <t xml:space="preserve">Rua Floriano Peixoto, 248 </t>
  </si>
  <si>
    <t xml:space="preserve">14230-000 </t>
  </si>
  <si>
    <t>Serra Azul</t>
  </si>
  <si>
    <t xml:space="preserve">(16)39821460 </t>
  </si>
  <si>
    <t>lsvpserrazul@yahoo.com.br</t>
  </si>
  <si>
    <t>Atualizar Oficio correção n° do protocolo
Decl. Dirigente máximo
Planilha com orçamentos</t>
  </si>
  <si>
    <t>012.00004858/2024-35</t>
  </si>
  <si>
    <t>Renan Paulo Quirino lopes
Drads Ribeirão Preto</t>
  </si>
  <si>
    <t xml:space="preserve">45.139.482/0001-01 </t>
  </si>
  <si>
    <t xml:space="preserve">Avenida Santa Helena, 200 </t>
  </si>
  <si>
    <t xml:space="preserve">15755-000. </t>
  </si>
  <si>
    <t>Turmalina</t>
  </si>
  <si>
    <t xml:space="preserve">(17) 3667-1192 </t>
  </si>
  <si>
    <t>Larissa e-mail enviado dia 07.05.2024
orgaogestor@turmalina.sp.gov.br</t>
  </si>
  <si>
    <t>012.00003848/2024-82</t>
  </si>
  <si>
    <t xml:space="preserve">53.419.016/0002-80    </t>
  </si>
  <si>
    <t>Rua Joaquim Nabuco, 1670</t>
  </si>
  <si>
    <t xml:space="preserve">Vila: Paraíso </t>
  </si>
  <si>
    <t xml:space="preserve">19013-040 </t>
  </si>
  <si>
    <t>Presidente Prudente</t>
  </si>
  <si>
    <t>(18) 3223-2719</t>
  </si>
  <si>
    <t xml:space="preserve">Oficio
Decl. Dirigente
PT execução (12 meses)
PT valor não bate (11 e 12)
3 orç. Planilha ok </t>
  </si>
  <si>
    <t>012.00004357/2024-59</t>
  </si>
  <si>
    <t>64.614.449/0001-22</t>
  </si>
  <si>
    <t xml:space="preserve">Rua Aroeira, 482 </t>
  </si>
  <si>
    <t>Vila das Árvores</t>
  </si>
  <si>
    <t>9822-074</t>
  </si>
  <si>
    <t xml:space="preserve">(18) 33734700 </t>
  </si>
  <si>
    <t>ajustes Oficio, PT, faltou os 3 orçamentos</t>
  </si>
  <si>
    <t>012.00004336/2024-33</t>
  </si>
  <si>
    <t>não consegui contato</t>
  </si>
  <si>
    <t>45.323.474/0001-02</t>
  </si>
  <si>
    <t xml:space="preserve">Rua Dr. Bráüio Andrade, 795 </t>
  </si>
  <si>
    <t xml:space="preserve">14550-000 </t>
  </si>
  <si>
    <t>Aramina</t>
  </si>
  <si>
    <t>(16) 3752-7000</t>
  </si>
  <si>
    <t>Ajustar oficio, planilha e PT eixo</t>
  </si>
  <si>
    <t>Noticação enviada dia 09.05.2024 às 18h05</t>
  </si>
  <si>
    <t>012.00004893/2024-54</t>
  </si>
  <si>
    <t xml:space="preserve">53.324.216/0001-79 </t>
  </si>
  <si>
    <t>: Alameda Cândido Marciano Leite, 88</t>
  </si>
  <si>
    <t>Vila Bethânia</t>
  </si>
  <si>
    <t>12245-486</t>
  </si>
  <si>
    <t>São José dos Campos</t>
  </si>
  <si>
    <t xml:space="preserve">(12) 3925-5200 </t>
  </si>
  <si>
    <t>Noticicado dia 28.05.2024</t>
  </si>
  <si>
    <t xml:space="preserve">Atualizar Oficio
Normas Contabilidade
Decl. TCE
Exp. Prévia
Dirigênte máximo
Falta os 3 orç. 
Planilha 
</t>
  </si>
  <si>
    <t>012.00005134/2024-17</t>
  </si>
  <si>
    <t>Solicitado o aditamento porém precisamos que a OSC regularize a prestação de contas, antes do aditamento. Notificado para correção no sistema 11/03/26</t>
  </si>
  <si>
    <t>70.946.009/001-75</t>
  </si>
  <si>
    <t xml:space="preserve">Rua São Paulo 966 </t>
  </si>
  <si>
    <t>Taboão</t>
  </si>
  <si>
    <t>18135-125</t>
  </si>
  <si>
    <t>São Roque</t>
  </si>
  <si>
    <t>(11) 4712-3741</t>
  </si>
  <si>
    <t>scamargo@saoroque.sp.gov.br
lhsantos@saoroque.sp.gov.br</t>
  </si>
  <si>
    <t>Ajuste PT, Oficio, planilha e anexo do PT</t>
  </si>
  <si>
    <t>Notificação enviada por e-mail 09.05.2024 ás 1657</t>
  </si>
  <si>
    <t>012.00003634/2024-14</t>
  </si>
  <si>
    <t>Liberação do sistema SEI, e orientação da Prestação de Contas. 19/03/26 PM executando Aditamento da vigência.</t>
  </si>
  <si>
    <t>07.568.527/0001-66</t>
  </si>
  <si>
    <t xml:space="preserve">Avenida Paulista, 688 - CJ 119 </t>
  </si>
  <si>
    <t>Bela Vista</t>
  </si>
  <si>
    <t>01310-000</t>
  </si>
  <si>
    <t>(11) 3288-8989</t>
  </si>
  <si>
    <t>ipk@ipk.org.br</t>
  </si>
  <si>
    <t>Notificar 28.05.2024</t>
  </si>
  <si>
    <t>Experiencia previa
Decl. Dirigente máximo
Planilha Orç.</t>
  </si>
  <si>
    <t>012.00004596/2024-17</t>
  </si>
  <si>
    <t>Sec. Educação,</t>
  </si>
  <si>
    <t>Sec. Educação</t>
  </si>
  <si>
    <t>45.1 17.1 16/0001-43</t>
  </si>
  <si>
    <t xml:space="preserve">Rua Dr. Oliveira Neves, 476 </t>
  </si>
  <si>
    <t>15960-000</t>
  </si>
  <si>
    <t>Ariranha</t>
  </si>
  <si>
    <t xml:space="preserve">(17) 3576-9200 </t>
  </si>
  <si>
    <t>secretaria@ariranha.sp.gov.br
comcult@ariranha.sp.gov.br</t>
  </si>
  <si>
    <t>Oficio
Orçamentos
anexo PT
planilha</t>
  </si>
  <si>
    <t>Notificação enviada por e-mail dia 16.05.2024 às 16h32</t>
  </si>
  <si>
    <t>012.00004737/2024-93</t>
  </si>
  <si>
    <t>Notificação enviada 03/03/26</t>
  </si>
  <si>
    <t>00 853.035/0001-07</t>
  </si>
  <si>
    <t>Rua Coronel José Pereira Lima, 1.700</t>
  </si>
  <si>
    <t>Jardim São Domingos</t>
  </si>
  <si>
    <t xml:space="preserve">13730-220 </t>
  </si>
  <si>
    <t>(19) 3656 1842</t>
  </si>
  <si>
    <t>arcoiris01.grupo21@terra.com.br</t>
  </si>
  <si>
    <t>Correção oficio
Faltou CRCE
Faltou anexo PT VII e VIII
Faltou CNEAS
Verificar forma de contratação do RH</t>
  </si>
  <si>
    <t>012.00004990/2024-47</t>
  </si>
  <si>
    <t>Regina Maria Bianchezi de Oliveira</t>
  </si>
  <si>
    <t>Processo encaminhado a Coordenadoria de Convênios e Parcerias</t>
  </si>
  <si>
    <t>31.570.300/0001-30</t>
  </si>
  <si>
    <t>Rua Manuel Rodrigues Santiago, 405</t>
  </si>
  <si>
    <t>Jardim Laura - Itaim Paulista</t>
  </si>
  <si>
    <t>08142-235</t>
  </si>
  <si>
    <t>(11) 94805-2793</t>
  </si>
  <si>
    <t>Notificada por e-mail dia 22.05.2024 às 17h30</t>
  </si>
  <si>
    <t>Verificar relação nominal  se esta completa
Declaração de contra partida está errada
Experiencia prévia
Declaração Dirigente máximo
Certidão Improbidade e Inelegibilidade
03 orçamentos e planilha</t>
  </si>
  <si>
    <t>012.00004994/2024-25</t>
  </si>
  <si>
    <t>12.06.2024</t>
  </si>
  <si>
    <t>Pró-Social 
Declaração de Dirigente Máximo</t>
  </si>
  <si>
    <t>Valores PT não bate (11 e 12)
Periodo de execução
atualizar oficio
Ver comprovante de endereço
Exp. Previa
decl. Dirigente
planilha orç.</t>
  </si>
  <si>
    <t>17.292.719/0001-46</t>
  </si>
  <si>
    <t xml:space="preserve">Rua Padre Anchieta, 1888-40 andar-sala 43 </t>
  </si>
  <si>
    <t>Franca</t>
  </si>
  <si>
    <t>14.400.-740</t>
  </si>
  <si>
    <t>(16) 99180-5563</t>
  </si>
  <si>
    <t>Notificado por e-mail 22.05.2024 às 16h52</t>
  </si>
  <si>
    <t>Atualizar Oficio
anexo PT
Experiencia previa (termo)
Declaração dirgente máximo
03 orç / planilha</t>
  </si>
  <si>
    <t>012.00005024/2024-47</t>
  </si>
  <si>
    <t>Cristina da Silva</t>
  </si>
  <si>
    <r>
      <t xml:space="preserve">Aguardando envio de documentação até 06/11.
Organização não está respondendo aos emails - 
</t>
    </r>
    <r>
      <rPr>
        <b/>
        <sz val="10"/>
        <color theme="1"/>
        <rFont val="Calibri"/>
        <family val="2"/>
        <scheme val="minor"/>
      </rPr>
      <t>Ação:</t>
    </r>
    <r>
      <rPr>
        <sz val="10"/>
        <color theme="1"/>
        <rFont val="Calibri"/>
        <family val="2"/>
        <scheme val="minor"/>
      </rPr>
      <t xml:space="preserve"> Encaminhar para comissão avaliar se podemos desclassificar.</t>
    </r>
  </si>
  <si>
    <t>13.244.646/0001-66</t>
  </si>
  <si>
    <t xml:space="preserve">
Rua Jacofer, 615 -A</t>
  </si>
  <si>
    <t>Jardim Pereira</t>
  </si>
  <si>
    <t>02710-130</t>
  </si>
  <si>
    <t>(11) 99766-1919</t>
  </si>
  <si>
    <t xml:space="preserve">Fazer oficio igual ao modelo
Não contas normas contabilidade 
Relação nominal
Decl. 13019
Decl. TCE
Plano de trabalho o valor não bate e falta os anexo
Experiencia termo e está sem assinatura
Copia RG + declaração
CNJ
Justificativa
03 orç. + planilha </t>
  </si>
  <si>
    <t>012.00005224/2024-08</t>
  </si>
  <si>
    <t>Processo encamimhado Á Coordenadoria de Convênios e Parcerias para analise de Prestação de Contas 04/03/26</t>
  </si>
  <si>
    <t>53.024.337/0001-03</t>
  </si>
  <si>
    <t>Avenida Estrela da Noite, 95-A, 33 e 243</t>
  </si>
  <si>
    <t>Jardim Maia, São Miguel Paulista</t>
  </si>
  <si>
    <t>08180-190</t>
  </si>
  <si>
    <t>(11) 95375-0146</t>
  </si>
  <si>
    <t>Oficio
Experiencia Previa (mandou Termo)
Decl . Dirigente
Planilha com orçamentos
PT plano de aplicação colocar os valor e não X</t>
  </si>
  <si>
    <t>012.00005054/2024-53</t>
  </si>
  <si>
    <t xml:space="preserve">Processo em análise da Eliete </t>
  </si>
  <si>
    <t>08.773.801/0001-00</t>
  </si>
  <si>
    <t>Avenida Nestor Castanheira, 50</t>
  </si>
  <si>
    <t>Vila Discola</t>
  </si>
  <si>
    <t>13.036-100</t>
  </si>
  <si>
    <t xml:space="preserve"> (19) 3112-2500</t>
  </si>
  <si>
    <t>siomara@amorevida.org.br
daniel@amorevida.org.br</t>
  </si>
  <si>
    <t>Eixo no Plano de Trabalho
certidões estão na rede
Decl. Dirigênte 
Exp. Prévia assinada pela OSC
Não precisa de Orçamento</t>
  </si>
  <si>
    <t>012.00004638/2024-10</t>
  </si>
  <si>
    <t xml:space="preserve">Alexandra Maria
DRADS Campinas </t>
  </si>
  <si>
    <t>46.634.218/0001-07</t>
  </si>
  <si>
    <t>Rua Thomaz Martins Parra, 80</t>
  </si>
  <si>
    <t>17570-000</t>
  </si>
  <si>
    <t>Oriente</t>
  </si>
  <si>
    <t>(14) 3466-2043</t>
  </si>
  <si>
    <t>Valor na bate, falta os orçamentosa, anexo sem assinatura, VI rasurado</t>
  </si>
  <si>
    <t>E-mail enviado dia 07.05.2024 às 16h37 
Estela</t>
  </si>
  <si>
    <t>012.00004150/2024-84</t>
  </si>
  <si>
    <t xml:space="preserve"> SEDS-CEI PARCERIAS</t>
  </si>
  <si>
    <t>Fabiana Queiroz de Barros</t>
  </si>
  <si>
    <t>Prestação de contas não analisada e o processo perderá a vigência em 30/06/26. Solicitado que a PM nos encaminhe solicitação de aditamento no inicio do mês de Maio e posterior envio para analise da prestação de contas.</t>
  </si>
  <si>
    <t>26.177.387/0001-40</t>
  </si>
  <si>
    <t>Rua Coutinho e Melo, 377</t>
  </si>
  <si>
    <t xml:space="preserve"> Vila Aurea</t>
  </si>
  <si>
    <t xml:space="preserve"> 08411-090</t>
  </si>
  <si>
    <t>(11)  95588-3223</t>
  </si>
  <si>
    <t>CRCE</t>
  </si>
  <si>
    <t>Notificado por e-mail dia 22.05.2024 às 17h36</t>
  </si>
  <si>
    <t>Atualizar Oficio
Fatou o CRCE
Decl. Dirigente maximo
Justificativa
3 orçamentos e planilha (o que foi enviado não aceitamos )</t>
  </si>
  <si>
    <t>012.00005350/2024-54</t>
  </si>
  <si>
    <t xml:space="preserve">Processo envido para prestação de contas conferir </t>
  </si>
  <si>
    <t>Notificado por e-mail dia 22.05.2024 às 17h19</t>
  </si>
  <si>
    <t>Atualizar E-mail
Comprovante CNPJ
CRCE
Declaração do Tribunal de Contas
Experiencia Previa (assinada pela OSC)
Decl. Dirigente máximo
Certidão Improbidade e Inelegibilidade
CEIS
Justificativa
03 orç. (enviado não aceitamos)</t>
  </si>
  <si>
    <t>60.194.990/0006-82</t>
  </si>
  <si>
    <t xml:space="preserve">Rua Paraguassú, 81 </t>
  </si>
  <si>
    <t>Santana</t>
  </si>
  <si>
    <t>12212-110</t>
  </si>
  <si>
    <t>(12) 99626-6871</t>
  </si>
  <si>
    <t>cassia.ofusa@hpioxii.org.br</t>
  </si>
  <si>
    <t xml:space="preserve">Oficio
Enviar no modelo Decl. TCE (XII)
Experiência Prévia (não pode Termo)
Faltou CND
Justificativa
Planilha Orç. </t>
  </si>
  <si>
    <t>012.00004963/2024-74</t>
  </si>
  <si>
    <t>44.769.356/0001-07</t>
  </si>
  <si>
    <t>Avenida Jacareí , 585</t>
  </si>
  <si>
    <t>Jardim 31 de Março</t>
  </si>
  <si>
    <t>13801-020</t>
  </si>
  <si>
    <t>Mogi Mirim</t>
  </si>
  <si>
    <t>(19) 3862-3497</t>
  </si>
  <si>
    <t>Falta os anexos do plano de trabalho, Experiencia Previa (assinado pelo Presidente) faltou os orçamentos para serviço de terceiro, e podemos enviar as planilhas (roseli)</t>
  </si>
  <si>
    <t>012.00005180/2024-16</t>
  </si>
  <si>
    <t>03.940.443/0001-50</t>
  </si>
  <si>
    <t xml:space="preserve">Rua Soror Maria Celeste, 140 </t>
  </si>
  <si>
    <t xml:space="preserve">Parque São Luis </t>
  </si>
  <si>
    <t xml:space="preserve">02842-070 </t>
  </si>
  <si>
    <t xml:space="preserve">(11) 2691-4987 </t>
  </si>
  <si>
    <t xml:space="preserve">Oficio
Digirente máximo
Exeperiencia previa
Valores não batem 
falta 03 orçamentos de RH
planilha </t>
  </si>
  <si>
    <t>012.00004558/2024-56</t>
  </si>
  <si>
    <t>Notificação enviada com os apontamentos sobre a prestação 09/03/26</t>
  </si>
  <si>
    <t>Noticicado dia 27.05.2024</t>
  </si>
  <si>
    <t>Atualizar Oficio
CRCE
Relação Nominal
Decl. Dirigente
Plano de trabalho com valor % do CEI
Orçamentos e planilha</t>
  </si>
  <si>
    <t>20.219.349/0001-26</t>
  </si>
  <si>
    <t>Rua Pedro Rabelo, 267</t>
  </si>
  <si>
    <t>Jardim Novo Carrão</t>
  </si>
  <si>
    <t>03908-006</t>
  </si>
  <si>
    <t>(11)95588-3223</t>
  </si>
  <si>
    <t xml:space="preserve">Atualizar Oficio
Exp. Previa
Decl. Dirigente
03 orçamentos + planilha </t>
  </si>
  <si>
    <t>012.00004996/2024-14</t>
  </si>
  <si>
    <r>
      <t xml:space="preserve">Projeto </t>
    </r>
    <r>
      <rPr>
        <b/>
        <sz val="10"/>
        <color theme="1"/>
        <rFont val="Calibri"/>
        <family val="2"/>
        <scheme val="minor"/>
      </rPr>
      <t>Desclassificado</t>
    </r>
    <r>
      <rPr>
        <sz val="10"/>
        <color theme="1"/>
        <rFont val="Calibri"/>
        <family val="2"/>
        <scheme val="minor"/>
      </rPr>
      <t>, a OSC não tem experiência Prévia, e-mail enviado dia 25.03.2025</t>
    </r>
  </si>
  <si>
    <t xml:space="preserve">00.958.354/0001-43 </t>
  </si>
  <si>
    <t>Rua dos Pinheiros-105</t>
  </si>
  <si>
    <t xml:space="preserve">Jardim Basilicata </t>
  </si>
  <si>
    <t xml:space="preserve">13173-305 </t>
  </si>
  <si>
    <t xml:space="preserve">(19) 3873-9015 </t>
  </si>
  <si>
    <t>tere.ongaro@shd.org.br
diretoria@shd.org.br</t>
  </si>
  <si>
    <t>Atualizar oficio
Declaração Dirigente
Faltou os orçamentos
Planilha Orçamento</t>
  </si>
  <si>
    <t>012.00004862/2024-01</t>
  </si>
  <si>
    <t>E-mail de solicitação enviado dia 05/02 Prazo de devolutiva: 06/03/2026</t>
  </si>
  <si>
    <t>Provedoria da comunidade Portuguesa de S/P</t>
  </si>
  <si>
    <t>62.662.077/0001-84</t>
  </si>
  <si>
    <t>Avenida Coronel Sezefredo Fagundes, 6170</t>
  </si>
  <si>
    <t>Jardim Tremembé</t>
  </si>
  <si>
    <t>02306-000</t>
  </si>
  <si>
    <t>(11) 2995-5451</t>
  </si>
  <si>
    <t>Atualizar Oficio
anexo PT
Experiencia previa (assinado pela osc)
Declaração dirgente máximo
03 orç / planilha
valor do PT não bate com o valor do projeto</t>
  </si>
  <si>
    <t>012.00004970/2024-76</t>
  </si>
  <si>
    <t>SEDS-CEI-FEI</t>
  </si>
  <si>
    <t>Pagamento</t>
  </si>
  <si>
    <t>Encaminhado para pagamento tendo em vista a liberação do oçamento 2026</t>
  </si>
  <si>
    <t xml:space="preserve"> 43.090.943.0001-65</t>
  </si>
  <si>
    <t xml:space="preserve">Avenida Rui Barbosa, 444 </t>
  </si>
  <si>
    <t>13863-000</t>
  </si>
  <si>
    <t>Aguaí</t>
  </si>
  <si>
    <t xml:space="preserve">(19) 3652- 1335 </t>
  </si>
  <si>
    <t>Oficio
Experiência Prévia
Dirigente máximo
Faltou orçamento de 1 item
planilha</t>
  </si>
  <si>
    <t>012.00005082/2024-71</t>
  </si>
  <si>
    <t>51.855.864/0001-26</t>
  </si>
  <si>
    <t>Rua Voluntários da Pátria, 44</t>
  </si>
  <si>
    <t>15104-040</t>
  </si>
  <si>
    <t>São José do Rio Preto</t>
  </si>
  <si>
    <t xml:space="preserve">(17) 3808-1527 </t>
  </si>
  <si>
    <t>Experiência Prévia
Declaração do Dirigente
Planilha Orçamentos</t>
  </si>
  <si>
    <t>012.00004371/2024-52</t>
  </si>
  <si>
    <t>54.711.239/0001-07</t>
  </si>
  <si>
    <t xml:space="preserve">Avenida Gastão Vidigal ,179 </t>
  </si>
  <si>
    <t>Jardim Matilde</t>
  </si>
  <si>
    <t>19901-010</t>
  </si>
  <si>
    <t>(14) 3335-7115</t>
  </si>
  <si>
    <t>Experiencia previa
Decl. Dirigente máximo
justificativa
FGTS
Forma de contratação do RH (se precisa dos 3 orçamentos)</t>
  </si>
  <si>
    <t>012.00005139/2024-31</t>
  </si>
  <si>
    <t>58.632.282/0001-20</t>
  </si>
  <si>
    <t>Rua Tibúrcio de Souza, 716</t>
  </si>
  <si>
    <t xml:space="preserve"> Itaim Paulista</t>
  </si>
  <si>
    <t>08140-000</t>
  </si>
  <si>
    <t>(11) 98323-0615</t>
  </si>
  <si>
    <t>Notificado por e-mail 22.05.2024 às 17h03</t>
  </si>
  <si>
    <t>Atualizar oficio
Comprovante de endereço
Normas Brasileiras de Contabilidade 
Experiencia Previa (enviou termo)
Decl. Dirigente máximo
03 Orç. E planilhas (o enviado não aceitamos)</t>
  </si>
  <si>
    <t>012.00004999/2024-58</t>
  </si>
  <si>
    <t>Formalização: Instrução Inicial - CFC</t>
  </si>
  <si>
    <t>51 842.292/0001-40</t>
  </si>
  <si>
    <t>Rua Cinco,2065</t>
  </si>
  <si>
    <t>Distrito de Dalas</t>
  </si>
  <si>
    <t>15725-000</t>
  </si>
  <si>
    <t>Palmeira d'Oeste</t>
  </si>
  <si>
    <t>(17) 3651-6129</t>
  </si>
  <si>
    <t xml:space="preserve">lardosidososdedalas@hotmail.com </t>
  </si>
  <si>
    <t>012.00004413/2024-55</t>
  </si>
  <si>
    <t xml:space="preserve">Ana Paula de Almeida
DRADS Fernandopolis </t>
  </si>
  <si>
    <t>60.922.168/0019-05</t>
  </si>
  <si>
    <t xml:space="preserve">Rua Cabo João Teruel Fregoni, 115 </t>
  </si>
  <si>
    <t xml:space="preserve">Ponte Grande </t>
  </si>
  <si>
    <t xml:space="preserve">07032-000 — </t>
  </si>
  <si>
    <t>Guarulhos</t>
  </si>
  <si>
    <t xml:space="preserve">(11) 2422-0017 Ramal: 34 </t>
  </si>
  <si>
    <t>Notificada dia 03.06.2024</t>
  </si>
  <si>
    <t xml:space="preserve">Ajuste Plano de Trabalho, Declaração Dirente, Valores totais não batem, ajuste nos Orçamento e Planilha </t>
  </si>
  <si>
    <t>012.00005166/2024-12</t>
  </si>
  <si>
    <t>Notificação enviada 02/03/2026</t>
  </si>
  <si>
    <t>47.521.323/0001-94</t>
  </si>
  <si>
    <t>Rua José do Patrocínio, 02</t>
  </si>
  <si>
    <t>15850-043</t>
  </si>
  <si>
    <t>Urupês</t>
  </si>
  <si>
    <t>(17)3552-2112
(17) 9 8138-2043</t>
  </si>
  <si>
    <t>Declaração Digerente máximo
Planilha dos Orçamentos</t>
  </si>
  <si>
    <t>012.00004529/2024-94</t>
  </si>
  <si>
    <r>
      <t xml:space="preserve">Processo enviado para regularização de vigência em </t>
    </r>
    <r>
      <rPr>
        <b/>
        <sz val="10"/>
        <color theme="1"/>
        <rFont val="Calibri"/>
        <family val="2"/>
        <scheme val="minor"/>
      </rPr>
      <t>06.02.2026</t>
    </r>
    <r>
      <rPr>
        <sz val="10"/>
        <color theme="1"/>
        <rFont val="Calibri"/>
        <family val="2"/>
        <scheme val="minor"/>
      </rPr>
      <t xml:space="preserve">
Processo paralizado aguardando o recebimento da 2° parcela</t>
    </r>
  </si>
  <si>
    <t xml:space="preserve"> 45.434.925/0001-89</t>
  </si>
  <si>
    <t>Riachuelo, 622</t>
  </si>
  <si>
    <t>18760-039</t>
  </si>
  <si>
    <t>Cerqueira César</t>
  </si>
  <si>
    <t>(14) 998411439</t>
  </si>
  <si>
    <t>Soma do total não bate com o valor do plano de trabalho, experiência previa, declaração dirigente, ajustar o eixo no plano de trabalho</t>
  </si>
  <si>
    <t>012.00004955/2024-28</t>
  </si>
  <si>
    <t>50.387.844/0001-05</t>
  </si>
  <si>
    <t>Esplanada do Lago, 260</t>
  </si>
  <si>
    <t xml:space="preserve">Vila Serra </t>
  </si>
  <si>
    <t>14870-900</t>
  </si>
  <si>
    <t>Jaboticabal</t>
  </si>
  <si>
    <t xml:space="preserve">(25) SZOS 3322 </t>
  </si>
  <si>
    <t xml:space="preserve">Ajustar o Plano de trabalho e os orçamentos </t>
  </si>
  <si>
    <t>Sem contato telefonico e-mail enviado dia 08.05 as 15h22 - resp. Dr. Ronaldo que não estava presente</t>
  </si>
  <si>
    <t>012.00004247/2024-97</t>
  </si>
  <si>
    <r>
      <rPr>
        <sz val="10"/>
        <color rgb="FF000000"/>
        <rFont val="Calibri"/>
        <scheme val="minor"/>
      </rPr>
      <t xml:space="preserve">Sem prestação de Contas
Processo enviado para aditamento de vigência </t>
    </r>
    <r>
      <rPr>
        <b/>
        <sz val="10"/>
        <color rgb="FF000000"/>
        <rFont val="Calibri"/>
        <scheme val="minor"/>
      </rPr>
      <t xml:space="preserve">05.02.2026
Processo aditado até o dia 23.05.2026 - solicitar novo aditamento 30 dias antes do termino da vigência </t>
    </r>
  </si>
  <si>
    <t>33.398.419/0001-O0</t>
  </si>
  <si>
    <t>Rua dos Ingleses, 37</t>
  </si>
  <si>
    <t>01329-000</t>
  </si>
  <si>
    <t xml:space="preserve">(11) 99388-3825 </t>
  </si>
  <si>
    <t>012.00004486/2024-47</t>
  </si>
  <si>
    <t>17.961.032/0001-56</t>
  </si>
  <si>
    <t>Avenida 65, n°150</t>
  </si>
  <si>
    <t>Res. Jockey Club</t>
  </si>
  <si>
    <t>14780-755</t>
  </si>
  <si>
    <t>Barretos</t>
  </si>
  <si>
    <t>(17) 3312-2022</t>
  </si>
  <si>
    <t>Atualizar Oficio
Decl. Dirigênte Máximo
PT os valores não batem a soma
Verificar RH sem orçamentos</t>
  </si>
  <si>
    <t>012.00004735/2024-02</t>
  </si>
  <si>
    <t>08.340.027/0001-35</t>
  </si>
  <si>
    <t>Rua Alfredo Costa, 345</t>
  </si>
  <si>
    <t>Vila Liderança</t>
  </si>
  <si>
    <t>08220-620</t>
  </si>
  <si>
    <t>(11) 96340-2833</t>
  </si>
  <si>
    <t>Notificada por e-mail dia 22.05.2024 às 17h47</t>
  </si>
  <si>
    <t>Atualizar Oficio
Comprovante de endereço
CRCE - declaração
Ato normatização sem assinar
Relação nominal sem assinar
Anexo do PT
Experiencia previs -(assinado pela OSC)
Declaração dirigente máximo
CNEAS
Planilha 3 orç. De RH (igual a dos demais)</t>
  </si>
  <si>
    <t>012.00004290/2024-52</t>
  </si>
  <si>
    <t>SEDS-DA-CCP-DIVFCP</t>
  </si>
  <si>
    <t>46.523.080/0001-60</t>
  </si>
  <si>
    <t>Avenida Liberdade. 250</t>
  </si>
  <si>
    <t>07850-325</t>
  </si>
  <si>
    <t>Franco da Rocha</t>
  </si>
  <si>
    <t>(11) 4800-7493</t>
  </si>
  <si>
    <t>ajuste oficio, planilha anexo do PT</t>
  </si>
  <si>
    <t>Notificação enviada dia 09.05.24 ás 12h24</t>
  </si>
  <si>
    <t>012.00004125/2024-09</t>
  </si>
  <si>
    <t>51.400.000/0001-10</t>
  </si>
  <si>
    <t>Rua Campos Sales, 10</t>
  </si>
  <si>
    <t>(18) 3273-1542</t>
  </si>
  <si>
    <t>Valor esta diferente do plano inicial</t>
  </si>
  <si>
    <t>012.00004985/2024-34</t>
  </si>
  <si>
    <t>Rita Nazareth Sapia Gama Martins</t>
  </si>
  <si>
    <t>Processo encaminhado para Coordenadoria de Convênios e Parceria 03/03/26</t>
  </si>
  <si>
    <t>48.182.422/0001-51</t>
  </si>
  <si>
    <t>Rua José Silvestre, 397</t>
  </si>
  <si>
    <t>Vila Maria</t>
  </si>
  <si>
    <t>13710-000</t>
  </si>
  <si>
    <t>Tambaú</t>
  </si>
  <si>
    <t>(19) 3673-1879</t>
  </si>
  <si>
    <t>012.00004851/2024-13</t>
  </si>
  <si>
    <t>SEDS-SPP-CAR-MOG</t>
  </si>
  <si>
    <t>Financeiro SEDS</t>
  </si>
  <si>
    <t xml:space="preserve">Regina Maria 
DRADS Mogiana </t>
  </si>
  <si>
    <t>Processo enviado para a DRADS fazer a visita técnica e posterior emissão do parecer conclusivo</t>
  </si>
  <si>
    <t>57.264.509/0001-69</t>
  </si>
  <si>
    <t>Rua Acácio Trindade de Melo, 1-02</t>
  </si>
  <si>
    <t>18935-017</t>
  </si>
  <si>
    <t>Espírito Santo do Turvo</t>
  </si>
  <si>
    <t>(14) 3375-9500</t>
  </si>
  <si>
    <t>Oficio e plano os restante tudo OK</t>
  </si>
  <si>
    <t>Notificado por e-mail 09.05.2024 ás 12h31</t>
  </si>
  <si>
    <t>012.00003630/2024-28</t>
  </si>
  <si>
    <t xml:space="preserve">Sec. Esporte e Lazer </t>
  </si>
  <si>
    <t>44.862.407/0001-01</t>
  </si>
  <si>
    <t>Rua Thomaz Matheus, 500</t>
  </si>
  <si>
    <t>Jardim Itapura</t>
  </si>
  <si>
    <t>19035-120</t>
  </si>
  <si>
    <t>(18) 3223-2511</t>
  </si>
  <si>
    <t>Norificado dia 03.06.2024</t>
  </si>
  <si>
    <t>Oficio
Normas da Contabilidade
Dirigente máximo
Faltou CCM
Faltou Improbidade
Faltou Justificativa
Planilha verificar contratação RH</t>
  </si>
  <si>
    <t>012.00005135/2024-53</t>
  </si>
  <si>
    <t>Formalização: Instrução Inicial - CEI</t>
  </si>
  <si>
    <t>Prazo até dia 18.12.2024
sem retorno da OSC - e-mail avisando da desclassficação do projeto 
10.01.2025</t>
  </si>
  <si>
    <t>18.579.891/0001-48</t>
  </si>
  <si>
    <t>Rua Azevedo Marques, 45</t>
  </si>
  <si>
    <t>Santa Cecília</t>
  </si>
  <si>
    <t>01230-030</t>
  </si>
  <si>
    <t>(11) 3666-7047</t>
  </si>
  <si>
    <t>Verificar se o estatuto está completo (parou na pag. 9)
Decl. TCE
Decl. Dirigente 
03 orçamentos e planilhas</t>
  </si>
  <si>
    <t>012.00004297/2024-74</t>
  </si>
  <si>
    <t>44.780.609/0001-04</t>
  </si>
  <si>
    <t>Rua 28, 450</t>
  </si>
  <si>
    <t>14780-110</t>
  </si>
  <si>
    <t>(17) 3612-2000</t>
  </si>
  <si>
    <t xml:space="preserve">Tudo ok ajustar Oficio e planilha </t>
  </si>
  <si>
    <t>E-mail enviado dia 08.05 às 13h05</t>
  </si>
  <si>
    <t>012.00003617/2024-79</t>
  </si>
  <si>
    <t>11.861.086/0013-05</t>
  </si>
  <si>
    <t>Rua Serra de jairé, 316</t>
  </si>
  <si>
    <t>Belenzinho</t>
  </si>
  <si>
    <t>03175-010</t>
  </si>
  <si>
    <t>(11) 3291-4433</t>
  </si>
  <si>
    <t>projetos@sefras.org.br</t>
  </si>
  <si>
    <t>012.00005216/2024-53</t>
  </si>
  <si>
    <t>Encaminhado a Coordenadoria de convênios e Parceria</t>
  </si>
  <si>
    <t>centroedefraim@gmail.com</t>
  </si>
  <si>
    <t>Pró-Social
CNEAS 
CRCE</t>
  </si>
  <si>
    <t>Várias correções e plano diferente do original, falta os anexo</t>
  </si>
  <si>
    <t>Associação de Assistencia á Criança Deficiente - AACD</t>
  </si>
  <si>
    <t>60.979.457/0001-11</t>
  </si>
  <si>
    <t>Avenida Prof. Ascedino Reis, 724</t>
  </si>
  <si>
    <t>Vila Clementino</t>
  </si>
  <si>
    <t>04027-000</t>
  </si>
  <si>
    <t>(11) 5576-0769</t>
  </si>
  <si>
    <t>Declaração Digerente máximo
Ata venceu (nova já esta na rede)
Experiênciza prévia assinada pela OSC e Termo
Orçamento apresentado 1 apenas
Planilha dos Orçamentos</t>
  </si>
  <si>
    <t>012.00005163/2024-71</t>
  </si>
  <si>
    <t>Processo encaminhado para Coordenadoria de Convênios e Parceria, para analise da Prestação de Contas  03/03/26</t>
  </si>
  <si>
    <t>47.641.907/0001-01</t>
  </si>
  <si>
    <t>Avenida Nações unidas, 53-40</t>
  </si>
  <si>
    <t>Núcleo Presidente Geisel</t>
  </si>
  <si>
    <t>17033-260</t>
  </si>
  <si>
    <t>Bauru</t>
  </si>
  <si>
    <t>(14) 4009-1125</t>
  </si>
  <si>
    <t>Tudo OK - só faltou decl. Dirigênte Máximo</t>
  </si>
  <si>
    <t>012.00004291/2024-05</t>
  </si>
  <si>
    <t>Notificaçao enviada 20/03/26</t>
  </si>
  <si>
    <t>46.137.469/0001-78</t>
  </si>
  <si>
    <t>Rua Joaquim dos Santos Camponês, 661</t>
  </si>
  <si>
    <t>17480-000</t>
  </si>
  <si>
    <t>Cabrália Paulista</t>
  </si>
  <si>
    <t>(14) 3285-1244</t>
  </si>
  <si>
    <t>gabinete@cabralia.sp.gov.br
esportecultura@cabralia.sp.gov.br</t>
  </si>
  <si>
    <t>Mudar Oficio, ajustar plano com execução de 10 meses e o Eixo de atuação</t>
  </si>
  <si>
    <t>Notificação enviada para o Mauro por e-mail e tratado ao telefone tbm no dia 08.05 às 15h44</t>
  </si>
  <si>
    <t>012.00003969/2024-24</t>
  </si>
  <si>
    <t>Após analise da prestação, enviado orientações para PM 19/03/26</t>
  </si>
  <si>
    <t>46.522.967/0001-34</t>
  </si>
  <si>
    <t>Rua Miguel Prisco, 288</t>
  </si>
  <si>
    <t>09400-110</t>
  </si>
  <si>
    <t>Ribeirão Pires</t>
  </si>
  <si>
    <t>(11) 4828-9800</t>
  </si>
  <si>
    <t>cmiribeiraopires@gmail.com
negroadilson@gmail.com
gp@ribeiraopires.sp.gov.br</t>
  </si>
  <si>
    <t xml:space="preserve">Falta os 03 orçamentos </t>
  </si>
  <si>
    <t>Contato realizado com Adilson dia 08.05</t>
  </si>
  <si>
    <t>012.00004152/2024-73</t>
  </si>
  <si>
    <t xml:space="preserve">Termo de aditamento assinado - 09/01/2026.  Notificação enviada 03/03/26
Analisar - Prestação de Contas (processo com vigência)
</t>
  </si>
  <si>
    <t>52.316.544/0001-60</t>
  </si>
  <si>
    <t xml:space="preserve">Rua Sinharinha Frota, 30 </t>
  </si>
  <si>
    <t>15990-838</t>
  </si>
  <si>
    <t>Matão</t>
  </si>
  <si>
    <t>(16) 98125-3829</t>
  </si>
  <si>
    <t>Notificado dia 21.05.2024 (nova listagem)</t>
  </si>
  <si>
    <t>012.00005215/2024-17</t>
  </si>
  <si>
    <t xml:space="preserve">DRADS Araraquara </t>
  </si>
  <si>
    <t>Projeto finalizado encaminhado para a Divisão de Prestação de Contas</t>
  </si>
  <si>
    <t>51.870.772/001-15</t>
  </si>
  <si>
    <t>Rua Benedito Cunha Campos, 299</t>
  </si>
  <si>
    <t>Jardim Nazareth</t>
  </si>
  <si>
    <t>13806-610</t>
  </si>
  <si>
    <t>(19) 3806-5053</t>
  </si>
  <si>
    <t>saofranciscomm@gmail.com</t>
  </si>
  <si>
    <t>012.00005240/2024-92</t>
  </si>
  <si>
    <t>DRADS MOGIANA</t>
  </si>
  <si>
    <r>
      <t xml:space="preserve">Processo executado até dezembro
processo enviado para análise da prestação de contas /aditamento dia </t>
    </r>
    <r>
      <rPr>
        <b/>
        <sz val="10"/>
        <color theme="1"/>
        <rFont val="Calibri"/>
        <family val="2"/>
        <scheme val="minor"/>
      </rPr>
      <t>09.02.2026</t>
    </r>
  </si>
  <si>
    <t>72.938.905/0001-18</t>
  </si>
  <si>
    <t>Rua São João, 1247</t>
  </si>
  <si>
    <t>(17) 3392-1294</t>
  </si>
  <si>
    <t>012.00005241/2024-37</t>
  </si>
  <si>
    <t>Notificação enviada 13/02/2026</t>
  </si>
  <si>
    <t>54.139.860/0001-30</t>
  </si>
  <si>
    <t>Rua Barão de Monte Santos, 1910</t>
  </si>
  <si>
    <t>13730-230</t>
  </si>
  <si>
    <t>(19) 97168-2354</t>
  </si>
  <si>
    <t>012.00005218/2024-42</t>
  </si>
  <si>
    <t>Declinou do Projeto E-mail dia 
18.12.2024</t>
  </si>
  <si>
    <t>46.947.396/0001-80</t>
  </si>
  <si>
    <t>Rua Domingos Simões Marques, 1345</t>
  </si>
  <si>
    <t>15690-000</t>
  </si>
  <si>
    <t>Indiaporã</t>
  </si>
  <si>
    <t>(17) 3842-1232</t>
  </si>
  <si>
    <t>municipio@indiapora.sp.gov.br
aderitocfs68@gmail.com</t>
  </si>
  <si>
    <t>Falta os 03 Orçamentos 20.06.2024</t>
  </si>
  <si>
    <t>012.00004896/2024-98</t>
  </si>
  <si>
    <t>06.06.2024</t>
  </si>
  <si>
    <t>55.356.653/0001-08</t>
  </si>
  <si>
    <t>Avenida Antonio Joaquim Mano, 02</t>
  </si>
  <si>
    <t>19275-0000</t>
  </si>
  <si>
    <t>Euclides da Cunha Paulista</t>
  </si>
  <si>
    <t>(18) 99808-3451</t>
  </si>
  <si>
    <t>prefeitura@euclidesdacunha.sp.gov.br
assistenciasocial@euclidesdacunha.sp.gov.br</t>
  </si>
  <si>
    <t>012.00004692/2024-57</t>
  </si>
  <si>
    <t xml:space="preserve">SEDS-SGC-DA-CCP-DIVPC	</t>
  </si>
  <si>
    <t>Processo enviado para análise da prestação de contas e aditamento para finalizar a execução 
Notificada a PM para ajuste na prestação de contas, documentos encaminhados em atendimento aos apontamentos</t>
  </si>
  <si>
    <t>05.234.275/0001-03</t>
  </si>
  <si>
    <t>Rua Felisberto do Rego, 115</t>
  </si>
  <si>
    <t>Jardim Ponte Rasa</t>
  </si>
  <si>
    <t>17380-000</t>
  </si>
  <si>
    <t>(11) 94018-8748</t>
  </si>
  <si>
    <t>institutosementinhaamanhecer.inst@gmail.com
sementinhaamanhecer.inst@gmail.com</t>
  </si>
  <si>
    <t>Notificado dia 30.07.2024 (2° listagem)</t>
  </si>
  <si>
    <t xml:space="preserve">Sem retorno da OSC
Desclassificado </t>
  </si>
  <si>
    <t>45.681.913/0001-59</t>
  </si>
  <si>
    <t>Rua Prestes Maia, 200</t>
  </si>
  <si>
    <t>Ernane Murad</t>
  </si>
  <si>
    <t>19405-068</t>
  </si>
  <si>
    <t>Presidente Venceslau</t>
  </si>
  <si>
    <t>(18) 3271-2143</t>
  </si>
  <si>
    <t>012.00000306/2025-39</t>
  </si>
  <si>
    <t>50.513.324/0001-00</t>
  </si>
  <si>
    <t>Rua Francisco Arduim, 364</t>
  </si>
  <si>
    <t>Jardim Jóia</t>
  </si>
  <si>
    <t>(16) 3358-1822</t>
  </si>
  <si>
    <t>012.00000409/2025-07</t>
  </si>
  <si>
    <t xml:space="preserve">E-mail desclassificação dia 14.04.2025
OBRA </t>
  </si>
  <si>
    <t>44.719.615/0001-48</t>
  </si>
  <si>
    <t>Avenida Pedro Saturnino de Oliveira, 456</t>
  </si>
  <si>
    <t>São Crispim</t>
  </si>
  <si>
    <t>Brotas</t>
  </si>
  <si>
    <t>(14) 3653-1405</t>
  </si>
  <si>
    <t>coordenacao@vilavicentinabrotas.com.br</t>
  </si>
  <si>
    <t>012.00000207/2025-57</t>
  </si>
  <si>
    <t>Luciana Cristina Vitti</t>
  </si>
  <si>
    <t>Processo encaminhado para análise da prestação de conta - aquisição. 02/03/26</t>
  </si>
  <si>
    <t>45.291.010/0001-61</t>
  </si>
  <si>
    <t>Rua 13 de maio, 1154</t>
  </si>
  <si>
    <t>14770-000</t>
  </si>
  <si>
    <t>Colina</t>
  </si>
  <si>
    <t>(17) 3341-1133</t>
  </si>
  <si>
    <t>012.00000416/2025-09</t>
  </si>
  <si>
    <t>Despachado a Coordenação de convênios e parceria, após análise. 26/02</t>
  </si>
  <si>
    <t>Assinatura Presidente</t>
  </si>
  <si>
    <t>Assinatura Secretaria</t>
  </si>
  <si>
    <t>Formalização: Instrução Inicial - DFCP</t>
  </si>
  <si>
    <t>Parecer Jurídico</t>
  </si>
  <si>
    <t>Pagamento 1° Parcela</t>
  </si>
  <si>
    <t>Publicação DO</t>
  </si>
  <si>
    <t>Rótulos de Linha</t>
  </si>
  <si>
    <t>Soma de SOMA</t>
  </si>
  <si>
    <t>Total Geral</t>
  </si>
  <si>
    <t>Atualizar Oficio
anexo PT
Experiencia previa (assinado pela osc)
Declaração dirgente máximo
03 orç / planilha
valor do PT naçao bate com o valor do projeto</t>
  </si>
  <si>
    <t>União Brasileira Israelita do Bem Estar Social</t>
  </si>
  <si>
    <t>APROVADOS PARA RECEBER RECURSOS DO FEI</t>
  </si>
  <si>
    <t>APROVADO COM CARTA DE CAPTAÇÃO</t>
  </si>
  <si>
    <t/>
  </si>
  <si>
    <t>APROVADO PARA CAPTAÇÃO</t>
  </si>
  <si>
    <t xml:space="preserve">DESCLAFISSICADO SEM PONTUAÇÃO MINÍMA </t>
  </si>
  <si>
    <t>REPROVADO</t>
  </si>
  <si>
    <t>REPROVADOS</t>
  </si>
  <si>
    <r>
      <rPr>
        <b/>
        <sz val="16"/>
        <color theme="1"/>
        <rFont val="Calibri"/>
        <family val="2"/>
        <scheme val="minor"/>
      </rPr>
      <t>CONSELHO ESTADUAL DO IDOSO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Rua Boa Vista, 170-  CEP 01204-001 - São Paulo-SP
Fone 11-2763-8122/2763-8035
cei@sp.gov.br</t>
    </r>
    <r>
      <rPr>
        <sz val="11"/>
        <color theme="1"/>
        <rFont val="Calibri"/>
        <family val="2"/>
        <scheme val="minor"/>
      </rPr>
      <t xml:space="preserve">
</t>
    </r>
  </si>
  <si>
    <t>N° CAC</t>
  </si>
  <si>
    <t xml:space="preserve">CUSTEIO </t>
  </si>
  <si>
    <t>Valor 20% do FUNDO</t>
  </si>
  <si>
    <t>Valor Captado</t>
  </si>
  <si>
    <t xml:space="preserve">Valor Faltante </t>
  </si>
  <si>
    <t>N° de Beneficiario</t>
  </si>
  <si>
    <t>0001</t>
  </si>
  <si>
    <t xml:space="preserve">Classificado para Captação </t>
  </si>
  <si>
    <t xml:space="preserve">Prestação de Contas  </t>
  </si>
  <si>
    <t>0002</t>
  </si>
  <si>
    <t>0003</t>
  </si>
  <si>
    <t>0004</t>
  </si>
  <si>
    <t>Associação de Apoio ao Paciente Renal Cronico e Transplantado - Carim</t>
  </si>
  <si>
    <t>0005</t>
  </si>
  <si>
    <t>012.00003735/2025-68</t>
  </si>
  <si>
    <t>Sueli Leite da Silva - DRADS Vale do Paraíba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</si>
  <si>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</si>
  <si>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</si>
  <si>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</si>
  <si>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</si>
  <si>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</si>
  <si>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</si>
  <si>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</si>
  <si>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</si>
  <si>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</si>
  <si>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Bem Estar na Melhor Idade - Reforma do Abrigo Lar de Jesus</t>
  </si>
  <si>
    <t>0015</t>
  </si>
  <si>
    <t>0016</t>
  </si>
  <si>
    <t>0017</t>
  </si>
  <si>
    <t>0018</t>
  </si>
  <si>
    <t>Associação Anhumas Quero-Quero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</si>
  <si>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</si>
  <si>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</si>
  <si>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</si>
  <si>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</si>
  <si>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</si>
  <si>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</si>
  <si>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</si>
  <si>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</si>
  <si>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</si>
  <si>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</si>
  <si>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</si>
  <si>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012.00003532/2025-71</t>
  </si>
  <si>
    <t>0030</t>
  </si>
  <si>
    <t>0031</t>
  </si>
  <si>
    <t>0032</t>
  </si>
  <si>
    <t>0033</t>
  </si>
  <si>
    <t>0034</t>
  </si>
  <si>
    <t>0035</t>
  </si>
  <si>
    <t>0036</t>
  </si>
  <si>
    <t>ASSOCIAÇÃO SOCIAL COMUNIDADE DE AMOR</t>
  </si>
  <si>
    <t>012.00003088/2025-94</t>
  </si>
  <si>
    <t>Notificação enviada 11.03.26</t>
  </si>
  <si>
    <t>0037</t>
  </si>
  <si>
    <t>0038</t>
  </si>
  <si>
    <t>coalsocial@gmail.com</t>
  </si>
  <si>
    <t>0039</t>
  </si>
  <si>
    <t>0040</t>
  </si>
  <si>
    <t>0041</t>
  </si>
  <si>
    <t>012.00003097/2025-85</t>
  </si>
  <si>
    <t xml:space="preserve">Daniele da Silva Ribeiro </t>
  </si>
  <si>
    <t>Processo enviado para pagamento 18.03.2026</t>
  </si>
  <si>
    <t>0042</t>
  </si>
  <si>
    <t>0043</t>
  </si>
  <si>
    <t>0044</t>
  </si>
  <si>
    <t>012.00007432/2025-14</t>
  </si>
  <si>
    <t xml:space="preserve">Falta apenas 1 documentos os demais já estão no processo </t>
  </si>
  <si>
    <t>0045</t>
  </si>
  <si>
    <t>0046</t>
  </si>
  <si>
    <t>0047</t>
  </si>
  <si>
    <t>0048</t>
  </si>
  <si>
    <t>0049</t>
  </si>
  <si>
    <t>0050</t>
  </si>
  <si>
    <t>progen@progen.org.br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</si>
  <si>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</si>
  <si>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</si>
  <si>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</si>
  <si>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</si>
  <si>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</si>
  <si>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</si>
  <si>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</si>
  <si>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</si>
  <si>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</si>
  <si>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</si>
  <si>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 xml:space="preserve">Casa Cattani- Instituto Brasileiro de Assistencia,Apoio, Huminização e Desenvolvimento Social </t>
  </si>
  <si>
    <t>012.00003225/2026-71</t>
  </si>
  <si>
    <t>0061</t>
  </si>
  <si>
    <t>0062</t>
  </si>
  <si>
    <t>0063</t>
  </si>
  <si>
    <t>0064</t>
  </si>
  <si>
    <t>0065</t>
  </si>
  <si>
    <t>0066</t>
  </si>
  <si>
    <t>012.00001287/2025-68</t>
  </si>
  <si>
    <t>Execução 2° parcela</t>
  </si>
  <si>
    <t xml:space="preserve">maio à agosto </t>
  </si>
  <si>
    <t>Complemento da 1º parcela: 07/10/2025.
Enviado para análise da Mayara e depois para a Dani</t>
  </si>
  <si>
    <t>0067</t>
  </si>
  <si>
    <t>012.00001292/2025-71</t>
  </si>
  <si>
    <t>Janeiro à abril de 2025</t>
  </si>
  <si>
    <t>Complemento da 1º parcela: 24/11/2025.
Enviado para análise da Mayara e depois para a Dani</t>
  </si>
  <si>
    <t>0068</t>
  </si>
  <si>
    <t>012.00001301/2025-23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</si>
  <si>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</si>
  <si>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</si>
  <si>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</si>
  <si>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</si>
  <si>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</si>
  <si>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</si>
  <si>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</si>
  <si>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</si>
  <si>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</si>
  <si>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</si>
  <si>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</si>
  <si>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</si>
  <si>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</si>
  <si>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012.00005473/2025-76</t>
  </si>
  <si>
    <t>SCEIC-CG</t>
  </si>
  <si>
    <t>0082</t>
  </si>
  <si>
    <t>0083</t>
  </si>
  <si>
    <t>0084</t>
  </si>
  <si>
    <t>0085</t>
  </si>
  <si>
    <t>0086</t>
  </si>
  <si>
    <t>0087</t>
  </si>
  <si>
    <t>0088</t>
  </si>
  <si>
    <t>sabedoria Financeira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</si>
  <si>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</si>
  <si>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</si>
  <si>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</si>
  <si>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</si>
  <si>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</si>
  <si>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</si>
  <si>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</si>
  <si>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</si>
  <si>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</si>
  <si>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 xml:space="preserve">Eliane </t>
  </si>
  <si>
    <t>eliane.silva@laramara.org.br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</si>
  <si>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</si>
  <si>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</si>
  <si>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</si>
  <si>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</si>
  <si>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</si>
  <si>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</si>
  <si>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</si>
  <si>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</si>
  <si>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</si>
  <si>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</si>
  <si>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</si>
  <si>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</si>
  <si>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</si>
  <si>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</si>
  <si>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</si>
  <si>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</si>
  <si>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</si>
  <si>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</si>
  <si>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</si>
  <si>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</si>
  <si>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</si>
  <si>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</si>
  <si>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</si>
  <si>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</si>
  <si>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</si>
  <si>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</si>
  <si>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</si>
  <si>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</si>
  <si>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Associação Beneficiente e Cultura B'nai B'rith de São Paulo</t>
  </si>
  <si>
    <t>012.00007900/2025-51</t>
  </si>
  <si>
    <t xml:space="preserve">Encaminhado para Coordenadoria de Convênios 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</si>
  <si>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</si>
  <si>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</si>
  <si>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</si>
  <si>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</si>
  <si>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</si>
  <si>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</si>
  <si>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</si>
  <si>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</si>
  <si>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</si>
  <si>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</si>
  <si>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</si>
  <si>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</si>
  <si>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</si>
  <si>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</si>
  <si>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</si>
  <si>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</si>
  <si>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</si>
  <si>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01200005519/2024-76</t>
  </si>
  <si>
    <t>0143</t>
  </si>
  <si>
    <t>0144</t>
  </si>
  <si>
    <t>0145</t>
  </si>
  <si>
    <t>0146</t>
  </si>
  <si>
    <t>0147</t>
  </si>
  <si>
    <t>0149</t>
  </si>
  <si>
    <t>0150</t>
  </si>
  <si>
    <t>0151</t>
  </si>
  <si>
    <t>0152</t>
  </si>
  <si>
    <t>0153</t>
  </si>
  <si>
    <t>Falta os documentos da assitência social, prazo até dia 13.03.2026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</si>
  <si>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</si>
  <si>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</si>
  <si>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</si>
  <si>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</si>
  <si>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</si>
  <si>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</si>
  <si>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</si>
  <si>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</si>
  <si>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</si>
  <si>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</si>
  <si>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</si>
  <si>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</si>
  <si>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</si>
  <si>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</si>
  <si>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</si>
  <si>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</si>
  <si>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</si>
  <si>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</si>
  <si>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</si>
  <si>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</si>
  <si>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</si>
  <si>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</si>
  <si>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</si>
  <si>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</si>
  <si>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</si>
  <si>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</si>
  <si>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</si>
  <si>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</si>
  <si>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</si>
  <si>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</si>
  <si>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</si>
  <si>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012.00002457/2026-11</t>
  </si>
  <si>
    <t>Enviada as orientações para inicio do processo, aguardando envio das documentações.</t>
  </si>
  <si>
    <t>Processo enviado para a Dina</t>
  </si>
  <si>
    <t>0185</t>
  </si>
  <si>
    <t>0186</t>
  </si>
  <si>
    <t>0187</t>
  </si>
  <si>
    <t>0188</t>
  </si>
  <si>
    <t>0189</t>
  </si>
  <si>
    <t>012.00003038/2025-15</t>
  </si>
  <si>
    <t xml:space="preserve">Parecer Técnico </t>
  </si>
  <si>
    <t>0190</t>
  </si>
  <si>
    <t>0191</t>
  </si>
  <si>
    <t>0192</t>
  </si>
  <si>
    <t>0193</t>
  </si>
  <si>
    <t>012.00005193/2025-68</t>
  </si>
  <si>
    <t>Devolvemos a pedido da Juliana Menezes</t>
  </si>
  <si>
    <t>0194</t>
  </si>
  <si>
    <t>0195</t>
  </si>
  <si>
    <t>012.00005980/2025-18</t>
  </si>
  <si>
    <t>SEDS-SGC-DA-CBSTI-DIVPO</t>
  </si>
  <si>
    <t>Enviado para analise da Comissão de Projetos.
Prazo: 21/01/2026</t>
  </si>
  <si>
    <t>0196</t>
  </si>
  <si>
    <t>012.00006210/2025-84</t>
  </si>
  <si>
    <t>Ariadna Soares Pereira</t>
  </si>
  <si>
    <t>Termo não enviado p/ OSC.
Aguardando Orçamento de 2026 para pagamento</t>
  </si>
  <si>
    <t>Termo enviado para pagamento 10.02.2026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</si>
  <si>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</si>
  <si>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</si>
  <si>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</si>
  <si>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</si>
  <si>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</si>
  <si>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</si>
  <si>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</si>
  <si>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</si>
  <si>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</si>
  <si>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012.00003221/2026-93</t>
  </si>
  <si>
    <t>0206</t>
  </si>
  <si>
    <t>0207</t>
  </si>
  <si>
    <t>0208</t>
  </si>
  <si>
    <t>0209</t>
  </si>
  <si>
    <t>012.00007372/2025-30</t>
  </si>
  <si>
    <t xml:space="preserve">SEDS-SPP-CAR-CAP-SSA	</t>
  </si>
  <si>
    <t>0210</t>
  </si>
  <si>
    <t>012.00007373/2025-84</t>
  </si>
  <si>
    <t>SEDS-SPP-CAR-CAP</t>
  </si>
  <si>
    <t>0211</t>
  </si>
  <si>
    <t>0212</t>
  </si>
  <si>
    <t>0213</t>
  </si>
  <si>
    <t>012.00006105/2025-45</t>
  </si>
  <si>
    <t>0214</t>
  </si>
  <si>
    <t>0215</t>
  </si>
  <si>
    <t>larescolafcx@outlook.com.br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</si>
  <si>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</si>
  <si>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</si>
  <si>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</si>
  <si>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</si>
  <si>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</si>
  <si>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</si>
  <si>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</si>
  <si>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</si>
  <si>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</si>
  <si>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</si>
  <si>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</si>
  <si>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</si>
  <si>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</si>
  <si>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</si>
  <si>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</si>
  <si>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</si>
  <si>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</si>
  <si>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</si>
  <si>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</si>
  <si>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</si>
  <si>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Conectando Gerações</t>
  </si>
  <si>
    <t>012.00003033/2025-84</t>
  </si>
  <si>
    <t xml:space="preserve">	SEDS-SGC-DA-CCP-DIVFCP</t>
  </si>
  <si>
    <t>Aguardando apenas 1 documento o restante já está no processo</t>
  </si>
  <si>
    <t>0236</t>
  </si>
  <si>
    <t>associacaosonhareviver@gmail.com</t>
  </si>
  <si>
    <t>0237</t>
  </si>
  <si>
    <t>vlademir75@gmail.com
clarabeljesus@gmail.com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</si>
  <si>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</si>
  <si>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</si>
  <si>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</si>
  <si>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</si>
  <si>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</si>
  <si>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</si>
  <si>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</si>
  <si>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</si>
  <si>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</si>
  <si>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</si>
  <si>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</si>
  <si>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</si>
  <si>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Centro de Convivência Cultural Esportivo e de Lazer Vivendo Plenamente I</t>
  </si>
  <si>
    <t>0250</t>
  </si>
  <si>
    <t>0251</t>
  </si>
  <si>
    <t>0252</t>
  </si>
  <si>
    <t>0253</t>
  </si>
  <si>
    <t>Centro de Convivência Cultura Esportivo e de Lazer para Pessoa Idosa Novo Encontro Dourado II</t>
  </si>
  <si>
    <t>0254</t>
  </si>
  <si>
    <t>0255</t>
  </si>
  <si>
    <t>0256</t>
  </si>
  <si>
    <t>ara.longevidade@outlook.com
consult.hosp.saude@gmail.com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</si>
  <si>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</si>
  <si>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</si>
  <si>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</si>
  <si>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</si>
  <si>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</si>
  <si>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</si>
  <si>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</si>
  <si>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</si>
  <si>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</si>
  <si>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</si>
  <si>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</si>
  <si>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</si>
  <si>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Eixo IV - Trabalho e Previdência Social</t>
  </si>
  <si>
    <t>OSC notificada dia 04.02.2026 lista de documentos para
convêniamento até 27.02.2026</t>
  </si>
  <si>
    <t>0269</t>
  </si>
  <si>
    <t>0270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</si>
</sst>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44" fontId="9" fillId="5" borderId="1" xfId="2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4" fontId="9" fillId="0" borderId="1" xfId="2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44" fontId="9" fillId="0" borderId="1" xfId="2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wrapText="1"/>
    </xf>
    <xf numFmtId="0" fontId="0" fillId="0" borderId="1" xfId="0" applyBorder="1"/>
    <xf numFmtId="0" fontId="11" fillId="0" borderId="1" xfId="3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3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/>
    </xf>
    <xf numFmtId="0" fontId="3" fillId="0" borderId="1" xfId="3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9" fillId="4" borderId="1" xfId="0" applyFont="1" applyFill="1" applyBorder="1" applyAlignment="1">
      <alignment horizontal="left" vertical="center"/>
    </xf>
    <xf numFmtId="44" fontId="4" fillId="0" borderId="1" xfId="2" applyFont="1" applyBorder="1" applyAlignment="1">
      <alignment horizontal="left" wrapText="1"/>
    </xf>
    <xf numFmtId="0" fontId="4" fillId="0" borderId="1" xfId="0" applyFont="1" applyBorder="1" applyAlignment="1">
      <alignment horizontal="left" vertical="top"/>
    </xf>
    <xf numFmtId="0" fontId="11" fillId="0" borderId="1" xfId="3" applyFont="1" applyBorder="1" applyAlignment="1">
      <alignment horizontal="left"/>
    </xf>
    <xf numFmtId="0" fontId="3" fillId="0" borderId="1" xfId="3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44" fontId="4" fillId="0" borderId="1" xfId="2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2" fillId="5" borderId="1" xfId="3" applyFont="1" applyFill="1" applyBorder="1" applyAlignment="1">
      <alignment horizontal="left" vertical="center" wrapText="1"/>
    </xf>
    <xf numFmtId="44" fontId="4" fillId="0" borderId="1" xfId="2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44" fontId="4" fillId="0" borderId="1" xfId="2" applyFont="1" applyBorder="1" applyAlignment="1">
      <alignment horizontal="left" vertical="center" wrapText="1"/>
    </xf>
    <xf numFmtId="0" fontId="3" fillId="0" borderId="1" xfId="3" applyBorder="1" applyAlignment="1">
      <alignment horizontal="left"/>
    </xf>
    <xf numFmtId="0" fontId="11" fillId="0" borderId="1" xfId="3" applyFont="1" applyBorder="1" applyAlignment="1">
      <alignment horizontal="left" wrapText="1"/>
    </xf>
    <xf numFmtId="0" fontId="3" fillId="5" borderId="1" xfId="3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3" fillId="0" borderId="1" xfId="3" applyBorder="1" applyAlignment="1">
      <alignment horizontal="left" wrapText="1"/>
    </xf>
    <xf numFmtId="0" fontId="0" fillId="0" borderId="1" xfId="0" applyBorder="1" applyAlignment="1">
      <alignment vertical="center"/>
    </xf>
    <xf numFmtId="44" fontId="4" fillId="0" borderId="1" xfId="2" applyFont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2" fillId="0" borderId="1" xfId="3" applyFont="1" applyFill="1" applyBorder="1" applyAlignment="1">
      <alignment horizontal="left" vertical="center" wrapText="1"/>
    </xf>
    <xf numFmtId="0" fontId="3" fillId="0" borderId="1" xfId="3" applyFill="1" applyBorder="1" applyAlignment="1">
      <alignment horizontal="left" vertical="center" wrapText="1"/>
    </xf>
    <xf numFmtId="0" fontId="0" fillId="4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9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3" applyBorder="1" applyAlignment="1">
      <alignment horizontal="left" vertical="center" wrapText="1"/>
    </xf>
    <xf numFmtId="0" fontId="11" fillId="0" borderId="1" xfId="3" applyFont="1" applyBorder="1" applyAlignment="1">
      <alignment horizontal="left" vertical="center"/>
    </xf>
    <xf numFmtId="0" fontId="3" fillId="0" borderId="1" xfId="3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left" vertical="center"/>
    </xf>
    <xf numFmtId="44" fontId="4" fillId="0" borderId="1" xfId="2" applyFont="1" applyFill="1" applyBorder="1" applyAlignment="1">
      <alignment horizontal="left" vertical="center"/>
    </xf>
    <xf numFmtId="0" fontId="11" fillId="0" borderId="1" xfId="3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4" fontId="9" fillId="0" borderId="0" xfId="2" applyFont="1" applyFill="1" applyBorder="1" applyAlignment="1">
      <alignment horizontal="left" vertical="center" wrapText="1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quotePrefix="1"/>
    <xf numFmtId="0" fontId="5" fillId="0" borderId="0" xfId="0" applyFont="1"/>
    <xf numFmtId="0" fontId="2" fillId="3" borderId="2" xfId="0" applyFont="1" applyFill="1" applyBorder="1" applyAlignment="1">
      <alignment horizontal="center" vertical="center" wrapText="1"/>
    </xf>
    <xf numFmtId="44" fontId="9" fillId="10" borderId="1" xfId="2" applyFont="1" applyFill="1" applyBorder="1" applyAlignment="1">
      <alignment horizontal="left" vertical="center" wrapText="1"/>
    </xf>
    <xf numFmtId="44" fontId="4" fillId="10" borderId="1" xfId="2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44" fontId="4" fillId="7" borderId="1" xfId="2" applyFont="1" applyFill="1" applyBorder="1" applyAlignment="1">
      <alignment horizontal="left" vertical="center" wrapText="1"/>
    </xf>
    <xf numFmtId="0" fontId="3" fillId="7" borderId="1" xfId="3" applyFill="1" applyBorder="1" applyAlignment="1">
      <alignment horizontal="left" vertical="center"/>
    </xf>
    <xf numFmtId="14" fontId="4" fillId="7" borderId="1" xfId="0" applyNumberFormat="1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" fontId="4" fillId="7" borderId="1" xfId="0" applyNumberFormat="1" applyFont="1" applyFill="1" applyBorder="1" applyAlignment="1">
      <alignment horizontal="left" vertical="center"/>
    </xf>
    <xf numFmtId="44" fontId="9" fillId="7" borderId="1" xfId="2" applyFont="1" applyFill="1" applyBorder="1" applyAlignment="1">
      <alignment horizontal="left" vertical="center" wrapText="1"/>
    </xf>
    <xf numFmtId="0" fontId="3" fillId="7" borderId="1" xfId="3" applyFill="1" applyBorder="1" applyAlignment="1">
      <alignment horizontal="left" vertical="center" wrapText="1"/>
    </xf>
    <xf numFmtId="14" fontId="9" fillId="7" borderId="1" xfId="0" applyNumberFormat="1" applyFont="1" applyFill="1" applyBorder="1" applyAlignment="1">
      <alignment horizontal="left" vertical="center" wrapText="1"/>
    </xf>
    <xf numFmtId="44" fontId="0" fillId="0" borderId="0" xfId="2" applyFont="1"/>
    <xf numFmtId="44" fontId="0" fillId="0" borderId="0" xfId="0" applyNumberFormat="1"/>
    <xf numFmtId="0" fontId="9" fillId="11" borderId="1" xfId="0" applyFont="1" applyFill="1" applyBorder="1" applyAlignment="1">
      <alignment horizontal="left" vertical="center" wrapText="1"/>
    </xf>
    <xf numFmtId="0" fontId="3" fillId="0" borderId="1" xfId="3" applyBorder="1" applyAlignment="1">
      <alignment wrapText="1"/>
    </xf>
    <xf numFmtId="49" fontId="9" fillId="0" borderId="1" xfId="0" applyNumberFormat="1" applyFont="1" applyBorder="1" applyAlignment="1">
      <alignment horizontal="left" vertical="center" wrapText="1"/>
    </xf>
    <xf numFmtId="49" fontId="16" fillId="13" borderId="1" xfId="5" applyNumberFormat="1" applyBorder="1" applyAlignment="1">
      <alignment horizontal="left" vertical="center" wrapText="1"/>
    </xf>
    <xf numFmtId="49" fontId="15" fillId="12" borderId="1" xfId="4" applyNumberFormat="1" applyBorder="1" applyAlignment="1">
      <alignment horizontal="left" vertical="center" wrapText="1"/>
    </xf>
    <xf numFmtId="44" fontId="9" fillId="14" borderId="1" xfId="2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49" fontId="15" fillId="14" borderId="1" xfId="4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4" fillId="0" borderId="1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/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2" applyNumberFormat="1" applyFont="1" applyFill="1" applyBorder="1" applyAlignment="1">
      <alignment horizontal="center" vertical="center" wrapText="1"/>
    </xf>
    <xf numFmtId="0" fontId="9" fillId="0" borderId="1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/>
    </xf>
    <xf numFmtId="0" fontId="9" fillId="10" borderId="1" xfId="2" applyNumberFormat="1" applyFont="1" applyFill="1" applyBorder="1" applyAlignment="1">
      <alignment horizontal="center" vertical="center" wrapText="1"/>
    </xf>
    <xf numFmtId="0" fontId="4" fillId="10" borderId="1" xfId="2" applyNumberFormat="1" applyFont="1" applyFill="1" applyBorder="1" applyAlignment="1">
      <alignment horizontal="center" vertical="center" wrapText="1"/>
    </xf>
    <xf numFmtId="0" fontId="9" fillId="14" borderId="1" xfId="2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44" fontId="19" fillId="5" borderId="1" xfId="2" applyFont="1" applyFill="1" applyBorder="1" applyAlignment="1">
      <alignment horizontal="left" vertical="center" wrapText="1"/>
    </xf>
    <xf numFmtId="44" fontId="0" fillId="0" borderId="0" xfId="2" applyFont="1" applyFill="1"/>
    <xf numFmtId="0" fontId="9" fillId="5" borderId="0" xfId="0" applyFont="1" applyFill="1" applyAlignment="1">
      <alignment horizontal="left" vertical="center" wrapText="1"/>
    </xf>
    <xf numFmtId="44" fontId="9" fillId="14" borderId="0" xfId="2" applyFont="1" applyFill="1" applyBorder="1" applyAlignment="1">
      <alignment horizontal="left" vertical="center" wrapText="1"/>
    </xf>
    <xf numFmtId="0" fontId="9" fillId="14" borderId="0" xfId="2" applyNumberFormat="1" applyFont="1" applyFill="1" applyBorder="1" applyAlignment="1">
      <alignment horizontal="center" vertical="center" wrapText="1"/>
    </xf>
    <xf numFmtId="0" fontId="3" fillId="0" borderId="0" xfId="3" applyFill="1" applyBorder="1" applyAlignment="1">
      <alignment horizontal="left" vertical="center"/>
    </xf>
    <xf numFmtId="14" fontId="9" fillId="0" borderId="0" xfId="0" applyNumberFormat="1" applyFont="1" applyAlignment="1">
      <alignment horizontal="left" vertical="center" wrapText="1"/>
    </xf>
    <xf numFmtId="1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9" fontId="2" fillId="3" borderId="1" xfId="6" applyFont="1" applyFill="1" applyBorder="1" applyAlignment="1">
      <alignment horizontal="center" vertical="center" wrapText="1"/>
    </xf>
    <xf numFmtId="9" fontId="0" fillId="0" borderId="0" xfId="6" applyFont="1" applyBorder="1" applyAlignment="1">
      <alignment horizontal="center"/>
    </xf>
    <xf numFmtId="9" fontId="9" fillId="5" borderId="1" xfId="6" applyFont="1" applyFill="1" applyBorder="1" applyAlignment="1">
      <alignment horizontal="center" vertical="center" wrapText="1"/>
    </xf>
    <xf numFmtId="9" fontId="0" fillId="0" borderId="0" xfId="6" applyFont="1" applyAlignment="1">
      <alignment horizontal="center"/>
    </xf>
    <xf numFmtId="44" fontId="0" fillId="0" borderId="1" xfId="2" applyFont="1" applyBorder="1" applyAlignment="1">
      <alignment horizontal="left" vertical="center"/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44" fontId="0" fillId="0" borderId="0" xfId="2" applyFont="1" applyBorder="1"/>
    <xf numFmtId="44" fontId="9" fillId="5" borderId="0" xfId="2" applyFont="1" applyFill="1" applyBorder="1" applyAlignment="1">
      <alignment horizontal="left" vertical="center" wrapText="1"/>
    </xf>
    <xf numFmtId="9" fontId="9" fillId="3" borderId="1" xfId="6" applyFont="1" applyFill="1" applyBorder="1" applyAlignment="1">
      <alignment horizontal="center" vertical="center" wrapText="1"/>
    </xf>
    <xf numFmtId="9" fontId="9" fillId="0" borderId="1" xfId="6" applyFont="1" applyFill="1" applyBorder="1" applyAlignment="1">
      <alignment horizontal="center" vertical="center" wrapText="1"/>
    </xf>
    <xf numFmtId="0" fontId="9" fillId="5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9" fillId="5" borderId="1" xfId="0" applyNumberFormat="1" applyFont="1" applyFill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4" fontId="19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9" fillId="5" borderId="1" xfId="2" applyNumberFormat="1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14" fontId="9" fillId="8" borderId="1" xfId="0" applyNumberFormat="1" applyFont="1" applyFill="1" applyBorder="1" applyAlignment="1">
      <alignment horizontal="left" vertical="center" wrapText="1"/>
    </xf>
    <xf numFmtId="0" fontId="4" fillId="8" borderId="1" xfId="0" quotePrefix="1" applyFont="1" applyFill="1" applyBorder="1" applyAlignment="1">
      <alignment horizontal="center" vertical="center"/>
    </xf>
    <xf numFmtId="44" fontId="9" fillId="5" borderId="1" xfId="2" applyFont="1" applyFill="1" applyBorder="1" applyAlignment="1">
      <alignment vertical="center" wrapText="1"/>
    </xf>
    <xf numFmtId="44" fontId="4" fillId="8" borderId="1" xfId="2" applyFont="1" applyFill="1" applyBorder="1" applyAlignment="1">
      <alignment horizontal="left" vertical="center" wrapText="1"/>
    </xf>
    <xf numFmtId="0" fontId="0" fillId="16" borderId="0" xfId="0" applyFill="1" applyAlignment="1">
      <alignment horizontal="left" vertical="center" wrapText="1"/>
    </xf>
    <xf numFmtId="0" fontId="9" fillId="0" borderId="1" xfId="2" applyNumberFormat="1" applyFont="1" applyBorder="1" applyAlignment="1">
      <alignment horizontal="center" vertical="center" wrapText="1"/>
    </xf>
    <xf numFmtId="44" fontId="4" fillId="3" borderId="1" xfId="2" applyFont="1" applyFill="1" applyBorder="1" applyAlignment="1">
      <alignment horizontal="left" vertical="center" wrapText="1"/>
    </xf>
    <xf numFmtId="44" fontId="9" fillId="3" borderId="1" xfId="2" applyFont="1" applyFill="1" applyBorder="1" applyAlignment="1">
      <alignment horizontal="left" vertical="center" wrapText="1"/>
    </xf>
    <xf numFmtId="44" fontId="4" fillId="3" borderId="1" xfId="2" applyFont="1" applyFill="1" applyBorder="1" applyAlignment="1">
      <alignment horizontal="left" vertical="center"/>
    </xf>
    <xf numFmtId="44" fontId="9" fillId="8" borderId="1" xfId="2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8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4" fillId="3" borderId="1" xfId="0" applyFont="1" applyFill="1" applyBorder="1" applyAlignment="1">
      <alignment wrapText="1"/>
    </xf>
    <xf numFmtId="0" fontId="20" fillId="7" borderId="1" xfId="0" applyFont="1" applyFill="1" applyBorder="1" applyAlignment="1">
      <alignment horizontal="left" vertical="center" wrapText="1"/>
    </xf>
    <xf numFmtId="164" fontId="0" fillId="0" borderId="0" xfId="0" applyNumberFormat="1"/>
    <xf numFmtId="0" fontId="20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9" fontId="0" fillId="0" borderId="2" xfId="6" applyFont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14" fontId="0" fillId="0" borderId="8" xfId="0" applyNumberFormat="1" applyFill="1" applyBorder="1" applyAlignment="1">
      <alignment horizontal="center" vertical="center"/>
    </xf>
    <xf numFmtId="0" fontId="18" fillId="0" borderId="1" xfId="0" quotePrefix="1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7">
    <cellStyle name="Hiperlink" xfId="3" builtinId="8"/>
    <cellStyle name="Moeda" xfId="2" builtinId="4"/>
    <cellStyle name="Neutro" xfId="5" builtinId="28"/>
    <cellStyle name="Normal" xfId="0" builtinId="0"/>
    <cellStyle name="Porcentagem" xfId="6" builtinId="5"/>
    <cellStyle name="Ruim" xfId="4" builtinId="27"/>
    <cellStyle name="Vírgula" xfId="1" builtinId="3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104775</xdr:rowOff>
    </xdr:from>
    <xdr:to>
      <xdr:col>4</xdr:col>
      <xdr:colOff>885825</xdr:colOff>
      <xdr:row>1</xdr:row>
      <xdr:rowOff>1000125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522767F0-9BD7-490F-A095-7424A1BC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295275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104775</xdr:rowOff>
    </xdr:from>
    <xdr:to>
      <xdr:col>4</xdr:col>
      <xdr:colOff>885825</xdr:colOff>
      <xdr:row>1</xdr:row>
      <xdr:rowOff>1000125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06E8CEDA-4220-4131-87AA-A7FA51FC5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295275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104775</xdr:rowOff>
    </xdr:from>
    <xdr:to>
      <xdr:col>4</xdr:col>
      <xdr:colOff>885825</xdr:colOff>
      <xdr:row>1</xdr:row>
      <xdr:rowOff>1000125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5D21C574-6389-43B8-83CA-DF40C8B8A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295275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104775</xdr:rowOff>
    </xdr:from>
    <xdr:to>
      <xdr:col>4</xdr:col>
      <xdr:colOff>885825</xdr:colOff>
      <xdr:row>1</xdr:row>
      <xdr:rowOff>1000125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9CFCD88E-1599-4D20-B400-A790E5C0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295275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152400</xdr:rowOff>
    </xdr:from>
    <xdr:to>
      <xdr:col>2</xdr:col>
      <xdr:colOff>809625</xdr:colOff>
      <xdr:row>1</xdr:row>
      <xdr:rowOff>1047750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39D02B58-DDFC-41E6-93D2-CCFCBED81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429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</xdr:row>
      <xdr:rowOff>66675</xdr:rowOff>
    </xdr:from>
    <xdr:to>
      <xdr:col>3</xdr:col>
      <xdr:colOff>28575</xdr:colOff>
      <xdr:row>1</xdr:row>
      <xdr:rowOff>962025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CAAA5C2E-FFD0-424E-8CB0-E7337D7A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57175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76200</xdr:rowOff>
    </xdr:from>
    <xdr:to>
      <xdr:col>2</xdr:col>
      <xdr:colOff>971550</xdr:colOff>
      <xdr:row>1</xdr:row>
      <xdr:rowOff>971550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379F5FDD-E042-4761-BF67-DAE3D20F0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667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76200</xdr:rowOff>
    </xdr:from>
    <xdr:to>
      <xdr:col>2</xdr:col>
      <xdr:colOff>971550</xdr:colOff>
      <xdr:row>1</xdr:row>
      <xdr:rowOff>971550</xdr:rowOff>
    </xdr:to>
    <xdr:pic>
      <xdr:nvPicPr>
        <xdr:cNvPr id="2" name="Imagem 1" descr="AF_Logo Conselho do Idoso">
          <a:extLst>
            <a:ext uri="{FF2B5EF4-FFF2-40B4-BE49-F238E27FC236}">
              <a16:creationId xmlns:a16="http://schemas.microsoft.com/office/drawing/2014/main" id="{8AACFBEB-DDBC-47F1-990D-E46CDB75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66700"/>
          <a:ext cx="8858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5B507F70-D2E8-4F60-9623-C864CE88C332}">
    <nsvFilter filterId="{5CB7BE02-05DF-4986-BDC6-8448B937303D}" ref="A4:XFD112" tableId="0">
      <columnFilter colId="23">
        <filter colId="23">
          <x:filters>
            <x:filter val="Classificado"/>
            <x:filter val="Pré-Classificado"/>
          </x:filters>
        </filter>
      </columnFilter>
      <columnFilter colId="42">
        <filter colId="42">
          <x:filters>
            <x:filter val="APROVADO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PAULA DE SOUSA" refreshedDate="45511.459629282406" createdVersion="6" refreshedVersion="6" minRefreshableVersion="3" recordCount="107" xr:uid="{DDD4E8B0-6964-4C31-8107-FC917B943976}">
  <cacheSource type="worksheet">
    <worksheetSource ref="C5:T112" sheet="Aprovados Recursos do Fundo"/>
  </cacheSource>
  <cacheFields count="9">
    <cacheField name="Protocolo" numFmtId="0">
      <sharedItems/>
    </cacheField>
    <cacheField name="OSC/Prefeitura" numFmtId="0">
      <sharedItems count="2">
        <s v="Prefeitura"/>
        <s v="Organização "/>
      </sharedItems>
    </cacheField>
    <cacheField name="NOME DO PROPONENTE" numFmtId="0">
      <sharedItems count="107">
        <s v="Municipal de Ourinhos"/>
        <s v="Municipal de Orindiúva"/>
        <s v="Municipal de Bady Bassitt"/>
        <s v="Lar dos Velhinhos DR. Adolpho Barreto"/>
        <s v="Lar Vicentino de Itapeva"/>
        <s v="Municipal de Taiaçu"/>
        <s v="Municipal de Itapura"/>
        <s v="Municipal de Manduri "/>
        <s v="Municipal de Monte Azul Paulista"/>
        <s v="Municipal de Tabatinga"/>
        <s v="Sociedade São Vicente de Paula de Andradina"/>
        <s v="Municipal de Americana"/>
        <s v="Lar Vicentino"/>
        <s v="Abrigo São Lourenço de Jaú"/>
        <s v="Lar dos Velhinhos de Souza Spinola"/>
        <s v="Municipal Julio Mesquita "/>
        <s v="Municipal de Sorocaba"/>
        <s v="Asilo São Vicente de Paulo"/>
        <s v="Centro Promocional &quot;Nossa Senhora da Visitação&quot;"/>
        <s v="Municipal de Altinópolis"/>
        <s v="Mater Dei Cam - Casa de Apoio a Menina"/>
        <s v="Municipal Álvares Machado"/>
        <s v="Municipio de São Bernado do Campo"/>
        <s v="Assistência Social Santo Antônio"/>
        <s v="Sociedade Beneficiente de Amparo a Velhice de Macatuba"/>
        <s v="Lar Vicentino de Caçapava"/>
        <s v="Municipal de Santa Adélia"/>
        <s v="Municipal de Tejupá"/>
        <s v="Vila Vicentina de Cachoeira Paulista"/>
        <s v="Instituto Divina Luz"/>
        <s v="Municipal Taboão da Serra "/>
        <s v="Municipal de Mogi Guaçu"/>
        <s v="Municipal de Piraju"/>
        <s v="Associação de Pais e Amigos dos Excepcionais de Campinas - APAE "/>
        <s v="Municipal de Boraceia "/>
        <s v="Lar dos Velhinhos Santo Antônio de Juquiá  LVSA"/>
        <s v="Lar São Vicente de Paulo "/>
        <s v="Instituto Potencial - Projetos Sociais"/>
        <s v="Municipal de Sertãozinho"/>
        <s v="Centro de Convivencia Para Idoso- CCI Saber Viver "/>
        <s v="Lar São Vicente de Paulo de Piracaia "/>
        <s v="Instituto de Desenvolvimento Social Caminhando com Amor"/>
        <s v="Fundação Observatório do livro e da leitura"/>
        <s v="Municipal da Estancia de Atibaia"/>
        <s v="Lar São Vicente de Paulo"/>
        <s v="Municipal Turmalina"/>
        <s v="Congregação das Irmãzinhas dos Anciãos Desamparados "/>
        <s v="Municipal de Tarumã"/>
        <s v="Irmandade Boituva de Saúde e Educação"/>
        <s v="Municipal de Aramina"/>
        <s v="Associação dos Pioneiros e Veterenanos do Embraer"/>
        <s v="Municipal São Roque"/>
        <s v="Instituto Paulo Kobayashi"/>
        <s v="Municipal de Ariranha"/>
        <s v="Grupo Arco Íris"/>
        <s v="Instituto Didi Santana"/>
        <s v="Instituto Viver Bem "/>
        <s v="Associação Star Clube Esporte e Lazer"/>
        <s v="Vila Social "/>
        <s v="Centro Beneficiente de Assistêncial Social"/>
        <s v="Casa de Amparo Amor e Vida a pessoas com Câncer - CAVIPEC"/>
        <s v="Municipal de Oriente"/>
        <s v="Associação São Francisco de Assis"/>
        <s v="Associação Cuidar e Educar"/>
        <s v="Obra de Ação Social Pio XII"/>
        <s v="Associação de Pais e Amigos dos Excepcionais de Mogi Mirim"/>
        <s v="Instituto Rosa dos Ventos"/>
        <s v="Acolher Instituto de Desenvolvimento Humano e Organizacional"/>
        <s v="Associação Beneficente Luz de Um Novo Mundo"/>
        <s v="Sociedade Humana Despertar"/>
        <s v="Provedoria da comunidade Portuguesa de S/P"/>
        <s v="Comunidade São Vicente de Paulo"/>
        <s v="Associação da Caridade Santa Rita de Cássia"/>
        <s v="AOBE_ Associação Ourinhense de Bem Estar"/>
        <s v="Associação Beneficente Luz da Sabedoria"/>
        <s v="Irmandade Padre Emanoel "/>
        <s v="Associação Congregação de Santa Catarina "/>
        <s v="Lar São Vicente de Paulo- Obra Unida da Sociedade de São Vicente de Paulo"/>
        <s v="Lar São Vicente de Paulo de Cerqueira César "/>
        <s v="Municipal de Jaboticabal"/>
        <s v="Instituto Bixiga"/>
        <s v="Instituto o Amor"/>
        <s v="Associação Benficente Unidos do Jardim Soares"/>
        <s v="Municipal de Franco da Rocha"/>
        <s v="Associação Lar dos Idosos de Alvares Machado"/>
        <s v="Lar São Vicente Obra Padre Donizetti"/>
        <s v="Municipal de Espírito Santo do Turvo "/>
        <s v="Associação Filantropica de Proteção aos Cegos"/>
        <s v="Associação Cultural Ory"/>
        <s v="Municipal de Barretos"/>
        <s v="Associação Franciscana de Solidariedade"/>
        <s v="Centro Educacional Efraim "/>
        <s v="Associação de Assistencia á Criança Deficiente - AACD"/>
        <s v="Sorri Bauru"/>
        <s v="Municipal de Cabrália Paulista"/>
        <s v="Municipal da Estancia Turistica de Ribeirão Pires"/>
        <s v="Assistencia Vicentina do Senhor Jesus"/>
        <s v="Lar São Francisco de Assis de Mogi Mirim"/>
        <s v="Lar Central N S Aparecida Obra Unida A S S V de Paulo"/>
        <s v="Associação Cristã Francisco de Assis"/>
        <s v="Municipal de Indiaporã"/>
        <s v="Municipal de Euclides da Cunha"/>
        <s v="Instituto Sementinha do Amanhecer "/>
        <s v="Abrigo Esperança"/>
        <s v="Asilo de Velhos José "/>
        <s v="Vila Vicentina em Brotas"/>
        <s v="Asilo São José - Obra Unida à Sociedade São Vicente de Paulo"/>
      </sharedItems>
    </cacheField>
    <cacheField name="NOME DO PROJETO" numFmtId="0">
      <sharedItems longText="1"/>
    </cacheField>
    <cacheField name="EIXO" numFmtId="0">
      <sharedItems containsBlank="1"/>
    </cacheField>
    <cacheField name="VALOR TOTAL DO PROJETO " numFmtId="44">
      <sharedItems containsSemiMixedTypes="0" containsString="0" containsNumber="1" minValue="10000" maxValue="1884000"/>
    </cacheField>
    <cacheField name="MUNICÍPIO" numFmtId="0">
      <sharedItems/>
    </cacheField>
    <cacheField name="DRADS" numFmtId="0">
      <sharedItems containsBlank="1" count="24">
        <s v="DRADS AVARÉ"/>
        <s v="DRADS: SÃO JOSÉ DO RIO PRETO"/>
        <s v="DRADS MOGIANA EM SÃO JOÃO DA BOA VISTA"/>
        <s v="DRADS ITAPEVA"/>
        <s v="DRADS BARRETOS"/>
        <s v="DRADS ALTA NOROESTE EM ARAÇATUBA"/>
        <s v="DRADS ARARAQUARA"/>
        <s v="DRADS CAMPINAS"/>
        <s v="DRADS BAURU"/>
        <s v="DRADS SÃO JOSÉ DO RIO PRETO"/>
        <s v="DRADS MARÍLIA"/>
        <s v="DRADS SOROCABA"/>
        <s v="DRADS VALE DO PARAÍBA EM SÃO JOSÉ DOS CAMPOS"/>
        <s v="DRADS RIBEIRÃO PRETO"/>
        <s v="DRADS ALTA SOROCABANA EM PRESIDENTE PRUDENTE"/>
        <s v="DRADS ABC EM SANTO ANDRÉ"/>
        <s v="DRADS SPO EM OSASCO"/>
        <s v="DRADS VALE DO RIBEIRA EM REGISTRO"/>
        <s v="DRADS CAPITAL EM SÃO PAULO"/>
        <s v="DRADS FERNANDÓPOLIS"/>
        <s v="DRADS FRANCA"/>
        <s v="DRADS SPN EM GUARULHOS"/>
        <s v="DRADS PIRACICABA"/>
        <m u="1"/>
      </sharedItems>
    </cacheField>
    <cacheField name="SOM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PAULA DE SOUSA" refreshedDate="45511.459629398145" createdVersion="6" refreshedVersion="6" minRefreshableVersion="3" recordCount="330" xr:uid="{7E1CC444-C652-4FF9-95BA-A4291A405D3E}">
  <cacheSource type="worksheet">
    <worksheetSource ref="C4:V333" sheet="Aprovados CAC"/>
  </cacheSource>
  <cacheFields count="14">
    <cacheField name="Protocolo" numFmtId="0">
      <sharedItems/>
    </cacheField>
    <cacheField name="N° CAC" numFmtId="0">
      <sharedItems containsBlank="1" longText="1"/>
    </cacheField>
    <cacheField name="OSC/Prefeitura" numFmtId="0">
      <sharedItems/>
    </cacheField>
    <cacheField name="NOME DO PROPONENTE" numFmtId="0">
      <sharedItems count="254">
        <s v="Associação São Joaquim de Apoio à Maturidade "/>
        <s v="Municipal de Palmeira D'Oeste "/>
        <s v="Santa Casa de Misericordia de Presidente Prudente "/>
        <s v="Associação Santo Agostinho -ASA"/>
        <s v="Associação de Apoio ao Paciente Renal Cronico e Transplantado - Carim"/>
        <s v="Lar Fraterno da Acácia "/>
        <s v="Obra Social e Assistencial São Lucas "/>
        <s v="Lar dos Velhinhos Papa João XXIII"/>
        <s v="ACBNIBRA Associação Cultural, Beneficiente e Esportiva Nipo Brasileiro de Jacupiranga "/>
        <s v="União Espírita Cachoerense"/>
        <s v="Obra Unida Lar São Vicente de Paulo de Guariba"/>
        <s v="Municipal  de Regente Feijó"/>
        <s v="Lar São Vicente de Paulo"/>
        <s v="Municipal de São Jose do Rio Preto"/>
        <s v="Abrigo Lar de Jesus "/>
        <s v="Associação Congregação de Santa Catarina "/>
        <s v="Lar São Vicente de Paulo de Taquarituba"/>
        <s v="Asilo João kuhl Filho"/>
        <s v="Municipal de Votuporanga "/>
        <s v="Associação Anhumas Quero-Quero"/>
        <s v="Lar dos Velhinhos Santo Antônio de Juquiá  LVSA"/>
        <s v="Lar Fraterno São Vicente de Apiaí "/>
        <s v="Municipal de Apiaí"/>
        <s v="Sociedade Espirita Cinco de Setembro "/>
        <s v="Lar dos Velhos da Igreja presbiteriana de Ribeirão Preto"/>
        <s v="Circulo de Trabalhadores Cristoes de Vila Tibério"/>
        <s v="Associação Assistencial Maria de Nazaré"/>
        <s v="Abrigo de Idosos Recanto do Vovô de Presidente Epitácio-SP"/>
        <s v="Associação de pais e Amigos dos Excepicinais de São Paulo (Jô Clemente)"/>
        <s v="Movimento Organizacional Vencer, Educar e Realizar - MOVER HELIPA"/>
        <s v="Sociedade São Vicentede Paulo Nossa Senhora das Dores"/>
        <s v="Municipal de Descalvado"/>
        <s v="Centro Espírita Cristão (CEC)- Lar de Amparo a Velhice de Barra Bonita/SP"/>
        <s v="Associação Social Comunidade de Amor"/>
        <s v="Casa do Vovô Feliz"/>
        <s v="Municipal de Cassia dos Coqueiros"/>
        <s v="Casa de Oração Amor  Luz "/>
        <s v="Lar dos Velhinhos São Vicente de Paulo"/>
        <s v="Lar São Francisco de Assis Asilo"/>
        <s v="Municipal D'Oeste"/>
        <s v="Associação Centros Etievan"/>
        <s v="Serviço de Obras Sociais de Tambáu-S.O.S"/>
        <s v="Associação Franciscana de Solidariedade"/>
        <s v="Vila Vicentina em Brotas"/>
        <s v="Instituto Acorde"/>
        <s v="Associação Cultural Artistica Cine favela"/>
        <s v="Grupo de Apoio dona Benedita "/>
        <s v="Lar dos Velhinhos da Sociedade São Vicente de Paulo"/>
        <s v="Municipal Santa Cruz da Esperança "/>
        <s v="Projeto Gente Nova "/>
        <s v="Associação Comunidade em Ação êxodo"/>
        <s v="Caritas Diocesana de Bauru "/>
        <s v="Associação Bauruense de Apoio e Assistência ao Renal Crônico - ABREC"/>
        <s v="Rede do Câncer de Lençois Paulista"/>
        <s v="Municipal Capela do Alto/SP"/>
        <s v="Instituto Brasileiro de Desenvolvimento Social e Humano"/>
        <s v="Vila Vicentina AraraquaraObra Unida á Sociedade de São Vicente de Paulo"/>
        <s v="Comunidade Impacto "/>
        <s v="Casa Cattani- Instituto Brasileiro de Assistencia,Apoio, Huminização e Desenvolvimento Social "/>
        <s v="Municipal de Birigui "/>
        <s v="Abrigo Vó Tereza "/>
        <s v="ADEBI Agencia de Desenvolvimento Economico e Social de Birigui"/>
        <s v="Lar da Terceira Idade da Assistencia Vicentina "/>
        <s v="Instituto Olga Kos de Inclusão Cultural"/>
        <s v="Cruzadas das Senhoras Catolicas - Dispensario Santo Antonio"/>
        <s v="Sociedade Beneficiente Rosalia de Castro"/>
        <s v="Abrigo da Velhice São Vicente de Paulo"/>
        <s v="Vila Vicentina de Caraguatatuba"/>
        <s v="Associação Lar São Francisco de Assis "/>
        <s v="Municipal de Caraguatatuba/SP"/>
        <s v="Municipal de Ourinhos"/>
        <s v="Centro de Recreação Infantil Amar mais, Muito Mais"/>
        <s v="Lar São Vicente de Paulo de Marília"/>
        <s v="Municipal de Mira Estrela"/>
        <s v="Associação Brasileira pelo Direito ao Brincar e á Cultura - IPA "/>
        <s v="Municipal de Francisco Morato/SP"/>
        <s v="Instituto Jack's Children"/>
        <s v="Instituto Brasileiro Arte Terapia e Felicidade"/>
        <s v="Associação de Amparo ao Idoso"/>
        <s v="Municipal de Taubaté"/>
        <s v="Lar Irmã Terezinha"/>
        <s v="Agencia Adventista de Desenvolvimento e Recursos Assistenciais Central Brasileira"/>
        <s v="Fundação São Paulo"/>
        <s v="Instituto Córtex "/>
        <s v="Casade Convivencia DR&quot;.Mariano Dias&quot;"/>
        <s v="Centro Educacional Rebouças - CER"/>
        <s v="Municipal de Piraju"/>
        <s v="Asilo São Vicente de Paulo de Piraju"/>
        <s v="Lar São Vicente de Paulo de Fartura"/>
        <s v="Casa Pia São Vicente de Paulo"/>
        <s v="Vila São Vicente de Paulo"/>
        <s v="Municipal de Paraíso"/>
        <s v="Lar dos Velhinhos de Mirasol - Fundação Candido Brasil Estrela "/>
        <s v="Vila Vicentina Mirassol"/>
        <s v="Laramara Associação Brasileira de Apoio á Pessoa com Deficiência Visual"/>
        <s v="Municipal de Mendonça"/>
        <s v="Lar São Vicente de Paulo de Tatuí"/>
        <s v="Associação de Pais e Amigos dos Excepcionais de São Caetano do Sul - APAE"/>
        <s v="Associação Brasiliera de Porteção ao Individuo - ABRAPI"/>
        <s v="Associação de Assistência São Vicente de Paulo (Vila São Vicente)"/>
        <s v="Associação e Oficina de Caridade Santa Rita de Cássia"/>
        <s v="ADES - Agência De Desenvolvimento Econômico Social"/>
        <s v="Centro Social Santa Rita de Cássia"/>
        <s v="Municipal Presidente Prudente"/>
        <s v="Vila da Fraternidade Ana Jacinta - Associação de Atenção ao Idoso"/>
        <s v="Associação de Assistência ao Deficiente Físico - AADF"/>
        <s v="Associação dos Amigos da Terceira Idade de Ourinhos"/>
        <s v="Asilo Chavantes "/>
        <s v="Associação de Pais e Amigos dos Excepcionais de Chavantes - APAE"/>
        <s v="Municipal de Adolfo "/>
        <s v="Nova Aliança "/>
        <s v="Comunidade Geriatrica de Nova Odessa"/>
        <s v="Fundação Assistencial do Municipio de Ipaussu"/>
        <s v="Municipal de Campinas"/>
        <s v="Associação da Caridade Santa Rita de Cássia"/>
        <s v="Instituto Pró+Vida São Sebastião"/>
        <s v="Lar São Vicente de Paulo de Guarulhos"/>
        <s v="Associação de Assistencia Social Santo Antonio de Junqueiropolis "/>
        <s v="Municipal de Duardina"/>
        <s v="Associação Beneficiente e Cultura B'nai B'rith de São Paulo"/>
        <s v="Associação Beneficiente e Cultura B'nai B&quot;rith de São Paulo"/>
        <s v="Lar do Idoso &quot;Servas do Senhor&quot;"/>
        <s v="Municipal de Santo Antônio da Alegria"/>
        <s v="Lar São Vicente de Paulo- Obra Unida a Sociedade de São Vicente de Paulo"/>
        <s v="Municipal de Barrinha"/>
        <s v="Municipal de Guariba"/>
        <s v="Municipal de Monte Alto"/>
        <s v="Municipal Dumont"/>
        <s v="Municiapal de Brodowski"/>
        <s v="Municipal de Serrana"/>
        <s v="Municipal de Taquaral"/>
        <s v="Municipal de Paulo Faria"/>
        <s v="Santa Casa de Misericordia de Barretos "/>
        <s v="Fundação Pio XII -Hospital do Câncer de Barretos"/>
        <s v="Municipal de Itaí"/>
        <s v="Vila Vicentina  Sagrada Familia "/>
        <s v="Vila Vicentino de Jambeiro"/>
        <s v="Lar dos Velhinhos DR. Adolpho Barreto"/>
        <s v="Associação Cristã Francisco de Assis"/>
        <s v="Associação de Desenvolvimento de Criança Limitadas Lument ET Fides"/>
        <s v="comunidade de Amparo Social e Asilar - C.A.S.A"/>
        <s v="Instituição casa dos Velhos de Tupâ"/>
        <s v="Casa Pia de São Vicente de Paulo"/>
        <s v="Liga das Senhoras Católicas de São Paulo"/>
        <s v="Vila São Vicente de Paulo de Bragança Paulista "/>
        <s v="Instituto Nair Pereira de Direitos Humanos e A.S "/>
        <s v="Lar Vicentino de Itapeva"/>
        <s v="Asilo Betel de Castilho"/>
        <s v="Abrigo Esperança"/>
        <s v="Asilo São José - Obra Unida à Sociedade São Vicente de Paulo"/>
        <s v="Municipal de Aramina"/>
        <s v="Organização Comunitária de Aramina"/>
        <s v="Clube da Melhor Idade de Apiai"/>
        <s v="OLHE - Observatório da Longevidade Humana e Envelhecimento"/>
        <s v="VEM SER - Associação de Apolo à Incl. E Assis. Ao Ind. C/ Necessidades Especiais"/>
        <s v="Lar São Vicente de Paulo de Pontiredaba"/>
        <s v="Associação do Asilo Vicentino Nossa Senhora da Penha"/>
        <s v="Municipal de Potirendaba"/>
        <s v="Municipal de Luiz Antônio"/>
        <s v="Municipal São Simão"/>
        <s v="Municipal de Sales Oliveira"/>
        <s v="Instituto Valorize"/>
        <s v="Instituto Cesalpina"/>
        <s v="Casa Transitória André Luiz"/>
        <s v="Municipal de Pradópolis"/>
        <s v="Municipal Santa Cruz do Rio Pardo "/>
        <s v="Obras Sociais Nossa Senhora do Rosário"/>
        <s v="Associação Cultural Interligada Social Esportiva Guarulhos"/>
        <s v="Recanto do Bom Velhinho Vale da Lua"/>
        <s v="Sorri Bauru"/>
        <s v="Associação dos Pioneiros e Veterenanos do Embraer"/>
        <s v="Lar Dos Velhinhos de São Vicente de Paula"/>
        <s v="Associação Locomotiva João Ramalho"/>
        <s v="Lar de Idosos Vicente de Paulo de Caçapava"/>
        <s v="Municipal de Óleo"/>
        <s v="Centro de Convivencia do Idoso de Serrana"/>
        <s v="Associação Casa dos Velhinhos de Serrana"/>
        <s v="Associação das Damas de Caridade de São Vicente de Paulo"/>
        <s v="Instituto Potencial - Projetos Sociais"/>
        <s v="Centro Beneficiente de Assistêncial Social"/>
        <s v="Municipal Campo Limpo Paulista"/>
        <s v="Municipal de Bebedouro "/>
        <s v="Vila São Vicente de Paulo Obra Unida a Sociedade de Paulo "/>
        <s v="Municipal de Monte Azul Paulista"/>
        <s v="Municipal de Charqueada"/>
        <s v="Vila Vicentina Abrigo para Velhos"/>
        <s v="Municipal de Pedrinhas Paulistas"/>
        <s v="Instituto Macedônia"/>
        <s v="Sociedade Beneficente de Senhoras Hospital Sírio Libanês"/>
        <s v="Lar Vicentino Dona Albertina schimidt"/>
        <s v="Municipal de Palmares Paulista"/>
        <s v="Municipal de Tabatinga"/>
        <s v="Asilo de Velhos José "/>
        <s v="AOBE_ Associação Ourinhense de Bem Estar"/>
        <s v="Fundação Observatório do livro e da leitura"/>
        <s v="Congregação das Irmãzinhas dos Anciãos Desamparados "/>
        <s v="Lar e Internato Otoniel de Camargo"/>
        <s v="Municipal de Nova Granada"/>
        <s v="lar e Abrigo dos Idosos de Igarapava"/>
        <s v="Associação Humanitaria Amor e Caridade"/>
        <s v="Municipal de Juquiá"/>
        <s v="Instituto Brandão Cultural Esporte e A.S"/>
        <s v="Parque Residencial São Vicente de Paulo"/>
        <s v="Instituto Paulo Kobayashi"/>
        <s v="Associação de Pais e Amigos dos Deficientes Auditivos de Fernadópolis - APADAF "/>
        <s v="Lar Evangélico Alice de Oliveira"/>
        <s v="Associação Beneficiente Residencial Evangélico Benaiah"/>
        <s v="Municipal de São Sebastião"/>
        <s v="Provedoria da omunidade Portuguesa de S/P"/>
        <s v="Mater Dei Cam - Casa de Apoio a Menina"/>
        <s v="Associação Benficente Unidos do Jardim Soares"/>
        <s v="União Brasileira Israelita do Bem Estar Social"/>
        <s v="Movimento Assistencial Espírita Maria Rosa"/>
        <s v="Rede Cidadã"/>
        <s v="Casa dos Velhinhos de Ondina Lobo"/>
        <s v="Abrigo São Lourenço de Jaú"/>
        <s v="Municipal São Roque"/>
        <s v="Lar Escola Francisco Cândido Xavier"/>
        <s v="Assistência Social Santo Antônio"/>
        <s v="Associação dos Idosos de Campinas "/>
        <s v="Acolher Instituto de Desenvolvimento Humano e Organizacional"/>
        <s v="Lar São Vicente de Paulo de Piracaia "/>
        <s v="Municipal Turmalina"/>
        <s v="Municipal de Jardinópolis"/>
        <s v="Municipal de Mesópolis"/>
        <s v="Associação Grupo de Amigos Voluntarios de Severínia"/>
        <s v="Municipal de Severínia"/>
        <s v="associação UB"/>
        <s v="ONG Heróis dos Lacres"/>
        <s v="Associação Ação Vida"/>
        <s v="Municipal de Santa Rita d'Oeste"/>
        <s v="Centro Reformista de A. S O Bom Samaritano"/>
        <s v="Associação de Dança Itanhaém- ADI"/>
        <s v="Municipal Dirce Reis"/>
        <s v="Instituto Acão Social Enéas Tognini"/>
        <s v="Municipal de Sorocaba"/>
        <s v="Instituto Ability Brasil"/>
        <s v="Sociedade Beneficiente casa da Esperança - Kibô-No-Iê"/>
        <s v="Organização Social Identidade Periferica"/>
        <s v="Associação dos Aposentados e Pensionistas de Presidente Venceslaus e Região"/>
        <s v="Associação Idade Dourada de Pinheiros "/>
        <s v="Municipal da Estancia de Atibaia"/>
        <s v="Associação sonhar e Viver"/>
        <s v="Associação Educacional, Esportiva e Cultural"/>
        <s v="Irmandade Boituva de Saúde e Educação"/>
        <s v="Associação Beneficente Divina Graça"/>
        <s v="Asilo São Vicente de Paulo"/>
        <s v="Associação Beneficente Yachad"/>
        <s v="Associação Cultural Ory"/>
        <s v="Associação Beneficente Luz de Um Novo Mundo"/>
        <s v="Associação São Francisco de Assis"/>
        <s v="Associação Cuidar e Educar"/>
        <s v="Centro Promocional &quot;Nossa Senhora da Visitação&quot;"/>
        <s v="Associação de Reintegração Assistencial"/>
      </sharedItems>
    </cacheField>
    <cacheField name="NOME DO PROJETO" numFmtId="0">
      <sharedItems/>
    </cacheField>
    <cacheField name="EIXO" numFmtId="0">
      <sharedItems/>
    </cacheField>
    <cacheField name="VALOR TOTAL DO PROJETO " numFmtId="44">
      <sharedItems containsSemiMixedTypes="0" containsString="0" containsNumber="1" minValue="0" maxValue="5500000"/>
    </cacheField>
    <cacheField name="Valor 20% do FUNDO" numFmtId="44">
      <sharedItems containsSemiMixedTypes="0" containsString="0" containsNumber="1" minValue="0" maxValue="6600000"/>
    </cacheField>
    <cacheField name="Valor Captado" numFmtId="44">
      <sharedItems containsString="0" containsBlank="1" containsNumber="1" minValue="1870.22" maxValue="780000"/>
    </cacheField>
    <cacheField name="Valor Faltante " numFmtId="44">
      <sharedItems containsString="0" containsBlank="1" containsNumber="1" minValue="204049.78" maxValue="1160811.46"/>
    </cacheField>
    <cacheField name="MUNICÍPIO" numFmtId="0">
      <sharedItems/>
    </cacheField>
    <cacheField name="DRADS" numFmtId="0">
      <sharedItems count="27">
        <s v="DRADS SPO EM OSASCO"/>
        <s v="DRADS FERNANDÓPOLIS"/>
        <s v="DRADS ALTA SOROCABANA EM PRESIDENTE PRUDENTE"/>
        <s v="DRADS CAPITAL EM SÃO PAULO"/>
        <s v="DRADS VALE DO PARAÍBA EM SÃO JOSÉ DOS CAMPOS"/>
        <s v="DRADS AVARÉ"/>
        <s v="DRADS VALE DO RIBEIRA EM REGISTRO"/>
        <s v="DRADS RIBEIRÃO PRETO"/>
        <s v="DRADS BARRETOS"/>
        <s v="DRADS: SÃO JOSÉ DO RIO PRETO"/>
        <s v="DRADS SPN EM GUARULHOS"/>
        <s v="DRADS PIRACICABA"/>
        <s v="DRADS CAMPINAS"/>
        <s v="DRADS ITAPEVA"/>
        <s v="DRADS ABC EM SANTO ANDRÉ"/>
        <s v="DRADS ARARAQUARA"/>
        <s v="DRADS BAURU"/>
        <s v="DRADS SOROCABA"/>
        <s v="DRADS SÃO JOSÉ DO RIO PRETO"/>
        <s v="DRADS MOGIANA EM SÃO JOÃO DA BOA VISTA"/>
        <s v="DRADS ALTA NOROESTE EM ARAÇATUBA"/>
        <s v="DRADS MARÍLIA"/>
        <s v="DRADS BOTUCATU"/>
        <s v="DRADS  ALTA PAULISTA EM DRACENA"/>
        <s v="DRADS FRANCA"/>
        <s v="DRADS BAIXADA SANTISTA EM SANTOS"/>
        <s v="DRADS SPL EM MOGI DAS CRUZES"/>
      </sharedItems>
    </cacheField>
    <cacheField name="Responsável - OSC" numFmtId="0">
      <sharedItems/>
    </cacheField>
    <cacheField name="SOMA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135/23"/>
    <x v="0"/>
    <x v="0"/>
    <s v="Voltando a Sorrir na Terceira Idade"/>
    <s v="Eixo II: Sáude"/>
    <n v="465571.15"/>
    <s v="Ourinhos/SP"/>
    <x v="0"/>
    <n v="1"/>
  </r>
  <r>
    <s v="181/23"/>
    <x v="0"/>
    <x v="1"/>
    <s v="Espaço ConViver"/>
    <s v="Eixo I: Promoção, Assistência e Desenvolvimento Social"/>
    <n v="79666.17"/>
    <s v="Orindiúva/SP"/>
    <x v="1"/>
    <n v="1"/>
  </r>
  <r>
    <s v="200/23"/>
    <x v="0"/>
    <x v="2"/>
    <s v="Florescer 60 +"/>
    <s v="Eixo I: Promoção, Assistência e Desenvolvimento Social"/>
    <n v="70311.8"/>
    <s v="Bady Bassitt/SP"/>
    <x v="1"/>
    <n v="1"/>
  </r>
  <r>
    <s v="265/23"/>
    <x v="1"/>
    <x v="3"/>
    <s v="Promovendo Acessibilidade para a Terceira Idade"/>
    <s v="Eixo I: Promoção, Assistência e Desenvolvimento Social"/>
    <n v="253465"/>
    <s v="Mococa/SP"/>
    <x v="2"/>
    <n v="1"/>
  </r>
  <r>
    <s v="285/23"/>
    <x v="1"/>
    <x v="4"/>
    <s v="Aquisição de Máquina de Lavar Roupas"/>
    <s v="Eixo I: Promoção, Assistência e Desenvolvimento Social"/>
    <n v="141000"/>
    <s v="Itapeva/SP"/>
    <x v="3"/>
    <n v="1"/>
  </r>
  <r>
    <s v="297/2"/>
    <x v="0"/>
    <x v="5"/>
    <s v="Uma História para Vida "/>
    <s v="Eixo VII: Cultura, Esporte, Turismo e Lazer"/>
    <n v="35000"/>
    <s v="Taiaçu/SP"/>
    <x v="4"/>
    <n v="1"/>
  </r>
  <r>
    <s v="335/23"/>
    <x v="0"/>
    <x v="6"/>
    <s v="O Som da Vida – um projeto de música, conversa, intercâmbio intergeracional e movimento com os idosos de Itapura"/>
    <s v="Eixo VII: Cultura, Esporte, Turismo e Lazer"/>
    <n v="218000"/>
    <s v="Itapura/SP"/>
    <x v="5"/>
    <n v="1"/>
  </r>
  <r>
    <s v="355/23"/>
    <x v="0"/>
    <x v="7"/>
    <s v="Vovós Ativas, Arteiras e Cantantes"/>
    <s v="Eixo I: Promoção, Assistência e Desenvolvimento Social"/>
    <n v="35000"/>
    <s v="Manduri/SP"/>
    <x v="0"/>
    <n v="1"/>
  </r>
  <r>
    <s v="361/23"/>
    <x v="0"/>
    <x v="8"/>
    <s v="Semeando Autores"/>
    <s v="Eixo VII: Cultura, Esporte, Turismo e Lazer"/>
    <n v="40000"/>
    <s v="Monte Azul Paulista/SP"/>
    <x v="4"/>
    <n v="1"/>
  </r>
  <r>
    <s v="378/23"/>
    <x v="0"/>
    <x v="9"/>
    <s v="Visão do Bem "/>
    <s v="Eixo II: Sáude"/>
    <n v="156000"/>
    <s v="Tabatinga/SP"/>
    <x v="6"/>
    <n v="1"/>
  </r>
  <r>
    <s v="388/23"/>
    <x v="1"/>
    <x v="10"/>
    <s v="Viabilização da assistencia integral aos idosos através de adequação das instalações da instituição"/>
    <s v="Eixo I: Promoção, Assistência e Desenvolvimento Social"/>
    <n v="40500"/>
    <s v="Andradina/SP"/>
    <x v="5"/>
    <n v="1"/>
  </r>
  <r>
    <s v="420/23"/>
    <x v="0"/>
    <x v="11"/>
    <s v="EnvelheSer"/>
    <s v="Eixo I: Promoção, Assistência e Desenvolvimento Social"/>
    <n v="515500"/>
    <s v="Americana/SP"/>
    <x v="7"/>
    <n v="1"/>
  </r>
  <r>
    <s v="448/2"/>
    <x v="1"/>
    <x v="12"/>
    <s v="Aquisição de Equipamento para Fisioterapia "/>
    <s v="Eixo II: Sáude"/>
    <n v="16476.169999999998"/>
    <s v="Bocaina/SP"/>
    <x v="8"/>
    <n v="1"/>
  </r>
  <r>
    <s v="449/23"/>
    <x v="1"/>
    <x v="13"/>
    <s v="Promover a melhoria da qualidade de vida e bem-estar físico e social da pessoa idosa acolhida no Abrigo São Lourenço de Jaú"/>
    <s v="Eixo I: Promoção, Assistência e Desenvolvimento Social"/>
    <n v="111000"/>
    <s v="Jaú/SP"/>
    <x v="8"/>
    <n v="1"/>
  </r>
  <r>
    <s v="461/23"/>
    <x v="1"/>
    <x v="14"/>
    <s v="Projeto Piso Novo"/>
    <s v="Eixo V: Habitação e Urbanismo"/>
    <n v="213318.26"/>
    <s v="Novo Horizonte/SP"/>
    <x v="9"/>
    <n v="1"/>
  </r>
  <r>
    <s v="476/23"/>
    <x v="0"/>
    <x v="15"/>
    <s v="Aquisição de Equipamentos e Mobiliários para Centro de Convivência do Idoso"/>
    <s v="Eixo I: Promoção, Assistência e Desenvolvimento Social"/>
    <n v="50000"/>
    <s v="Júlio Mesquita/SP"/>
    <x v="10"/>
    <n v="1"/>
  </r>
  <r>
    <s v="509/23"/>
    <x v="0"/>
    <x v="16"/>
    <s v="Sempre Sorrindo "/>
    <s v="Eixo II: Sáude"/>
    <n v="1884000"/>
    <s v="Sorocaba/SP"/>
    <x v="11"/>
    <n v="1"/>
  </r>
  <r>
    <s v="541/23"/>
    <x v="1"/>
    <x v="17"/>
    <s v="Casa Nova"/>
    <s v="Eixo I: Promoção, Assistência e Desenvolvimento Social"/>
    <n v="101246.7"/>
    <s v="Cruzeiro/SP"/>
    <x v="12"/>
    <n v="1"/>
  </r>
  <r>
    <s v="562/23"/>
    <x v="1"/>
    <x v="18"/>
    <s v="Bordando no Território"/>
    <s v="Eixo VII: Cultura, Esporte, Turismo e Lazer"/>
    <n v="261889.72"/>
    <s v="Campinas/SP"/>
    <x v="7"/>
    <n v="1"/>
  </r>
  <r>
    <s v="243/23"/>
    <x v="0"/>
    <x v="19"/>
    <s v="Serviço de Convivência e Fortalecimento de Vínculos Terceira Idade"/>
    <s v="-"/>
    <n v="100000"/>
    <s v="Altinópolis/SP"/>
    <x v="13"/>
    <n v="1"/>
  </r>
  <r>
    <s v="434/23"/>
    <x v="1"/>
    <x v="20"/>
    <s v="Renovarte"/>
    <s v="Eixo IV: Trabalho e Previdência Social"/>
    <n v="306290"/>
    <s v="Atibaia/SP"/>
    <x v="7"/>
    <n v="1"/>
  </r>
  <r>
    <s v="565/23"/>
    <x v="0"/>
    <x v="21"/>
    <s v="Feliz Idade"/>
    <s v="Eixo I: Promoção, Assistência e Desenvolvimento Social"/>
    <n v="40275"/>
    <s v="Álvares Machado/SP"/>
    <x v="14"/>
    <n v="1"/>
  </r>
  <r>
    <s v="186/23"/>
    <x v="0"/>
    <x v="22"/>
    <s v="Campeões e Vitória para Vida"/>
    <s v="Eixo VII: Cultura, Esporte, Turismo e Lazer"/>
    <n v="515262.2"/>
    <s v="São Bernado do Campo/SP"/>
    <x v="15"/>
    <n v="1"/>
  </r>
  <r>
    <s v="455/23"/>
    <x v="1"/>
    <x v="23"/>
    <s v="Xô Bengala "/>
    <s v="Eixo VII: Cultura, Esporte, Turismo e Lazer"/>
    <n v="821100"/>
    <s v="Cotia/SP"/>
    <x v="16"/>
    <n v="1"/>
  </r>
  <r>
    <s v="164/23"/>
    <x v="1"/>
    <x v="24"/>
    <s v="Projeto Energia Voltaica - Autossustentabilidade em Consumo de Energia"/>
    <s v="Eixo I: Promoção, Assistência e Desenvolvimento Social"/>
    <n v="90060.26"/>
    <s v="Macatuba/SP"/>
    <x v="8"/>
    <n v="1"/>
  </r>
  <r>
    <s v="295/23"/>
    <x v="1"/>
    <x v="25"/>
    <s v="Só Lar - Aquisição e Instalação de Sistema de Energia Fotovoltaica"/>
    <s v="Eixo II: Sáude"/>
    <n v="85411.67"/>
    <s v="Caçapava/SP"/>
    <x v="12"/>
    <n v="1"/>
  </r>
  <r>
    <s v="459/23"/>
    <x v="0"/>
    <x v="26"/>
    <s v="Vivendo o Turismo"/>
    <s v="Eixo VII: Cultura, Esporte, Turismo e Lazer"/>
    <n v="75600"/>
    <s v="Santa Adélia/SP"/>
    <x v="1"/>
    <n v="1"/>
  </r>
  <r>
    <s v="166/23"/>
    <x v="0"/>
    <x v="27"/>
    <s v="Reforma do CCI Centro de Convivência do Idoso"/>
    <s v="Eixo I: Promoção, Assistência e Desenvolvimento Social"/>
    <n v="123093.54"/>
    <s v="Tejupá/SP"/>
    <x v="0"/>
    <n v="1"/>
  </r>
  <r>
    <s v="296/23"/>
    <x v="1"/>
    <x v="28"/>
    <s v="Proteção e Segurança"/>
    <s v="Eixo I: Promoção, Assistência e Desenvolvimento Social"/>
    <n v="150000"/>
    <s v="Cachoeira Paulista/SP"/>
    <x v="12"/>
    <n v="1"/>
  </r>
  <r>
    <s v="443/23"/>
    <x v="1"/>
    <x v="29"/>
    <s v="Amor a Vida"/>
    <s v="Eixo II: Sáude"/>
    <n v="220000"/>
    <s v="Ribeirão Preto/SP"/>
    <x v="13"/>
    <n v="1"/>
  </r>
  <r>
    <s v="470/2"/>
    <x v="0"/>
    <x v="30"/>
    <s v="No Meu Tempo: A Participação e Cidadania com Garatia de Direito da Pessoa Idosa"/>
    <s v="Eixo I: Promoção, Assistência e Desenvolvimento Social"/>
    <n v="100000"/>
    <s v="Taboão da Serra/SP"/>
    <x v="16"/>
    <m/>
  </r>
  <r>
    <s v="165/23"/>
    <x v="0"/>
    <x v="31"/>
    <s v="Conviver em Geração"/>
    <s v="Eixo I: Promoção, Assistência e Desenvolvimento Social"/>
    <n v="569175.64"/>
    <s v="Mogi Guaçu/SP"/>
    <x v="2"/>
    <n v="1"/>
  </r>
  <r>
    <s v="169/23"/>
    <x v="0"/>
    <x v="32"/>
    <s v="Cuidado para Quem já Cuidou"/>
    <s v="Eixo I: Promoção, Assistência e Desenvolvimento Social"/>
    <n v="188750"/>
    <s v="Piraju/SP"/>
    <x v="0"/>
    <n v="1"/>
  </r>
  <r>
    <s v="526/23"/>
    <x v="1"/>
    <x v="33"/>
    <s v="Diversidade e Diversas Artes"/>
    <s v="Eixo I: Promoção, Assistência e Desenvolvimento Social"/>
    <n v="702740.64"/>
    <s v="Campinas/SP"/>
    <x v="7"/>
    <m/>
  </r>
  <r>
    <s v="012/23"/>
    <x v="0"/>
    <x v="34"/>
    <s v="Projeto Vida Ativa na Melhor Idade"/>
    <s v="Eixo I: Promoção, Assistência e Desenvolvimento Social"/>
    <n v="244231.32"/>
    <s v="Boraceia "/>
    <x v="8"/>
    <n v="1"/>
  </r>
  <r>
    <s v="037/23"/>
    <x v="1"/>
    <x v="35"/>
    <s v="Pintura e Reparos na Instituição "/>
    <s v="Eixo I: Promoção, Assistência e Desenvolvimento Social"/>
    <n v="28000"/>
    <s v="Juquia/SP"/>
    <x v="17"/>
    <n v="1"/>
  </r>
  <r>
    <s v="460/23"/>
    <x v="1"/>
    <x v="36"/>
    <s v="Idoso em Movimento - Mobilidade/Acessibilidade/Convivência "/>
    <s v="Eixo I: Promoção, Assistência e Desenvolvimento Social"/>
    <n v="300000"/>
    <s v="Bragança Paulista/SP"/>
    <x v="7"/>
    <n v="1"/>
  </r>
  <r>
    <s v="349/23"/>
    <x v="1"/>
    <x v="37"/>
    <s v="Ciranda das Memórias Metropolitanas"/>
    <s v="Eixo VII: Cultura, Esporte, Turismo e Lazer"/>
    <n v="395360"/>
    <s v="São Paulo/SP"/>
    <x v="18"/>
    <n v="1"/>
  </r>
  <r>
    <s v="277/23"/>
    <x v="0"/>
    <x v="38"/>
    <s v="Cuidando sem Limites"/>
    <s v="Eixo II: Sáude"/>
    <n v="445040.3"/>
    <s v="Sertãozinho/SP"/>
    <x v="13"/>
    <n v="1"/>
  </r>
  <r>
    <s v="472/23"/>
    <x v="1"/>
    <x v="39"/>
    <s v="CCI Saber Viver Roberto Fuad Salim - Vivendo, a Melhor Idade"/>
    <s v="Eixo I: Promoção, Assistência e Desenvolvimento Social"/>
    <n v="150000"/>
    <s v="Viradouro/SP"/>
    <x v="4"/>
    <n v="1"/>
  </r>
  <r>
    <s v="469/23"/>
    <x v="1"/>
    <x v="40"/>
    <s v="Rumo a Longevidade - Estrátegias par um envelhecimento saudável"/>
    <s v="Eixo II: Sáude"/>
    <n v="600000"/>
    <s v="Piracaia/SP"/>
    <x v="7"/>
    <n v="1"/>
  </r>
  <r>
    <s v="475/23"/>
    <x v="1"/>
    <x v="41"/>
    <s v="Cuidado em Domicilio"/>
    <s v="Eixo I: Promoção, Assistência e Desenvolvimento Social"/>
    <n v="350000"/>
    <s v="Ribeirão Preto/SP"/>
    <x v="13"/>
    <n v="1"/>
  </r>
  <r>
    <s v="395/23"/>
    <x v="1"/>
    <x v="42"/>
    <s v="História da Gente"/>
    <s v="Eixo VII: Cultura, Esporte, Turismo e Lazer"/>
    <n v="254000"/>
    <s v="Ribeirão Preto/SP"/>
    <x v="13"/>
    <n v="1"/>
  </r>
  <r>
    <s v="518/23"/>
    <x v="0"/>
    <x v="43"/>
    <s v="Centro Rural de Convivência do Idoso – Tanque "/>
    <s v="Eixo I: Promoção, Assistência e Desenvolvimento Social"/>
    <n v="329350"/>
    <s v="Atibaia/SP"/>
    <x v="7"/>
    <n v="1"/>
  </r>
  <r>
    <s v="345/23"/>
    <x v="1"/>
    <x v="44"/>
    <s v="O Idoso Protagonista na ILPI"/>
    <s v="Eixo I: Promoção, Assistência e Desenvolvimento Social"/>
    <n v="120720"/>
    <s v="Serra Azul/SP"/>
    <x v="13"/>
    <n v="1"/>
  </r>
  <r>
    <s v="479/23"/>
    <x v="0"/>
    <x v="45"/>
    <s v="Registrando Sonhos"/>
    <s v="Eixo VII: Cultura, Esporte, Turismo e Lazer"/>
    <n v="107340"/>
    <s v="Turmalina/SP"/>
    <x v="19"/>
    <n v="1"/>
  </r>
  <r>
    <s v="426/23"/>
    <x v="1"/>
    <x v="46"/>
    <s v="Leito Serenidade para enfermaria” para aquisição de 24 (vinte e quatro) camas novas com colchões que serão utilizadas nas enfermarias da OSC (ala masculina e feminina) para otimizar os serviços e proporcionar segurança, bem estar, saúde e tranquilidade na prestação dos serviços às pessoas idosas residentes com a aquisição dos novos equipamentos"/>
    <s v="Eixo I: Promoção, Assistência e Desenvolvimento Social"/>
    <n v="328800"/>
    <s v="Presidente Prudente/SP"/>
    <x v="14"/>
    <n v="1"/>
  </r>
  <r>
    <s v="182/23"/>
    <x v="0"/>
    <x v="47"/>
    <s v="Reforma do Condominio Manoel Messias"/>
    <m/>
    <n v="578902.54"/>
    <s v="Tarumã"/>
    <x v="10"/>
    <n v="1"/>
  </r>
  <r>
    <s v="531/23"/>
    <x v="1"/>
    <x v="48"/>
    <s v="Cpacitação de Equipes Multidiciplinares das Instituições de Longa Permanência "/>
    <s v="Eixo III: Educação"/>
    <n v="240000"/>
    <s v="Boituva/SP"/>
    <x v="11"/>
    <m/>
  </r>
  <r>
    <s v="290/23"/>
    <x v="0"/>
    <x v="49"/>
    <s v="Projeto Dança de Salão"/>
    <s v="-"/>
    <n v="51420"/>
    <s v="Aramina/SP"/>
    <x v="20"/>
    <n v="1"/>
  </r>
  <r>
    <s v="328/23"/>
    <x v="1"/>
    <x v="50"/>
    <s v="Coral Cantares: A voz do Envelhe(ser)"/>
    <s v="Eixo VII: Cultura, Esporte, Turismo e Lazer"/>
    <n v="145400"/>
    <s v="São José dos Campos/SP"/>
    <x v="12"/>
    <n v="1"/>
  </r>
  <r>
    <s v="452/23"/>
    <x v="0"/>
    <x v="51"/>
    <s v="Viva Melhor Idade - Hidroginástica"/>
    <s v="Eixo VII: Cultura, Esporte, Turismo e Lazer"/>
    <n v="144000"/>
    <s v="São Roque/SP"/>
    <x v="11"/>
    <n v="1"/>
  </r>
  <r>
    <s v="408/23"/>
    <x v="1"/>
    <x v="52"/>
    <s v="TI - Terceira Idade "/>
    <s v="Eixo III: Educação"/>
    <n v="500000"/>
    <s v="São Paulo/SP"/>
    <x v="18"/>
    <n v="1"/>
  </r>
  <r>
    <s v="446/23"/>
    <x v="0"/>
    <x v="53"/>
    <s v="Histórias de Vida Escritas"/>
    <s v="Eixo VII: Cultura, Esporte, Turismo e Lazer"/>
    <n v="73120.100000000006"/>
    <s v="Ariranha/SP"/>
    <x v="1"/>
    <n v="1"/>
  </r>
  <r>
    <s v="268/23"/>
    <x v="1"/>
    <x v="54"/>
    <s v="Orientação Psicossocial ao Idoso em Tratamento Oncológico"/>
    <s v="Eixo I: Promoção, Assistência e Desenvolvimento Social"/>
    <n v="100000"/>
    <s v="Arco Iris/SP"/>
    <x v="10"/>
    <n v="1"/>
  </r>
  <r>
    <s v="589/23"/>
    <x v="1"/>
    <x v="55"/>
    <s v="Caminhos da Longevidade I"/>
    <s v="Eixo VII: Cultura, Esporte, Turismo e Lazer"/>
    <n v="367680"/>
    <s v="São Paulo/SP"/>
    <x v="18"/>
    <n v="1"/>
  </r>
  <r>
    <s v="417/23"/>
    <x v="1"/>
    <x v="56"/>
    <s v="Viver Bem na Maior Idade"/>
    <s v="Eixo I: Promoção, Assistência e Desenvolvimento Social"/>
    <n v="259200"/>
    <s v="Barretos/SP"/>
    <x v="4"/>
    <m/>
  </r>
  <r>
    <s v="591/23"/>
    <x v="1"/>
    <x v="57"/>
    <s v="Ativos na Maturidade  - III"/>
    <s v="Eixo VII: Cultura, Esporte, Turismo e Lazer"/>
    <n v="428520"/>
    <s v="Franca/SP"/>
    <x v="20"/>
    <n v="1"/>
  </r>
  <r>
    <s v="512/23"/>
    <x v="1"/>
    <x v="58"/>
    <s v="Música para Todos "/>
    <s v="Eixo VII: Cultura, Esporte, Turismo e Lazer"/>
    <n v="770400"/>
    <s v="São Paulo/SP"/>
    <x v="18"/>
    <n v="1"/>
  </r>
  <r>
    <s v="352/23"/>
    <x v="1"/>
    <x v="59"/>
    <s v="Escola de Moda e Costura"/>
    <s v="Eixo IV: Trabalho e Previdência Social"/>
    <n v="430566"/>
    <s v="São Paulo/SP"/>
    <x v="18"/>
    <n v="1"/>
  </r>
  <r>
    <s v="331/23"/>
    <x v="1"/>
    <x v="60"/>
    <s v="Convivendo e Revivendo um passo para novos laços"/>
    <s v="-"/>
    <n v="297841"/>
    <s v="Campinas/SP"/>
    <x v="7"/>
    <n v="1"/>
  </r>
  <r>
    <s v="458/23"/>
    <x v="0"/>
    <x v="61"/>
    <s v="Melhor Idade - Grandes Desafios"/>
    <s v="Eixo VII: Cultura, Esporte, Turismo e Lazer"/>
    <n v="340000"/>
    <s v="Oriente/SP"/>
    <x v="10"/>
    <n v="1"/>
  </r>
  <r>
    <s v="552/23"/>
    <x v="1"/>
    <x v="62"/>
    <s v="Centro de Convivência Cultural Esportivo e de Lazer para Pessoa Idosa Tecendo Vinculos-I"/>
    <s v="Eixo VII: Cultura, Esporte, Turismo e Lazer"/>
    <n v="379232"/>
    <s v="São Paulo/SP"/>
    <x v="18"/>
    <n v="1"/>
  </r>
  <r>
    <s v="558/23"/>
    <x v="1"/>
    <x v="63"/>
    <s v="Centro de Convivência Cultura Esportivo e de Lazer para Pessoa Idosa Novo Encontro Dourado - III"/>
    <s v="Eixo VII: Cultura, Esporte, Turismo e Lazer"/>
    <n v="448880"/>
    <s v="São Paulo/SP"/>
    <x v="18"/>
    <m/>
  </r>
  <r>
    <s v="314/23"/>
    <x v="1"/>
    <x v="64"/>
    <s v="Restauralar RSJD"/>
    <s v="Eixo I: Promoção, Assistência e Desenvolvimento Social"/>
    <n v="527498.06999999995"/>
    <s v="São José dos Campos/SP"/>
    <x v="12"/>
    <n v="1"/>
  </r>
  <r>
    <s v="119/23"/>
    <x v="1"/>
    <x v="65"/>
    <s v="Égide"/>
    <s v="Eixo II: Sáude"/>
    <n v="199191.12"/>
    <s v="Mogi Mirim/SP"/>
    <x v="2"/>
    <n v="1"/>
  </r>
  <r>
    <s v="366/23"/>
    <x v="1"/>
    <x v="66"/>
    <s v="Instituto Rosa dos Ventos 60+"/>
    <s v="Eixo VII: Cultura, Esporte, Turismo e Lazer"/>
    <n v="500000"/>
    <s v="São Paulo/SP"/>
    <x v="18"/>
    <n v="1"/>
  </r>
  <r>
    <s v="467/23"/>
    <x v="1"/>
    <x v="67"/>
    <s v="Escola de Filhos: Capacitação Integral para Cuidadores Familiares e Profissionais "/>
    <s v="Eixo IV: Trabalho e Previdência Social"/>
    <n v="449060"/>
    <s v="Guarulhos/SP"/>
    <x v="21"/>
    <m/>
  </r>
  <r>
    <s v="550/23"/>
    <x v="1"/>
    <x v="68"/>
    <s v="Centro de Convivência Cultural Esportivo e de Lazer para Pessoa Idosa Vivendo Plenamento II"/>
    <s v="Eixo VII: Cultura, Esporte, Turismo e Lazer"/>
    <n v="378996"/>
    <s v="São Paulo/SP"/>
    <x v="18"/>
    <n v="1"/>
  </r>
  <r>
    <s v="298/23"/>
    <x v="1"/>
    <x v="69"/>
    <s v="Vida em Movimento, Encontros Culturais "/>
    <s v="Eixo VII: Cultura, Esporte, Turismo e Lazer"/>
    <n v="209880"/>
    <s v="São Paulo/SP"/>
    <x v="18"/>
    <n v="1"/>
  </r>
  <r>
    <s v="427/23"/>
    <x v="1"/>
    <x v="70"/>
    <s v="Melhores Cuidados na Terceira Idade"/>
    <s v="Eixo I: Promoção, Assistência e Desenvolvimento Social"/>
    <n v="1881455"/>
    <s v="São Paulo/SP"/>
    <x v="18"/>
    <n v="1"/>
  </r>
  <r>
    <s v="176/23"/>
    <x v="1"/>
    <x v="71"/>
    <s v="Morar Bem "/>
    <s v="Eixo I: Promoção, Assistência e Desenvolvimento Social"/>
    <n v="300000"/>
    <s v="Aguaí/SP"/>
    <x v="2"/>
    <n v="1"/>
  </r>
  <r>
    <s v="196/23"/>
    <x v="1"/>
    <x v="72"/>
    <s v="Digitalizar "/>
    <s v="Eixo I: Promoção, Assistência e Desenvolvimento Social"/>
    <n v="54500"/>
    <s v="São José do Rio Preto/SP"/>
    <x v="13"/>
    <n v="1"/>
  </r>
  <r>
    <s v="397/23"/>
    <x v="1"/>
    <x v="73"/>
    <s v="Hidroginática na Melhor Idade"/>
    <s v="Eixo VII: Cultura, Esporte, Turismo e Lazer"/>
    <n v="92400"/>
    <s v="Ourinhos/SP"/>
    <x v="0"/>
    <n v="1"/>
  </r>
  <r>
    <s v="584/23"/>
    <x v="1"/>
    <x v="74"/>
    <s v="Centro de Convivência Cultural, Esporte e Lazer da Pessoa Idosa NAZARÉ-1"/>
    <s v="Eixo VII: Cultura, Esporte, Turismo e Lazer"/>
    <n v="343320"/>
    <s v="São Paulo/SP"/>
    <x v="18"/>
    <n v="1"/>
  </r>
  <r>
    <s v="002/23"/>
    <x v="1"/>
    <x v="75"/>
    <s v="CriaMais - Sáude e Arte para Pessoa Idosa"/>
    <s v="Eixo I: Promoção, Assistência e Desenvolvimento Social"/>
    <n v="45000"/>
    <s v="Palmeira d'Oeste/SP"/>
    <x v="19"/>
    <n v="1"/>
  </r>
  <r>
    <s v="026/23"/>
    <x v="1"/>
    <x v="76"/>
    <s v="Arte em Movimento: A Pessoa Idosa como Consumidora, Produtora e Disseminadora de Cultura"/>
    <s v="Eixo VII: Cultura, Esporte, Turismo e Lazer"/>
    <n v="207810"/>
    <s v="Guarulhos/SP"/>
    <x v="21"/>
    <n v="1"/>
  </r>
  <r>
    <s v="126/23"/>
    <x v="1"/>
    <x v="77"/>
    <s v="Culinaria na Melhor Idade"/>
    <s v="Eixo I: Promoção, Assistência e Desenvolvimento Social"/>
    <n v="78244"/>
    <s v="Urupês/SP"/>
    <x v="9"/>
    <n v="1"/>
  </r>
  <r>
    <s v="173/23"/>
    <x v="1"/>
    <x v="78"/>
    <s v="Aquisição de Equipamentos para Fisioterapia"/>
    <s v="-"/>
    <n v="25860.29"/>
    <s v="Cerqueira Cesar/SP"/>
    <x v="0"/>
    <n v="1"/>
  </r>
  <r>
    <s v="425/23"/>
    <x v="0"/>
    <x v="79"/>
    <s v="Hidro +: Hidroginástica e Desenvolvimento Social"/>
    <s v="Eixo I: Promoção, Assistência e Desenvolvimento Social"/>
    <n v="145000"/>
    <s v="Jaboticabal/SP"/>
    <x v="13"/>
    <n v="1"/>
  </r>
  <r>
    <s v="488/23"/>
    <x v="1"/>
    <x v="80"/>
    <s v="Diver-Cidade 60+ Direitos Humanos e Dibersaidade Cultural, Étnica e Racial na Cidade de São Paulo"/>
    <s v="Eixo VII: Cultura, Esporte, Turismo e Lazer"/>
    <n v="475579.66"/>
    <s v="São Paulo/SP"/>
    <x v="18"/>
    <n v="1"/>
  </r>
  <r>
    <s v="309/23"/>
    <x v="1"/>
    <x v="81"/>
    <s v="Amor na Terceira Idade"/>
    <s v="Eixo I: Promoção, Assistência e Desenvolvimento Social"/>
    <n v="250000"/>
    <s v="Barretos/SP"/>
    <x v="4"/>
    <n v="1"/>
  </r>
  <r>
    <s v="438/23"/>
    <x v="1"/>
    <x v="82"/>
    <s v="Centro de Convivência Cultural Esportivo e de Lazer para Pessoa Idosa Novo Olhar - II"/>
    <s v="Eixo VII: Cultura, Esporte, Turismo e Lazer"/>
    <n v="378300"/>
    <s v="São Paulo/SP"/>
    <x v="18"/>
    <n v="1"/>
  </r>
  <r>
    <s v="568/23"/>
    <x v="0"/>
    <x v="83"/>
    <s v="Projeto Laços "/>
    <s v="-"/>
    <n v="393000.48"/>
    <s v="Franco da Rocha/SP"/>
    <x v="21"/>
    <n v="1"/>
  </r>
  <r>
    <s v="015/23"/>
    <x v="1"/>
    <x v="84"/>
    <s v="EQUIPAR II"/>
    <s v="Eixo I: Promoção, Assistência e Desenvolvimento Social"/>
    <n v="40000"/>
    <s v="Álvares Machado/SP"/>
    <x v="14"/>
    <n v="1"/>
  </r>
  <r>
    <s v="076/23"/>
    <x v="1"/>
    <x v="85"/>
    <s v="Qualificação de Equipamentos e Ambientes Lar São Vicente - Obra Padre Donizetti"/>
    <s v="Eixo I: Promoção, Assistência e Desenvolvimento Social"/>
    <n v="14757"/>
    <s v="Tambáu/SP"/>
    <x v="2"/>
    <n v="1"/>
  </r>
  <r>
    <s v="432/23"/>
    <x v="0"/>
    <x v="86"/>
    <s v="Alegria de Viver "/>
    <s v="Eixo VII: Cultura, Esporte, Turismo e Lazer"/>
    <n v="98000"/>
    <s v="Espírito Santo do Turvo/SP"/>
    <x v="0"/>
    <n v="1"/>
  </r>
  <r>
    <s v="203/23"/>
    <x v="1"/>
    <x v="87"/>
    <s v="Sons do Coração e Notas que Abraçam: Musica para Idosos com Deficiência Visual"/>
    <s v="Eixo VII: Cultura, Esporte, Turismo e Lazer"/>
    <n v="39554"/>
    <s v="Presidente Prudente/SP"/>
    <x v="14"/>
    <n v="1"/>
  </r>
  <r>
    <s v="547/23"/>
    <x v="1"/>
    <x v="88"/>
    <s v="Lashir"/>
    <s v="Eixo VII: Cultura, Esporte, Turismo e Lazer"/>
    <n v="1308000"/>
    <s v="São Paulo/SP"/>
    <x v="18"/>
    <n v="1"/>
  </r>
  <r>
    <s v="358/23"/>
    <x v="0"/>
    <x v="89"/>
    <s v="Programa Leite do Idoso"/>
    <s v="Eixo II: Sáude"/>
    <n v="629640"/>
    <s v="Barretos/SP"/>
    <x v="4"/>
    <n v="1"/>
  </r>
  <r>
    <s v="078/23"/>
    <x v="1"/>
    <x v="90"/>
    <s v="Bem Viver - Envelhecer com Qualidade em São Paulo "/>
    <s v="Eixo VII: Cultura, Esporte, Turismo e Lazer"/>
    <n v="764968.68"/>
    <s v="São Paulo/SP"/>
    <x v="18"/>
    <n v="1"/>
  </r>
  <r>
    <s v="481/23"/>
    <x v="1"/>
    <x v="91"/>
    <s v="Creche para a Melhor Idade"/>
    <s v="Eixo I: Promoção, Assistência e Desenvolvimento Social"/>
    <n v="568400"/>
    <s v="São Paulo/SP"/>
    <x v="18"/>
    <m/>
  </r>
  <r>
    <s v="142/23"/>
    <x v="1"/>
    <x v="92"/>
    <s v="Reabilitação e Reinserção Social dos Pacientes Idosos "/>
    <s v="Eixo II: Sáude"/>
    <n v="442329.56"/>
    <s v="São Paulo/SP"/>
    <x v="18"/>
    <n v="1"/>
  </r>
  <r>
    <s v="324/23"/>
    <x v="1"/>
    <x v="93"/>
    <s v="Viva Ativo: Arte, Esporte e Bem-Estar "/>
    <s v="Eixo II: Sáude"/>
    <n v="166702.20000000001"/>
    <s v="Bauru/SP"/>
    <x v="8"/>
    <n v="1"/>
  </r>
  <r>
    <s v="523/23"/>
    <x v="0"/>
    <x v="94"/>
    <s v="Viva bem Cabrália"/>
    <s v="-"/>
    <n v="80058.679999999993"/>
    <s v="Cabrália Paulista/SP"/>
    <x v="8"/>
    <n v="1"/>
  </r>
  <r>
    <s v="281/23"/>
    <x v="0"/>
    <x v="95"/>
    <s v="Projeto Agite sua Idade"/>
    <s v="Eixo VII: Cultura, Esporte, Turismo e Lazer"/>
    <n v="921684"/>
    <s v="Ribeirão Pires/SP"/>
    <x v="15"/>
    <n v="1"/>
  </r>
  <r>
    <s v="064/23"/>
    <x v="1"/>
    <x v="96"/>
    <s v="Lar Doce Lar de Matão "/>
    <s v="Eixo I: Promoção, Assistência e Desenvolvimento Social"/>
    <n v="100000"/>
    <s v="Matão/SP"/>
    <x v="6"/>
    <n v="1"/>
  </r>
  <r>
    <s v="308/23"/>
    <x v="1"/>
    <x v="97"/>
    <s v="Acolhendo, Alimentando e Nutrindo "/>
    <s v="Eixo I: Promoção, Assistência e Desenvolvimento Social"/>
    <n v="258000"/>
    <s v="São Paulo/SP"/>
    <x v="18"/>
    <n v="1"/>
  </r>
  <r>
    <s v="473/23"/>
    <x v="1"/>
    <x v="98"/>
    <s v="Um Lar Aconchegante"/>
    <s v="Eixo I: Promoção, Assistência e Desenvolvimento Social"/>
    <n v="46669.7"/>
    <s v="Viradouro/SP"/>
    <x v="4"/>
    <n v="1"/>
  </r>
  <r>
    <s v="266/23"/>
    <x v="1"/>
    <x v="99"/>
    <s v="Projeto Beija-Flor &quot;Tranquila - Idade&quot;"/>
    <s v="Eixo I: Promoção, Assistência e Desenvolvimento Social"/>
    <n v="295091.13"/>
    <s v="Mococa/SP"/>
    <x v="2"/>
    <n v="1"/>
  </r>
  <r>
    <s v="513/23"/>
    <x v="0"/>
    <x v="100"/>
    <s v="Voleibol Adaptado Feminino"/>
    <s v="Eixo VII: Cultura, Esporte, Turismo e Lazer"/>
    <n v="34165"/>
    <s v="Indiaporã/SP"/>
    <x v="19"/>
    <n v="1"/>
  </r>
  <r>
    <s v="535/23"/>
    <x v="0"/>
    <x v="101"/>
    <s v="Terceira Idade em Ação"/>
    <s v="Eixo I: Promoção, Assistência e Desenvolvimento Social"/>
    <n v="125000"/>
    <s v="Euclides da Cunha Paulista/SP"/>
    <x v="14"/>
    <n v="1"/>
  </r>
  <r>
    <s v="570/23"/>
    <x v="1"/>
    <x v="102"/>
    <s v="O Lugar é aqui e o Tempo é Agora"/>
    <s v="Eixo VII: Cultura, Esporte, Turismo e Lazer"/>
    <n v="987125"/>
    <s v="São Paulo/SP"/>
    <x v="18"/>
    <n v="1"/>
  </r>
  <r>
    <s v="287/23"/>
    <x v="1"/>
    <x v="103"/>
    <s v="Banheiros Adequados"/>
    <s v="Eixo I: Promoção, Assistência e Desenvolvimento Social"/>
    <n v="302200"/>
    <s v="Presidente Venceslau/SP"/>
    <x v="14"/>
    <n v="1"/>
  </r>
  <r>
    <s v="381/23"/>
    <x v="1"/>
    <x v="104"/>
    <s v="Oficina Fotovoltaica, a Luz que Aquece Corações"/>
    <s v="Eixo I: Promoção, Assistência e Desenvolvimento Social"/>
    <n v="64900"/>
    <s v="Tabatinga/SP"/>
    <x v="6"/>
    <n v="1"/>
  </r>
  <r>
    <s v="081/23"/>
    <x v="1"/>
    <x v="105"/>
    <s v="Entreterimento aos Idosos (Televisor de 85&quot;)"/>
    <s v="Eixo I: Promoção, Assistência e Desenvolvimento Social"/>
    <n v="10000"/>
    <s v="Brotas/SP"/>
    <x v="22"/>
    <n v="1"/>
  </r>
  <r>
    <s v="289/23"/>
    <x v="1"/>
    <x v="106"/>
    <s v="Praticando o Pertencimento "/>
    <s v="Eixo I: Promoção, Assistência e Desenvolvimento Social"/>
    <n v="160000"/>
    <s v="Colina/SP"/>
    <x v="4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s v="001/23"/>
    <s v="0001"/>
    <s v="Organização "/>
    <x v="0"/>
    <s v="Centro de Convivência Casa Azul "/>
    <s v="Eixo I: Promoção, Assistência e Desenvolvimento Social"/>
    <n v="171600"/>
    <n v="205920"/>
    <n v="1870.22"/>
    <n v="204049.78"/>
    <s v="Carapicuíba/SP"/>
    <x v="0"/>
    <s v="Claudia Regina Ferreira "/>
    <n v="1"/>
  </r>
  <r>
    <s v="003/23"/>
    <s v="0002"/>
    <s v="Prefeitura"/>
    <x v="1"/>
    <s v="Idoso 100% Ativo – Hidroginastica "/>
    <s v="Eixo I: Promoção, Assistência e Desenvolvimento Social"/>
    <n v="84000"/>
    <n v="100800"/>
    <m/>
    <m/>
    <s v="Palmeira D'Oeste "/>
    <x v="1"/>
    <s v="Lucinele Gabaldi Bertolassi"/>
    <m/>
  </r>
  <r>
    <s v="004/23"/>
    <s v="0002"/>
    <s v="Organização "/>
    <x v="2"/>
    <s v="Tratamento Oftalmológico "/>
    <s v="Eixo II: Sáude"/>
    <n v="1000000"/>
    <n v="1200000"/>
    <m/>
    <m/>
    <s v="Presidente Prudente/SP"/>
    <x v="2"/>
    <s v="William Boscoli Ribeiro"/>
    <n v="1"/>
  </r>
  <r>
    <s v="005/23"/>
    <s v="0003"/>
    <s v="Organização "/>
    <x v="3"/>
    <s v="Saber Mais, Viver Mais"/>
    <s v="Eixo III: Educação "/>
    <n v="341605"/>
    <n v="409926"/>
    <m/>
    <m/>
    <s v="São Paulo/SP"/>
    <x v="3"/>
    <s v="Thais Certain"/>
    <n v="1"/>
  </r>
  <r>
    <s v="007/23"/>
    <s v="0004"/>
    <s v="Organização "/>
    <x v="4"/>
    <s v="Saúde e Movimento"/>
    <s v="-"/>
    <n v="364980"/>
    <n v="437976"/>
    <m/>
    <m/>
    <s v="Presidente Prudente/SP"/>
    <x v="2"/>
    <s v="Sumaia Cristina Zahra Zakir Pereira"/>
    <n v="1"/>
  </r>
  <r>
    <s v="008/23"/>
    <s v="0005"/>
    <s v="Organização "/>
    <x v="5"/>
    <s v="Aquisição de cadeira de rodas, cadeira de banho, cama, guarda roupa e utensílios para cozinha"/>
    <s v="Eixo I: Promoção, Assistência e Desenvolvimento Social"/>
    <n v="250640"/>
    <n v="300768"/>
    <m/>
    <m/>
    <s v="Jacareí/SP"/>
    <x v="4"/>
    <s v="Flávia Aparecida Gonçalves Nascimento "/>
    <n v="1"/>
  </r>
  <r>
    <s v="009/23"/>
    <s v="0006"/>
    <s v="Organização "/>
    <x v="5"/>
    <s v="Adequação, Acessibilidade"/>
    <s v="Eixo I: Promoção, Assistência e Desenvolvimento Social"/>
    <n v="1288900"/>
    <n v="1546680"/>
    <m/>
    <m/>
    <s v="Jacareí/SP"/>
    <x v="4"/>
    <s v="Flávia Aparecida Gonçalves Nascimento "/>
    <n v="1"/>
  </r>
  <r>
    <s v="010/23"/>
    <s v="0007"/>
    <s v="Organização "/>
    <x v="5"/>
    <s v="Custeio"/>
    <s v="Eixo I: Promoção, Assistência e Desenvolvimento Social"/>
    <n v="1086393.5900000001"/>
    <n v="1303672.308"/>
    <m/>
    <m/>
    <s v="Jacareí/SP"/>
    <x v="4"/>
    <s v="Flávia Aparecida Gonçalves Nascimento "/>
    <n v="1"/>
  </r>
  <r>
    <s v="011/23"/>
    <s v="0008"/>
    <s v="Organização "/>
    <x v="6"/>
    <s v="O amor Exige Cuidado"/>
    <s v="Eixo VII: Cultura, Esporte, Turismo e Lazer"/>
    <n v="193281.12"/>
    <n v="231937.34400000001"/>
    <m/>
    <m/>
    <s v="São José dos Campos/SP"/>
    <x v="4"/>
    <s v="Nelcira Rosa da Silva Lima "/>
    <n v="1"/>
  </r>
  <r>
    <s v="013/23"/>
    <s v="0009"/>
    <s v="Organização "/>
    <x v="7"/>
    <s v="Cozinha"/>
    <s v="Eixo I: Promoção, Assistência e Desenvolvimento Social"/>
    <n v="69808.08"/>
    <n v="83769.695999999996"/>
    <m/>
    <m/>
    <s v="Salto Grande/SP"/>
    <x v="5"/>
    <s v="Bruna Fernandes Araujo"/>
    <m/>
  </r>
  <r>
    <s v="016/23"/>
    <s v="0010"/>
    <s v="Organização "/>
    <x v="8"/>
    <s v="Projeto Jacupiranga Melhor Idade"/>
    <s v="Eixo VII: Cultura, Esporte, Turismo e Lazer"/>
    <n v="29714"/>
    <n v="35656.800000000003"/>
    <m/>
    <m/>
    <s v="Jacupiranga/SP"/>
    <x v="6"/>
    <s v="SR. Angelo "/>
    <m/>
  </r>
  <r>
    <s v="017/23"/>
    <s v="0011"/>
    <s v="Organização "/>
    <x v="9"/>
    <s v="Energia do Bem "/>
    <s v="Eixo I: Promoção, Assistência e Desenvolvimento Social"/>
    <n v="91857.47"/>
    <n v="110228.96400000001"/>
    <m/>
    <m/>
    <s v="Cachoeira Paulista/SP"/>
    <x v="4"/>
    <s v="DéboraFerreira Comonian"/>
    <m/>
  </r>
  <r>
    <s v="018/23"/>
    <s v="0012"/>
    <s v="Organização "/>
    <x v="10"/>
    <s v="Ambiência para o bem-estar e eficiência na aplicação de recursos"/>
    <s v="Eixo I: Promoção, Assistência e Desenvolvimento Social"/>
    <n v="67100"/>
    <n v="80520"/>
    <m/>
    <m/>
    <s v="Guariba/SP"/>
    <x v="7"/>
    <s v="Gabriel Lopes"/>
    <m/>
  </r>
  <r>
    <s v="020/23"/>
    <s v="0014"/>
    <s v="Prefeitura"/>
    <x v="11"/>
    <s v="Fomento aos Direitos da Pessoa Idosa de Regente Feijó "/>
    <s v="Eixo I: Promoção, Assistência e Desenvolvimento Social"/>
    <n v="267000"/>
    <n v="320400"/>
    <m/>
    <m/>
    <s v="Regente Feijó "/>
    <x v="2"/>
    <s v="Marcel Henrique de Mello Moraes"/>
    <m/>
  </r>
  <r>
    <s v="022/23"/>
    <s v="0013"/>
    <s v="Organização "/>
    <x v="12"/>
    <s v="Reforma e Ampliação da Sala de Fisioterapia do Lar São Vicente de Paulo "/>
    <s v="Eixo I: Promoção, Assistência e Desenvolvimento Social"/>
    <n v="50000"/>
    <n v="60000"/>
    <m/>
    <m/>
    <s v="Bernadino de Campo/SP"/>
    <x v="8"/>
    <s v="Antônio Roberto de Oliveira"/>
    <n v="1"/>
  </r>
  <r>
    <s v="023/23"/>
    <m/>
    <s v="Prefeitura"/>
    <x v="13"/>
    <s v="Oficinas e atividades artístico-culturais como instrumento de Intervenção Social Emancipatória para a pessoa idosa em situação de vulnerabilidade social"/>
    <s v="Eixo VII: Cultura, Esporte, Turismo e Lazer"/>
    <n v="414308.85"/>
    <n v="497170.61999999994"/>
    <m/>
    <m/>
    <s v="São Jose do Rio Preto/SP"/>
    <x v="9"/>
    <s v="Eliana Cristina Lechado"/>
    <m/>
  </r>
  <r>
    <s v="024/23"/>
    <s v="0014"/>
    <s v="Organização "/>
    <x v="14"/>
    <s v="Bem Estar na Melhor Idade - Reforma do Abrigo Lar de Jesus"/>
    <s v="Eixo I: Promoção, Assistência e Desenvolvimento Social"/>
    <n v="267766.51"/>
    <n v="321319.81199999998"/>
    <m/>
    <m/>
    <s v="Anhumas/SP"/>
    <x v="2"/>
    <s v="Robson Mariano "/>
    <n v="1"/>
  </r>
  <r>
    <s v="025/23"/>
    <s v="0015"/>
    <s v="Organização "/>
    <x v="15"/>
    <s v="Idoso Digital: Inclusão e Fortalecimento da Cidadania para a Pessoa Idosa"/>
    <s v="Eixo I: Promoção, Assistência e Desenvolvimento Social"/>
    <n v="261777"/>
    <n v="314132.40000000002"/>
    <m/>
    <m/>
    <s v="Guarulhos/SP"/>
    <x v="10"/>
    <s v="Mariana S Leonardo"/>
    <n v="1"/>
  </r>
  <r>
    <s v="029/23"/>
    <s v="0016"/>
    <s v="Organização "/>
    <x v="16"/>
    <s v="Higiene Digna "/>
    <s v="Eixo V: Habitação e Urbanismo"/>
    <n v="70000"/>
    <n v="84000"/>
    <m/>
    <m/>
    <s v="Taquarituba/SP"/>
    <x v="5"/>
    <s v="Isabela Steinert Gabriel"/>
    <m/>
  </r>
  <r>
    <s v="033/23"/>
    <s v="0017"/>
    <s v="Organização "/>
    <x v="17"/>
    <s v="Colorir"/>
    <s v="Eixo I: Promoção, Assistência e Desenvolvimento Social"/>
    <n v="641438.57999999996"/>
    <n v="769726.29599999997"/>
    <m/>
    <m/>
    <s v="Limeira/SP"/>
    <x v="11"/>
    <s v="Bárbara Letícia Barbosa Pereira"/>
    <n v="1"/>
  </r>
  <r>
    <s v="034/23"/>
    <m/>
    <s v="Prefeitura"/>
    <x v="18"/>
    <s v="Vida Longa com Automonia e Bem Estar "/>
    <s v="Eixo I: Promoção, Assistência e Desenvolvimento Social"/>
    <n v="100000"/>
    <n v="120000"/>
    <m/>
    <m/>
    <s v="Votuporanga/SP"/>
    <x v="1"/>
    <s v="Meire Regina de Azevedo"/>
    <m/>
  </r>
  <r>
    <s v="035/23"/>
    <s v="0018"/>
    <s v="Organização "/>
    <x v="19"/>
    <s v="ConVIVER: Incentivando a Plenitude na 3° Idade "/>
    <s v="Eixo I: Promoção, Assistência e Desenvolvimento Social"/>
    <n v="283010"/>
    <n v="339612"/>
    <m/>
    <m/>
    <s v="Campinas/SP"/>
    <x v="12"/>
    <s v="Felipe Brandão Teles"/>
    <n v="1"/>
  </r>
  <r>
    <s v="036/23"/>
    <s v="0019"/>
    <s v="Organização "/>
    <x v="20"/>
    <s v="Projeto Viver Bem "/>
    <s v="Eixo I: Promoção, Assistência e Desenvolvimento Social_x000a_Eixo VII: Cultura, Esporte, Turismo e Lazer"/>
    <n v="53388"/>
    <n v="64065.599999999999"/>
    <m/>
    <m/>
    <s v="Juquia/SP"/>
    <x v="6"/>
    <s v="Rhiane Mello dos Santos Fernandes "/>
    <n v="1"/>
  </r>
  <r>
    <s v="039/23"/>
    <s v="0020"/>
    <s v="Organização "/>
    <x v="21"/>
    <s v="Buscando Qualidade de Vida "/>
    <s v="Eixo II: Sáude"/>
    <n v="220000"/>
    <n v="264000"/>
    <m/>
    <m/>
    <s v="Apiaí/SP"/>
    <x v="13"/>
    <s v="Alaíme Yuki monteiro Takiguchi Correa "/>
    <m/>
  </r>
  <r>
    <s v="042/23"/>
    <m/>
    <s v="Prefeitura"/>
    <x v="22"/>
    <s v="Segurança e Qualidade do Atendimento as Pessoas Idosas"/>
    <s v="Eixo I: Promoção, Assistência e Desenvolvimento Social"/>
    <n v="400000"/>
    <n v="480000"/>
    <m/>
    <m/>
    <s v="Apiaí/SP"/>
    <x v="13"/>
    <s v="Sergio Victor Borges Barbosa"/>
    <m/>
  </r>
  <r>
    <s v="043/23"/>
    <s v="0021"/>
    <s v="Organização "/>
    <x v="23"/>
    <s v="Acolhendo com Amor - Casa do Vovô - Reforma Hidráulica"/>
    <s v="Eixo I: Promoção, Assistência e Desenvolvimento Social"/>
    <n v="270000"/>
    <n v="324000"/>
    <m/>
    <m/>
    <s v="Ribeirão Preto/SP"/>
    <x v="7"/>
    <s v="Tatiane Tavares"/>
    <m/>
  </r>
  <r>
    <s v="044/23"/>
    <s v="0022"/>
    <s v="Organização "/>
    <x v="23"/>
    <s v="Cuidar com Excelência: Valorizando a Saúde da Pessoa Idosa "/>
    <s v="Eixo II: Sáude"/>
    <n v="188640"/>
    <n v="226368"/>
    <m/>
    <m/>
    <s v="Ribeirão Preto/SP"/>
    <x v="7"/>
    <s v="Tatiane Tavares"/>
    <m/>
  </r>
  <r>
    <s v="045/23"/>
    <s v="0023"/>
    <s v="Organização "/>
    <x v="23"/>
    <s v="Viver Ativo - Fomentando Saúde e Integração em Pessoas Idosas "/>
    <s v="Eixo VII: Cultura, Esporte, Turismo e Lazer"/>
    <n v="240000"/>
    <n v="288000"/>
    <m/>
    <m/>
    <s v="Ribeirão Preto/SP"/>
    <x v="7"/>
    <s v="Tatiane Tavares"/>
    <m/>
  </r>
  <r>
    <s v="046/23"/>
    <s v="0024"/>
    <s v="Organização "/>
    <x v="24"/>
    <s v="Tecnologia para a Terceira Idade  - Inclusão Digital e Social  "/>
    <s v="Eixo III: Educação"/>
    <n v="252000"/>
    <n v="302400"/>
    <m/>
    <m/>
    <s v="Ribeirão Preto/SP"/>
    <x v="7"/>
    <s v="Rosangela Aparecida Bellomo Minuti"/>
    <n v="1"/>
  </r>
  <r>
    <s v="047/23"/>
    <s v="0025"/>
    <s v="Organização "/>
    <x v="24"/>
    <s v="Adequação e Modernização do Ambiente Institucional: Acolhendo com Dignidade e Respeito"/>
    <s v="Eixo I: Promoção, Assistência e Desenvolvimento Social"/>
    <n v="500000"/>
    <n v="600000"/>
    <m/>
    <m/>
    <s v="Ribeirão Preto/SP"/>
    <x v="7"/>
    <s v="Rosangela Aparecida Bellomo Minuti"/>
    <n v="1"/>
  </r>
  <r>
    <s v="048/23"/>
    <s v="0026"/>
    <s v="Organização "/>
    <x v="25"/>
    <s v="Acolhendo a Melhor Idade"/>
    <s v="Eixo I: Promoção, Assistência e Desenvolvimento Social"/>
    <n v="200000"/>
    <n v="240000"/>
    <m/>
    <m/>
    <s v="Ribeirão Preto/SP"/>
    <x v="7"/>
    <s v="Luiz Carlos Peruchi"/>
    <n v="1"/>
  </r>
  <r>
    <s v="049/23"/>
    <s v="0027"/>
    <s v="Organização "/>
    <x v="26"/>
    <s v="Ambientar é Cuidar "/>
    <s v="Eixo I: Promoção, Assistência e Desenvolvimento Social"/>
    <n v="37863.96"/>
    <n v="45436.752"/>
    <m/>
    <m/>
    <s v="Ribeirão Preto/SP"/>
    <x v="7"/>
    <s v="Gislene Mazer"/>
    <m/>
  </r>
  <r>
    <s v="051/23"/>
    <s v="0028"/>
    <s v="Organização "/>
    <x v="27"/>
    <s v="Adequações e melhorias dos banheiros feminino e masculino"/>
    <s v="Eixo I: Promoção, Assistência e Desenvolvimento Social"/>
    <n v="345133.32"/>
    <n v="414159.984"/>
    <m/>
    <m/>
    <s v="Presidente Epitácio/SP"/>
    <x v="2"/>
    <s v="Virgínio Antonio Mechior"/>
    <n v="1"/>
  </r>
  <r>
    <s v="052/23"/>
    <s v="0029"/>
    <s v="Organização "/>
    <x v="28"/>
    <s v="Inclusão e Prevenção da Saúde da Pessoa Idosa com Deficiência Intelectual"/>
    <s v="Eixo II: Sáude"/>
    <n v="1431815.84"/>
    <n v="1718179.0079999999"/>
    <m/>
    <m/>
    <s v="São Paulo/SP"/>
    <x v="3"/>
    <s v="Fabio Rubson"/>
    <n v="1"/>
  </r>
  <r>
    <s v="053/23"/>
    <s v="0030"/>
    <s v="Organização "/>
    <x v="29"/>
    <s v="Projeto Gastronomia e Saberes da Pessoa Idosa"/>
    <s v="Eixo IV: Trabalho e Previdência Social"/>
    <n v="1111410.1299999999"/>
    <n v="1333692.156"/>
    <m/>
    <m/>
    <s v="São Paulo/SP"/>
    <x v="3"/>
    <s v="Jose Renato"/>
    <m/>
  </r>
  <r>
    <s v="054/23"/>
    <s v="0031"/>
    <s v="Organização "/>
    <x v="30"/>
    <s v="Cuidar, um Ato de Amor"/>
    <s v="Eixo I: Promoção, Assistência e Desenvolvimento Social"/>
    <n v="88952.51"/>
    <n v="106743.012"/>
    <m/>
    <m/>
    <s v="São Caeteno/SP"/>
    <x v="14"/>
    <s v="Marli Barreto Felício"/>
    <m/>
  </r>
  <r>
    <s v="055/23"/>
    <s v="0032"/>
    <s v="Organização "/>
    <x v="12"/>
    <s v="Melhorias e Adequações das Condições de Habitabilidade"/>
    <s v="Eixo V: Habitação e Urbanismo"/>
    <n v="388555.13"/>
    <n v="466266.15600000002"/>
    <m/>
    <m/>
    <s v="Descalvado/SP"/>
    <x v="15"/>
    <s v="Vírginia Elaine da S. N. Guiguer"/>
    <m/>
  </r>
  <r>
    <s v="058/23"/>
    <m/>
    <s v="Prefeitura"/>
    <x v="31"/>
    <s v="Sempre Sorrindo "/>
    <s v="Eixo II: Sáude"/>
    <n v="39973"/>
    <n v="47967.6"/>
    <m/>
    <m/>
    <s v="Descalvado/SP"/>
    <x v="15"/>
    <s v="Marly Colognesi Reschini"/>
    <m/>
  </r>
  <r>
    <s v="059/23"/>
    <m/>
    <s v="Prefeitura"/>
    <x v="31"/>
    <s v="Ouvir Melhor "/>
    <s v="Eixo II: Sáude"/>
    <n v="649980"/>
    <n v="779976"/>
    <m/>
    <m/>
    <s v="Descalvado/SP"/>
    <x v="15"/>
    <s v="Marly Colognesi Reschini"/>
    <m/>
  </r>
  <r>
    <s v="060/2"/>
    <m/>
    <s v="Prefeitura"/>
    <x v="31"/>
    <s v="Plantando Semente da Longevidade"/>
    <s v="Eixo II: Sáude"/>
    <n v="450000"/>
    <n v="540000"/>
    <m/>
    <m/>
    <s v="Descalvado/SP"/>
    <x v="15"/>
    <s v="Marly Colognesi Reschini"/>
    <m/>
  </r>
  <r>
    <s v="061/23"/>
    <s v="0033"/>
    <s v="Organização "/>
    <x v="12"/>
    <s v="Melhor Qualidade de Vida e Bem Estar dos Idosos Institucionalizados "/>
    <s v="Eixo I: Promoção, Assistência e Desenvolvimento Social"/>
    <n v="50000"/>
    <n v="60000"/>
    <m/>
    <m/>
    <s v="Barra Bonita/SP"/>
    <x v="16"/>
    <s v="Adriana Vieira "/>
    <m/>
  </r>
  <r>
    <s v="062/23"/>
    <s v="0034"/>
    <s v="Organização "/>
    <x v="32"/>
    <s v="CEC Bem Viver"/>
    <s v="Eixo I: Promoção, Assistência e Desenvolvimento Social"/>
    <n v="34150"/>
    <n v="40980"/>
    <m/>
    <m/>
    <s v="Barra Bonita/SP"/>
    <x v="16"/>
    <s v="Luiz Pizzo "/>
    <m/>
  </r>
  <r>
    <s v="063/23"/>
    <s v="0035"/>
    <s v="Organização "/>
    <x v="12"/>
    <s v="Investimento no Bem-Estar dos Idosos Institucionalizados "/>
    <s v="Eixo I: Promoção, Assistência e Desenvolvimento Social"/>
    <n v="67450"/>
    <n v="80940"/>
    <m/>
    <m/>
    <s v="Mineiros do Tietê/SP"/>
    <x v="16"/>
    <s v="Vera Lúcia Giraldi Real"/>
    <m/>
  </r>
  <r>
    <s v="065/23"/>
    <s v="0036"/>
    <s v="Organização "/>
    <x v="33"/>
    <s v="Construindo Laços: Um Caminho para o Bem Estar dos Idosos "/>
    <s v="Eixo VII: Cultura, Esporte, Turismo e Lazer"/>
    <n v="208890"/>
    <n v="250668"/>
    <m/>
    <m/>
    <s v="Sorocaba/SP"/>
    <x v="17"/>
    <s v="Mariangela Geraldi"/>
    <m/>
  </r>
  <r>
    <s v="066/23"/>
    <s v="0037"/>
    <s v="Organização "/>
    <x v="34"/>
    <s v="Velha história, Novos Retalhos – Resgatando Vidas"/>
    <s v="Eixo VII: Cultura, Esporte, Turismo e Lazer"/>
    <n v="49800"/>
    <n v="59760"/>
    <m/>
    <m/>
    <s v="Itapecerica da Serra/SP"/>
    <x v="0"/>
    <s v="Teresa Takemura Kawasaki"/>
    <m/>
  </r>
  <r>
    <s v="067/23"/>
    <m/>
    <s v="Prefeitura"/>
    <x v="35"/>
    <s v="Saber Viver na Melhor Idade"/>
    <s v="Eixo I: Promoção, Assistência e Desenvolvimento Social"/>
    <n v="188300"/>
    <n v="225960"/>
    <m/>
    <m/>
    <s v="Cássia dos Coqueiros/SP"/>
    <x v="7"/>
    <s v="Silvio Santos dos Reis Faria "/>
    <m/>
  </r>
  <r>
    <s v="068/2"/>
    <s v="0038"/>
    <s v="Organização "/>
    <x v="36"/>
    <s v="Serviço de Convivência e Fortalecimento de Vínculos — SCFV para Pessoas Idosas, com idade igual ou acima de 60 anos"/>
    <s v="Eixo VII: Cultura, Esporte, Turismo e Lazer"/>
    <n v="68680"/>
    <n v="82416"/>
    <m/>
    <m/>
    <s v="São José dos Campos/SP"/>
    <x v="4"/>
    <s v="Maria Cristina Sundfeld"/>
    <n v="1"/>
  </r>
  <r>
    <s v="069/23"/>
    <s v="0039"/>
    <s v="Organização "/>
    <x v="37"/>
    <s v="Renovar "/>
    <s v="Eixo I: Promoção, Assistência e Desenvolvimento Social"/>
    <n v="44934"/>
    <n v="53920.800000000003"/>
    <m/>
    <m/>
    <s v="Urânia/SP"/>
    <x v="1"/>
    <s v="Zélia Souza Silva"/>
    <m/>
  </r>
  <r>
    <s v="072/23"/>
    <s v="0040"/>
    <s v="Organização "/>
    <x v="38"/>
    <s v="Centro de Convivio da Pessoa Idosa"/>
    <s v="Eixo I: Promoção, Assistência e Desenvolvimento Social"/>
    <n v="360000"/>
    <n v="432000"/>
    <m/>
    <m/>
    <s v="Araraquara/SP"/>
    <x v="15"/>
    <s v="Maria Elena Baptista"/>
    <n v="1"/>
  </r>
  <r>
    <s v="074/23"/>
    <m/>
    <s v="Prefeitura"/>
    <x v="39"/>
    <s v="Bem Viver "/>
    <s v="Eixo I: Promoção, Assistência e Desenvolvimento Social"/>
    <n v="133070"/>
    <n v="159684"/>
    <m/>
    <m/>
    <s v="Aparecida D'Oeste/SP"/>
    <x v="1"/>
    <s v="Sandra Regina Penariol"/>
    <m/>
  </r>
  <r>
    <s v="075/23"/>
    <s v="0041"/>
    <s v="Organização "/>
    <x v="40"/>
    <s v="Repórter 60+"/>
    <s v="Eixo III: Educação_x000a_Eixo VII: (Cultura, Esporte, Turismo e Lazer"/>
    <n v="620100"/>
    <n v="744120"/>
    <m/>
    <m/>
    <s v="Guapiaçu/SP"/>
    <x v="18"/>
    <s v="Isabel Dsávila"/>
    <n v="1"/>
  </r>
  <r>
    <s v="077/23"/>
    <s v="0042"/>
    <s v="Organização "/>
    <x v="41"/>
    <s v="Aconchego"/>
    <s v="Eixo I: Promoção, Assistência e Desenvolvimento Social"/>
    <n v="240000"/>
    <n v="288000"/>
    <m/>
    <m/>
    <s v="Tambáu/SP"/>
    <x v="19"/>
    <s v="Jose Luiz Furtado"/>
    <m/>
  </r>
  <r>
    <s v="079/23"/>
    <s v="0043"/>
    <s v="Organização "/>
    <x v="42"/>
    <s v="Vida Plena- Envelhecer com Qualidade"/>
    <s v="Eixo VII: Cultura, Esporte, Turismo e Lazer"/>
    <n v="396760.14"/>
    <n v="476112.16800000001"/>
    <m/>
    <m/>
    <s v="Pindamonhangaba/SP"/>
    <x v="4"/>
    <s v="Regina Pessoa "/>
    <n v="1"/>
  </r>
  <r>
    <s v="080/23"/>
    <s v="0044"/>
    <s v="Organização "/>
    <x v="42"/>
    <s v="Novos Tempos - Envelhecer com Qualidade em Mogi das Cruzes "/>
    <s v="Eixo VII: Cultura, Esporte, Turismo e Lazer"/>
    <n v="579789.01"/>
    <n v="695746.81200000003"/>
    <m/>
    <m/>
    <s v="Pindamonhangaba/SP"/>
    <x v="4"/>
    <s v="Regina Pessoa "/>
    <n v="1"/>
  </r>
  <r>
    <s v="081/23"/>
    <s v="0045"/>
    <s v="Organização "/>
    <x v="43"/>
    <s v="Entreterimento aos Idosos (Televisor de 85&quot;)"/>
    <s v="Eixo I: Promoção, Assistência e Desenvolvimento Social"/>
    <n v="10000"/>
    <n v="12000"/>
    <m/>
    <m/>
    <s v="Brotas/SP"/>
    <x v="11"/>
    <s v="Neuza Maria Pascoalotti Berto"/>
    <m/>
  </r>
  <r>
    <s v="084/23"/>
    <s v="0046"/>
    <s v="Organização "/>
    <x v="44"/>
    <s v="Centro Dia – Um novo olhar "/>
    <s v="Eixo IV: Trabalho e Previdência Social"/>
    <n v="180000"/>
    <n v="216000"/>
    <m/>
    <m/>
    <s v="São Carlos/SP"/>
    <x v="15"/>
    <s v="Cleonice Lavandoski Amato"/>
    <m/>
  </r>
  <r>
    <s v="085/23"/>
    <s v="0047"/>
    <s v="Organização "/>
    <x v="45"/>
    <s v="Inclusão Digital de Pessoas Idosas no Cine Favela Heliópolis"/>
    <s v="Eixo I: Promoção, Assistência e Desenvolvimento Social"/>
    <n v="1111410.1299999999"/>
    <n v="1333692.156"/>
    <m/>
    <m/>
    <s v="São Paulo/SP"/>
    <x v="3"/>
    <s v="Geneci Ledo de Tulio"/>
    <m/>
  </r>
  <r>
    <s v="086/23"/>
    <s v="0048"/>
    <s v="Organização "/>
    <x v="46"/>
    <s v="Mantendo Vivos Nossos Sorrisos "/>
    <s v="Eixo I: Promoção, Assistência e Desenvolvimento Social"/>
    <n v="102600"/>
    <n v="123120"/>
    <m/>
    <m/>
    <s v="Sete Barras"/>
    <x v="6"/>
    <s v="Micaela Oliveira"/>
    <m/>
  </r>
  <r>
    <s v="087/23"/>
    <s v="0049"/>
    <s v="Organização "/>
    <x v="47"/>
    <s v="Vida Plena - Cuidando do Amanhã"/>
    <s v="Eixo I: Promoção, Assistência e Desenvolvimento Social"/>
    <n v="650000"/>
    <n v="57764.160000000003"/>
    <n v="780000"/>
    <m/>
    <s v="Santo Antonio da Alegria/SP"/>
    <x v="7"/>
    <s v="Luiz Ricardo dos Santos"/>
    <n v="1"/>
  </r>
  <r>
    <s v="089/23"/>
    <m/>
    <s v="Prefeitura"/>
    <x v="48"/>
    <s v="Trilhas das Memorias "/>
    <s v="Eixo VII: Cultura, Esporte, Turismo e Lazer"/>
    <n v="434000"/>
    <n v="520800"/>
    <m/>
    <m/>
    <s v="Santa Cruz da Esperança/SP"/>
    <x v="7"/>
    <s v="Celia Cristina Cestari"/>
    <m/>
  </r>
  <r>
    <s v="092/23"/>
    <s v="0050"/>
    <s v="Organização "/>
    <x v="49"/>
    <s v="Envelhecência: Envelhecer com Dignidade "/>
    <s v="Eixo I: Promoção, Assistência e Desenvolvimento Social"/>
    <n v="500000"/>
    <n v="600000"/>
    <m/>
    <m/>
    <s v="Campinas/SP"/>
    <x v="12"/>
    <s v="Claudio Raizaro"/>
    <n v="1"/>
  </r>
  <r>
    <s v="093/23"/>
    <s v="0051"/>
    <s v="Organização "/>
    <x v="50"/>
    <s v="Sênior healt: espaço de práticas integrativas"/>
    <s v="Eixo VII: Cultura, Esporte, Turismo e Lazer"/>
    <n v="88496"/>
    <n v="106195.2"/>
    <m/>
    <m/>
    <s v="Bauru/SP"/>
    <x v="16"/>
    <s v="Arianni Pereira Milano"/>
    <n v="1"/>
  </r>
  <r>
    <s v="094/23"/>
    <s v="0052"/>
    <s v="Organização "/>
    <x v="51"/>
    <s v="Saúde na Melhor Idade"/>
    <s v="Eixo VII: Cultura, Esporte, Turismo e Lazer"/>
    <n v="60000"/>
    <n v="72000"/>
    <m/>
    <m/>
    <s v="Bauru/SP"/>
    <x v="16"/>
    <s v="Osvaldo Aparecido Hudinik "/>
    <n v="1"/>
  </r>
  <r>
    <s v="095/23"/>
    <s v="0053"/>
    <s v="Organização "/>
    <x v="52"/>
    <s v="Apoio e Cuidado para Viver Melhor"/>
    <s v="Eixo I: Promoção, Assistência e Desenvolvimento Social"/>
    <n v="40000"/>
    <n v="48000"/>
    <m/>
    <m/>
    <s v="Bauru/SP"/>
    <x v="16"/>
    <s v="Daiane Cordeiro de Mattos Souza"/>
    <n v="1"/>
  </r>
  <r>
    <s v="096/23"/>
    <s v="0054"/>
    <s v="Organização "/>
    <x v="53"/>
    <s v="Projetos que contemplem o fornecimento de próteses, órteses e outros recursos relativos ao tratamento, habilitação ou reabilitação de pessoas idosas, conforme artigo 15, 2º da lei federal nº 10.741/2003 e suas alterações"/>
    <s v="Eixo II: Sáude"/>
    <n v="73150"/>
    <n v="87780"/>
    <m/>
    <m/>
    <s v="Lençois Paulista/SP"/>
    <x v="16"/>
    <s v="Angela Silvana Fermino"/>
    <m/>
  </r>
  <r>
    <s v="097/23"/>
    <m/>
    <s v="Prefeitura"/>
    <x v="54"/>
    <s v="Viva Vida"/>
    <s v="Eixo VII: Cultura, Esporte, Turismo e Lazer"/>
    <n v="400000"/>
    <n v="480000"/>
    <m/>
    <m/>
    <s v="Capela do Alto/SP"/>
    <x v="17"/>
    <s v="Sonia Rodrigues Carriel"/>
    <m/>
  </r>
  <r>
    <s v="098/23"/>
    <s v="0055"/>
    <s v="Organização "/>
    <x v="55"/>
    <s v="VoVs PoD"/>
    <s v="Eixo VII: Cultura, Esporte, Turismo e Lazer"/>
    <n v="600000"/>
    <n v="720000"/>
    <m/>
    <m/>
    <s v="São Paulo/SP"/>
    <x v="3"/>
    <s v="Marcelo Gomes Freitas Rezende "/>
    <n v="1"/>
  </r>
  <r>
    <s v="099/23"/>
    <s v="0056"/>
    <s v="Organização "/>
    <x v="55"/>
    <s v="TURI - Turismo Urbano Imersivo"/>
    <s v="Eixo VII: Cultura, Esporte, Turismo e Lazer"/>
    <n v="640000"/>
    <n v="768000"/>
    <m/>
    <m/>
    <s v="São Paulo/SP"/>
    <x v="3"/>
    <s v="Marcelo Gomes Freitas Rezende "/>
    <n v="1"/>
  </r>
  <r>
    <s v="100/23"/>
    <s v="0057"/>
    <s v="Organização "/>
    <x v="55"/>
    <s v="Hackathon 60+"/>
    <s v="Eixo III: Educação"/>
    <n v="1400000"/>
    <n v="1680000"/>
    <m/>
    <m/>
    <s v="São Paulo/SP"/>
    <x v="3"/>
    <s v="Marcelo Gomes Freitas Rezende "/>
    <n v="1"/>
  </r>
  <r>
    <s v="101/23"/>
    <s v="0058"/>
    <s v="Organização "/>
    <x v="56"/>
    <s v="Melhorias Estruturais na Instalação Vila Vicentina de Araraquara "/>
    <s v="Eixo V: Habitação e Urbanismo"/>
    <n v="11210"/>
    <n v="13452"/>
    <m/>
    <m/>
    <s v="Araraquara/SP"/>
    <x v="15"/>
    <s v="Nathan Reinaldo Carvalho Silva"/>
    <n v="1"/>
  </r>
  <r>
    <s v="103/23"/>
    <s v="0059"/>
    <s v="Organização "/>
    <x v="57"/>
    <s v="Viver e Existir - Apoio Domiciliar para idosos"/>
    <s v="Eixo I: Promoção, Assistência e Desenvolvimento Social"/>
    <n v="377095.48"/>
    <n v="452514.576"/>
    <m/>
    <m/>
    <s v="Osasco/SP"/>
    <x v="0"/>
    <s v="Deborah Cristiane de Jesus Santos"/>
    <n v="1"/>
  </r>
  <r>
    <s v="104/23"/>
    <s v="0060"/>
    <s v="Organização "/>
    <x v="58"/>
    <s v="Dignidade "/>
    <s v="Eixo VII: Cultura, Esporte, Turismo e Lazer"/>
    <n v="332860"/>
    <n v="399432"/>
    <m/>
    <m/>
    <s v="Sorocaba/SP"/>
    <x v="17"/>
    <s v="Thelma Cattani"/>
    <m/>
  </r>
  <r>
    <s v="106/23"/>
    <m/>
    <s v="Prefeitura"/>
    <x v="59"/>
    <s v="Projeto de Captação de Recurso Governamental"/>
    <s v="Eixo I: Promoção, Assistência e Desenvolvimento Social"/>
    <n v="988105.45"/>
    <n v="1185726.5399999998"/>
    <m/>
    <m/>
    <s v="Birigui/SP"/>
    <x v="20"/>
    <s v="Márcia de Araújo Maria Vicente"/>
    <m/>
  </r>
  <r>
    <s v="107/23"/>
    <m/>
    <s v="Prefeitura"/>
    <x v="59"/>
    <s v="Projeto Criação Do Centro Inovador De Referência Para Idosos – Grau   De Dependência III"/>
    <s v="Eixo I: Promoção, Assistência e Desenvolvimento Social"/>
    <n v="3270000"/>
    <n v="3924000"/>
    <m/>
    <m/>
    <s v="Birigui/SP"/>
    <x v="20"/>
    <s v="Maria Regina Doná Celestino"/>
    <m/>
  </r>
  <r>
    <s v="109/23"/>
    <s v="0061"/>
    <s v="Organização "/>
    <x v="60"/>
    <s v="Curso de Formação Inicial e Continuada de Cuidador(a) de pessoas Idosas"/>
    <s v="Eixo III: Educação"/>
    <n v="1074000"/>
    <n v="1288800"/>
    <m/>
    <m/>
    <s v="Birigui/SP"/>
    <x v="20"/>
    <s v="Rogerio "/>
    <n v="1"/>
  </r>
  <r>
    <s v="111/23"/>
    <s v="0062"/>
    <s v="Organização "/>
    <x v="60"/>
    <s v="ILPI – Manutenção de RH, Reforma e Adequação de Estrutura Física, Compra de Material de Uso e Consumo e Troca de Equipamento Permantesnte"/>
    <s v="Eixo I: Promoção, Assistência e Desenvolvimento Social"/>
    <n v="1919116.46"/>
    <n v="2302939.7519999999"/>
    <m/>
    <m/>
    <s v="Birigui/SP"/>
    <x v="20"/>
    <s v="Rogerio "/>
    <n v="1"/>
  </r>
  <r>
    <s v="112/23"/>
    <s v="0063"/>
    <s v="Organização "/>
    <x v="61"/>
    <s v="Projeto Técnico de Acolhimento Institucional para Idosos - Grau de Dependência III"/>
    <s v="Eixo I: Promoção, Assistência e Desenvolvimento Social"/>
    <n v="0"/>
    <n v="0"/>
    <m/>
    <m/>
    <s v="Birigui/SP"/>
    <x v="20"/>
    <s v="Maria Regina Doná Celestino"/>
    <m/>
  </r>
  <r>
    <s v="113/23"/>
    <s v="0064"/>
    <s v="Organização "/>
    <x v="62"/>
    <s v="Serviço de Acolhimento para Idoso "/>
    <s v="Eixo I: Promoção, Assistência e Desenvolvimento Social"/>
    <n v="532258"/>
    <n v="638709.6"/>
    <m/>
    <m/>
    <s v="Espírito Santo do Pinhal/SP"/>
    <x v="19"/>
    <s v="Mariana Carolina Baraldi Dehn"/>
    <m/>
  </r>
  <r>
    <s v="114/23"/>
    <s v="0065"/>
    <s v="Organização "/>
    <x v="62"/>
    <s v="Usina Fotovoltaica"/>
    <s v="Eixo I: Promoção, Assistência e Desenvolvimento Social"/>
    <n v="200000"/>
    <n v="240000"/>
    <m/>
    <m/>
    <s v="Espírito Santo do Pinhal/SP"/>
    <x v="19"/>
    <s v="Bruna Fernanda Rezende "/>
    <m/>
  </r>
  <r>
    <s v="115/23"/>
    <s v="0066"/>
    <s v="Organização "/>
    <x v="63"/>
    <s v="Poomsae - Viva Maturidade"/>
    <s v="Eixo VII: Cultura, Esporte, Turismo e Lazer"/>
    <n v="627681.1"/>
    <n v="753217.32"/>
    <m/>
    <m/>
    <s v="São Paulo/SP"/>
    <x v="3"/>
    <s v="Thamires Catharino"/>
    <n v="1"/>
  </r>
  <r>
    <s v="116/23"/>
    <s v="0067"/>
    <s v="Organização "/>
    <x v="63"/>
    <s v="Projeto - Dança, Idade e Atitude"/>
    <s v="Eixo VII: Cultura, Esporte, Turismo e Lazer"/>
    <n v="565125"/>
    <n v="678150"/>
    <m/>
    <m/>
    <s v="São Paulo/SP"/>
    <x v="3"/>
    <s v="Thamires Catharino"/>
    <m/>
  </r>
  <r>
    <s v="117/23"/>
    <s v="0068"/>
    <s v="Organização "/>
    <x v="63"/>
    <s v="Arte Viva"/>
    <s v="Eixo VII: Cultura, Esporte, Turismo e Lazer"/>
    <n v="428436"/>
    <n v="514123.2"/>
    <m/>
    <m/>
    <s v="São Paulo/SP"/>
    <x v="3"/>
    <s v="Thamires Catharino"/>
    <m/>
  </r>
  <r>
    <s v="118/23"/>
    <s v="0069"/>
    <s v="Organização "/>
    <x v="64"/>
    <s v="Mão que Transformam - Envelhecendo com Saúde"/>
    <s v="Eixo I: Promoção, Assistência e Desenvolvimento Social"/>
    <n v="1704249.92"/>
    <n v="2045099.9040000001"/>
    <m/>
    <m/>
    <s v="Americana/SP"/>
    <x v="12"/>
    <s v="Thais Carolina Pereira"/>
    <n v="1"/>
  </r>
  <r>
    <s v="120/23"/>
    <s v="0070"/>
    <s v="Organização "/>
    <x v="65"/>
    <s v="Alimentação Saudável para Pessoa Idosa"/>
    <s v="Eixo I: Promoção, Assistência e Desenvolvimento Social"/>
    <n v="821650"/>
    <n v="985980"/>
    <m/>
    <m/>
    <s v="São Paulo/SP"/>
    <x v="3"/>
    <s v="Pablo Valldecabres Polop"/>
    <n v="1"/>
  </r>
  <r>
    <s v="121/23"/>
    <s v="0071"/>
    <s v="Organização "/>
    <x v="65"/>
    <s v="Qualidade de Vida, Esporte e Inclusão dos Idosos Em São Paulo"/>
    <s v="Eixo VII: Cultura, Esporte, Turismo e Lazer"/>
    <n v="368150"/>
    <n v="441780"/>
    <m/>
    <m/>
    <s v="São Paulo/SP"/>
    <x v="3"/>
    <s v="Pablo Valldecabres Polop"/>
    <n v="1"/>
  </r>
  <r>
    <s v="128/23"/>
    <s v="0072"/>
    <s v="Organização "/>
    <x v="66"/>
    <s v="Viver e Acolher "/>
    <s v="Eixo I: Promoção, Assistência e Desenvolvimento Social"/>
    <n v="738607"/>
    <n v="886328.4"/>
    <m/>
    <m/>
    <s v="São Paulo/SP"/>
    <x v="3"/>
    <s v="João Felipe Egídio"/>
    <m/>
  </r>
  <r>
    <s v="130/23"/>
    <s v="0073"/>
    <s v="Organização "/>
    <x v="67"/>
    <s v="A implementação de novas tecnologias com vista a sustentabilidade"/>
    <s v="Eixo I: Promoção, Assistência e Desenvolvimento Social"/>
    <n v="91188.36"/>
    <n v="109426.03200000001"/>
    <m/>
    <m/>
    <s v="Caraguatatuba/SP"/>
    <x v="4"/>
    <s v="Luiz Otávio Paes "/>
    <m/>
  </r>
  <r>
    <s v="131/23"/>
    <s v="0074"/>
    <s v="Organização "/>
    <x v="68"/>
    <s v="Projeto Bem Cuidar - Cuidando de Quem já Cuidou "/>
    <s v="Eixo I: Promoção, Assistência e Desenvolvimento Social"/>
    <n v="711386.16"/>
    <n v="853663.39199999999"/>
    <m/>
    <m/>
    <s v="Caraguatatuba/SP"/>
    <x v="4"/>
    <s v="Célia Alves dos Santos Guimaraães "/>
    <m/>
  </r>
  <r>
    <s v="132/23"/>
    <m/>
    <s v="Prefeitura"/>
    <x v="69"/>
    <s v="Conviver Bem Juntos"/>
    <s v="Eixo VII: Cultura, Esporte, Turismo e Lazer"/>
    <n v="174295.5"/>
    <n v="209154.6"/>
    <m/>
    <m/>
    <s v="Caraguatatuba/SP"/>
    <x v="4"/>
    <s v="MarianaEstella Cestari "/>
    <m/>
  </r>
  <r>
    <s v="133/23"/>
    <m/>
    <s v="Prefeitura"/>
    <x v="69"/>
    <s v="Especializar é Cuidar "/>
    <s v="Eixo III: Educação "/>
    <n v="324000"/>
    <n v="388800"/>
    <m/>
    <m/>
    <s v="Caraguatatuba/SP"/>
    <x v="4"/>
    <s v="AmauriBarboza de Toledo"/>
    <m/>
  </r>
  <r>
    <s v="134/23"/>
    <m/>
    <s v="Prefeitura"/>
    <x v="69"/>
    <s v="Qualificação de Atendimento e Reabilitação de Pessoas Idosas com Mobilidade Reduzida"/>
    <s v="Eixo II: Sáude"/>
    <n v="600000"/>
    <n v="720000"/>
    <m/>
    <m/>
    <s v="Caraguatatuba/SP"/>
    <x v="4"/>
    <s v="Adriano Fernandes Gazalli"/>
    <m/>
  </r>
  <r>
    <s v="136/23"/>
    <m/>
    <s v="Prefeitura"/>
    <x v="70"/>
    <s v="Crescer Juntos: Viveiro de Mudas para Terceira Idade"/>
    <s v="Eixo VII: Cultura, Esporte, Turismo e Lazer"/>
    <n v="3287929.33"/>
    <n v="3945515.196"/>
    <m/>
    <m/>
    <s v="Ourinhos/SP"/>
    <x v="5"/>
    <s v="Raquel Borges Spada"/>
    <m/>
  </r>
  <r>
    <s v="137/23"/>
    <m/>
    <s v="Prefeitura"/>
    <x v="70"/>
    <s v="Viva Bem na Terceira Idade"/>
    <s v="Eixo VII: Cultura, Esporte, Turismo e Lazer"/>
    <n v="348245"/>
    <n v="417894"/>
    <m/>
    <m/>
    <s v="Ourinhos/SP"/>
    <x v="5"/>
    <s v="Raquel Borges Spada"/>
    <m/>
  </r>
  <r>
    <s v="139/23"/>
    <s v="0075"/>
    <s v="Organização "/>
    <x v="71"/>
    <s v="Vozes Mais "/>
    <s v="Eixo VII: Cultura, Esporte, Turismo e Lazer"/>
    <n v="195000"/>
    <n v="234000"/>
    <m/>
    <m/>
    <s v="São Paulo/SP"/>
    <x v="3"/>
    <s v="Ruziay Louzada"/>
    <m/>
  </r>
  <r>
    <s v="140/23"/>
    <s v="0076"/>
    <s v="Organização "/>
    <x v="72"/>
    <s v="Energia Fotovoltaico – Autosustentabilidade Em Consumo De Energia "/>
    <s v="Eixo I: Promoção, Assistência e Desenvolvimento Social"/>
    <n v="181500"/>
    <n v="217800"/>
    <m/>
    <m/>
    <s v="Marília/SP"/>
    <x v="21"/>
    <s v="Charles Cardoso Coelho "/>
    <m/>
  </r>
  <r>
    <s v="141/23"/>
    <m/>
    <s v="Prefeitura"/>
    <x v="73"/>
    <s v="Projeto Bem Querer Com A Melhor Idade De Mira Estrela."/>
    <s v="Eixo I: Promoção, Assistência e Desenvolvimento Social"/>
    <n v="50000"/>
    <n v="60000"/>
    <m/>
    <m/>
    <s v="Mira Estrela/SP"/>
    <x v="1"/>
    <s v="Glaucia Milene Saionete Lopes"/>
    <m/>
  </r>
  <r>
    <s v="143/23"/>
    <s v="0077"/>
    <s v="Organização "/>
    <x v="74"/>
    <s v="Projeto Guardiões do Brincar"/>
    <s v="Eixo VII: Cultura, Esporte, Turismo e Lazer"/>
    <n v="290550.48"/>
    <n v="348660.576"/>
    <m/>
    <m/>
    <s v="São Paulo/SP"/>
    <x v="3"/>
    <s v="Jéssica Guerreira Gimenes Martins"/>
    <m/>
  </r>
  <r>
    <s v="145/23"/>
    <m/>
    <s v="Prefeitura"/>
    <x v="75"/>
    <s v="Reviver - A Arte de Envelhecer "/>
    <s v="Eixo IV – Trabalho e Previdência Social"/>
    <n v="212700.49"/>
    <n v="255240.58799999999"/>
    <m/>
    <m/>
    <s v="Francisco Morato/SP"/>
    <x v="10"/>
    <s v="Maria Aparecida Bisetto"/>
    <m/>
  </r>
  <r>
    <s v="146/23"/>
    <s v="0078"/>
    <s v="Organização "/>
    <x v="76"/>
    <s v="Viver na Melhor Idade"/>
    <s v="Eixo VII: Cultura, Esporte, Turismo e Lazer"/>
    <n v="0"/>
    <n v="0"/>
    <m/>
    <m/>
    <s v="São Paulo/SP"/>
    <x v="3"/>
    <s v="Jacqueline"/>
    <m/>
  </r>
  <r>
    <s v="147/23"/>
    <s v="0079"/>
    <s v="Organização "/>
    <x v="77"/>
    <s v="Saúde Mental e Bem-Estar "/>
    <s v="Eixo VII: Cultura, Esporte, Turismo e Lazer"/>
    <n v="698651"/>
    <n v="838381.2"/>
    <m/>
    <m/>
    <s v="São Paulo/SP"/>
    <x v="3"/>
    <s v="Mário Ferreira"/>
    <m/>
  </r>
  <r>
    <s v="149/23"/>
    <s v="0080"/>
    <s v="Organização "/>
    <x v="78"/>
    <s v="Qualidade dos Serviços para a Pessoa Idosa"/>
    <s v="Eixo I: Promoção, Assistência e Desenvolvimento Social"/>
    <n v="212001.12"/>
    <n v="254401.34400000001"/>
    <m/>
    <m/>
    <s v="São Paulo/SP"/>
    <x v="3"/>
    <s v="Marisa Simeão"/>
    <m/>
  </r>
  <r>
    <s v="150/23"/>
    <s v="0081"/>
    <s v="Organização "/>
    <x v="78"/>
    <s v="Fortalecendo o Olhar para o Cuidado"/>
    <s v="Eixo III: Educação"/>
    <n v="997772.88"/>
    <n v="1197327.456"/>
    <m/>
    <m/>
    <s v="São Paulo/SP"/>
    <x v="3"/>
    <s v="Marisa Simeão"/>
    <m/>
  </r>
  <r>
    <s v="151/23"/>
    <s v="0082"/>
    <s v="Organização "/>
    <x v="78"/>
    <s v="Espaço Velho Amigo de Práticas Integrativas"/>
    <s v="Eixo I: Promoção, Assistência e Desenvolvimento Social"/>
    <n v="482556.27"/>
    <n v="579067.52399999998"/>
    <m/>
    <m/>
    <s v="São Paulo/SP"/>
    <x v="3"/>
    <s v="Marisa Simeão"/>
    <m/>
  </r>
  <r>
    <s v="152/23"/>
    <m/>
    <s v="Prefeitura"/>
    <x v="79"/>
    <s v="Tecnologia e Mídias Sociais "/>
    <s v="Eixo I: Promoção, Assistência e Desenvolvimento Social"/>
    <n v="72659.16"/>
    <n v="87190.991999999998"/>
    <m/>
    <m/>
    <s v="Taubaté/SP"/>
    <x v="4"/>
    <s v="Cassia Camila Val de Melo"/>
    <m/>
  </r>
  <r>
    <s v="153/23"/>
    <m/>
    <s v="Prefeitura"/>
    <x v="79"/>
    <s v="Taubaté, Cidade aAmiga da Pessoa Idosa"/>
    <s v="Eixo I: Promoção, Assistência e Desenvolvimento Social"/>
    <n v="360000"/>
    <n v="432000"/>
    <m/>
    <m/>
    <s v="Taubaté/SP"/>
    <x v="4"/>
    <s v="Cassia Camila Val de Melo"/>
    <m/>
  </r>
  <r>
    <s v="155/23"/>
    <s v="0083"/>
    <s v="Organização "/>
    <x v="80"/>
    <s v="Aquisição de Cadeiras de Rodas e Mesa de Fereição no Leito"/>
    <s v="Eixo I: Promoção, Assistência e Desenvolvimento Social"/>
    <n v="54100"/>
    <n v="64920"/>
    <m/>
    <m/>
    <s v="Pindamonhangaba/SP"/>
    <x v="4"/>
    <s v="Álvaro César Bodini"/>
    <m/>
  </r>
  <r>
    <s v="156/23"/>
    <s v="0084"/>
    <s v="Organização "/>
    <x v="80"/>
    <s v="Aquisição de Ar Condicionado e Telão Projetor"/>
    <s v="Eixo I: Promoção, Assistência e Desenvolvimento Social"/>
    <n v="105800"/>
    <n v="126960"/>
    <m/>
    <m/>
    <s v="Pindamonhangaba/SP"/>
    <x v="4"/>
    <s v="Álvaro César Bodini"/>
    <m/>
  </r>
  <r>
    <s v="157/23"/>
    <s v="0085"/>
    <s v="Organização "/>
    <x v="81"/>
    <s v="Vivência e Afetos na Maturidade "/>
    <s v="Eixo I: Promoção, Assistência e Desenvolvimento Social"/>
    <n v="293034.33"/>
    <n v="351641.196"/>
    <m/>
    <m/>
    <s v="Artur Nogueira/SP"/>
    <x v="12"/>
    <s v="Marlene da Cruz de Ameida"/>
    <m/>
  </r>
  <r>
    <s v="158/23"/>
    <s v="0086"/>
    <s v="Organização "/>
    <x v="81"/>
    <s v="Vidas em Movimentos"/>
    <s v="Eixo I: Promoção, Assistência e Desenvolvimento Social"/>
    <n v="455848.37"/>
    <n v="547018.04399999999"/>
    <m/>
    <m/>
    <s v="Artur Nogueira/SP"/>
    <x v="12"/>
    <s v="Solange Moreno Ramirez da Silva"/>
    <m/>
  </r>
  <r>
    <s v="160/23"/>
    <s v="0087"/>
    <s v="Organização "/>
    <x v="82"/>
    <s v="Virada da Maturidade: Intervenção e Avaliação de Impacto do Incentivo ao Esporte e Cultura de Pessoas Idosas"/>
    <s v="Eixo VII: Cultura, Esporte, Turismo e Lazer"/>
    <n v="745455.43"/>
    <n v="894546.51599999995"/>
    <n v="4066"/>
    <m/>
    <s v="São Paulo/SP"/>
    <x v="3"/>
    <s v="Jucelino Ricardo Pereira da Silva"/>
    <n v="1"/>
  </r>
  <r>
    <s v="161/23"/>
    <s v="0088"/>
    <s v="Organização "/>
    <x v="83"/>
    <s v="sabedoria Financeira"/>
    <s v="Eixo III: Educação"/>
    <n v="197375.06"/>
    <n v="236850.07199999999"/>
    <m/>
    <m/>
    <s v="São Paulo/SP"/>
    <x v="3"/>
    <s v="Marcelo Nonohay"/>
    <n v="1"/>
  </r>
  <r>
    <s v="163/23"/>
    <s v="0089"/>
    <s v="Organização "/>
    <x v="84"/>
    <s v="Projeto Revivendo"/>
    <s v="Eixo I: Promoção, Assistência e Desenvolvimento Social"/>
    <n v="309808.38"/>
    <n v="371770.05599999998"/>
    <m/>
    <m/>
    <s v="Barretos/SP"/>
    <x v="8"/>
    <s v="Cristiane Machado Borges Baldúino"/>
    <n v="1"/>
  </r>
  <r>
    <s v="167/23"/>
    <s v="0090"/>
    <s v="Organização "/>
    <x v="85"/>
    <s v="Projeto EnvelheCER Florescendo"/>
    <s v="Eixo VII: Cultura, Esporte, Turismo e Lazer"/>
    <n v="234836"/>
    <n v="281803.2"/>
    <m/>
    <m/>
    <s v="Sumaré/SP"/>
    <x v="12"/>
    <s v="Helena Pereira do Rosario"/>
    <m/>
  </r>
  <r>
    <s v="170/23"/>
    <m/>
    <s v="Prefeitura"/>
    <x v="86"/>
    <s v="Projeto Viva Mais Leve"/>
    <s v="Eixo VII: Cultura, Esporte, Turismo e Lazer"/>
    <n v="200000"/>
    <n v="240000"/>
    <m/>
    <m/>
    <s v="Piraju/SP"/>
    <x v="5"/>
    <s v="Patrícia Vieira Lima "/>
    <m/>
  </r>
  <r>
    <s v="171/23"/>
    <s v="0091"/>
    <s v="Organização "/>
    <x v="87"/>
    <s v="Movimento em foco"/>
    <s v="Eixo I: Promoção, Assistência e Desenvolvimento Social"/>
    <n v="11850.05"/>
    <n v="14220.06"/>
    <m/>
    <m/>
    <s v="Piraju/SP"/>
    <x v="5"/>
    <s v="Carlos Alberto Braga"/>
    <m/>
  </r>
  <r>
    <s v="172/23"/>
    <s v="0092"/>
    <s v="Organização "/>
    <x v="88"/>
    <s v="Viva Feliz"/>
    <s v="Eixo I: Promoção, Assistência e Desenvolvimento Social"/>
    <n v="249590"/>
    <n v="299508"/>
    <m/>
    <m/>
    <s v="São Paulo/SP"/>
    <x v="3"/>
    <s v="Tânia Regina Teixeira Garcia"/>
    <m/>
  </r>
  <r>
    <s v="174/23"/>
    <s v="0093"/>
    <s v="Organização "/>
    <x v="89"/>
    <s v="Promoção do Envelhecimento Saudável"/>
    <s v="Eixo VII: Cultura, Esporte, Turismo e Lazer"/>
    <n v="200000"/>
    <n v="240000"/>
    <m/>
    <m/>
    <s v="Botucatu/SP"/>
    <x v="22"/>
    <s v="Regina de Fatima Barbuio"/>
    <n v="1"/>
  </r>
  <r>
    <s v="177/23"/>
    <s v="0094"/>
    <s v="Organização "/>
    <x v="90"/>
    <s v="Atividades Lúdicas na Melhor Idade"/>
    <s v="Eixo I: Promoção, Assistência e Desenvolvimento Social"/>
    <n v="74967.12"/>
    <n v="89960.543999999994"/>
    <m/>
    <m/>
    <s v="Itapuí/SP"/>
    <x v="16"/>
    <s v="Delza Maria Zenatti Morozini"/>
    <n v="1"/>
  </r>
  <r>
    <s v="180/23"/>
    <m/>
    <s v="Prefeitura"/>
    <x v="91"/>
    <s v="Fortalecimento de Vinculo da Melhor Idade"/>
    <s v="Eixo VII: Cultura, Esporte, Turismo e Lazer"/>
    <n v="60000"/>
    <n v="72000"/>
    <m/>
    <m/>
    <s v="Paraíso/SP"/>
    <x v="9"/>
    <s v="Erica Pereira"/>
    <m/>
  </r>
  <r>
    <s v="183/23"/>
    <s v="0095"/>
    <s v="Organização "/>
    <x v="92"/>
    <s v="Projeto para Aquisição de Equipamentos Permanentes"/>
    <s v="-"/>
    <n v="117517.32"/>
    <n v="141020.78400000001"/>
    <m/>
    <m/>
    <s v="Mirassol/SP"/>
    <x v="18"/>
    <s v="Rosana Viscardi Estrela"/>
    <m/>
  </r>
  <r>
    <s v="184/23"/>
    <s v="0096"/>
    <s v="Organização "/>
    <x v="93"/>
    <s v="-"/>
    <s v="-"/>
    <n v="130000"/>
    <n v="156000"/>
    <m/>
    <m/>
    <s v="Mirassol/SP"/>
    <x v="18"/>
    <s v="Doraci de Oliveira"/>
    <m/>
  </r>
  <r>
    <s v="185/23"/>
    <s v="0097"/>
    <s v="Organização "/>
    <x v="94"/>
    <s v="Arte na Maturidade: Cultura, Esporte e Lazer para Todos"/>
    <s v="Eixo VII: Cultura, Esporte, Turismo e Lazer"/>
    <n v="1347817.58"/>
    <n v="1617381.0959999999"/>
    <m/>
    <m/>
    <s v="São Paulo/SP"/>
    <x v="3"/>
    <s v="Eliane "/>
    <n v="1"/>
  </r>
  <r>
    <s v="187/23"/>
    <m/>
    <s v="Prefeitura"/>
    <x v="95"/>
    <s v="Projeto na 3° Idade Ativa "/>
    <s v="Eixo VII: Cultura, Esporte, Turismo e Lazer"/>
    <n v="270680"/>
    <n v="324816"/>
    <m/>
    <m/>
    <s v="Mendonça/SP"/>
    <x v="9"/>
    <s v="Grace Christiane Dosualdo Gubolin"/>
    <m/>
  </r>
  <r>
    <s v="188/23"/>
    <s v="0098"/>
    <s v="Organização "/>
    <x v="96"/>
    <s v="Resgatando Sonhos, Transformando Vidas"/>
    <s v="Eixo I: Promoção, Assistência e Desenvolvimento Social"/>
    <n v="278842.44"/>
    <n v="334610.92800000001"/>
    <m/>
    <m/>
    <s v="Tatuí/SP"/>
    <x v="17"/>
    <s v="Carlos Eduardo Olivier Junior"/>
    <n v="1"/>
  </r>
  <r>
    <s v="189/23"/>
    <s v="0099"/>
    <s v="Organização "/>
    <x v="97"/>
    <s v="Para Ouvir Mais - Concessão de Aparelhos de Amplificação Sonora Individual - AASI"/>
    <s v="Eixo II: Sáude"/>
    <n v="322800"/>
    <n v="387360"/>
    <m/>
    <m/>
    <s v="São Caeteno/SP"/>
    <x v="14"/>
    <s v="Jorge Martins Salgado"/>
    <m/>
  </r>
  <r>
    <s v="190/23"/>
    <s v="0100"/>
    <s v="Organização "/>
    <x v="98"/>
    <s v="Casa Vida e Esperança - Instituição de Longa Permnaência Para idosos (ILPI)"/>
    <s v="Eixo I: Promoção, Assistência e Desenvolvimento Social"/>
    <n v="2389959.12"/>
    <n v="2867950.9440000001"/>
    <m/>
    <m/>
    <s v="São José dos Campos/SP"/>
    <x v="4"/>
    <s v="Sintique Nobre Lourenço de Araujo"/>
    <n v="1"/>
  </r>
  <r>
    <s v="191/23"/>
    <s v="0101"/>
    <s v="Organização "/>
    <x v="98"/>
    <s v="Centro Dia do Idoso - CDI"/>
    <s v="Eixo III: Educação "/>
    <n v="1784430"/>
    <n v="2141316"/>
    <m/>
    <m/>
    <s v="São José dos Campos/SP"/>
    <x v="4"/>
    <s v="Sintique Nobre Lourenço de Araujo"/>
    <n v="1"/>
  </r>
  <r>
    <s v="192/23"/>
    <s v="0102"/>
    <s v="Organização "/>
    <x v="99"/>
    <s v="Melhorias, Manutenção e Adequação de Instalação da ILPI Vila São Vicente (Recriar)"/>
    <s v="Eixo I: Promoção, Assistência e Desenvolvimento Social"/>
    <n v="609818.75"/>
    <n v="731782.5"/>
    <m/>
    <m/>
    <s v="Catanduva/SP"/>
    <x v="18"/>
    <s v="Edson Ferraz"/>
    <n v="1"/>
  </r>
  <r>
    <s v="194/23"/>
    <s v="0103"/>
    <s v="Organização "/>
    <x v="99"/>
    <s v="Audiovisual e Envelhecimento: Produzir Comunicar Educar (Reafirmar)"/>
    <s v="Eixo III: Educação "/>
    <n v="800870.83"/>
    <n v="961044.99600000004"/>
    <m/>
    <m/>
    <s v="Catanduva/SP"/>
    <x v="18"/>
    <s v="Edson Ferraz"/>
    <n v="1"/>
  </r>
  <r>
    <s v="195/23"/>
    <s v="0104"/>
    <s v="Organização "/>
    <x v="100"/>
    <s v="60+ Ativos"/>
    <s v="Eixo I: Promoção, Assistência e Desenvolvimento Social"/>
    <n v="442500"/>
    <n v="531000"/>
    <m/>
    <m/>
    <s v="São José do Rio Preto/SP"/>
    <x v="18"/>
    <s v="Rita Oczkowski "/>
    <n v="1"/>
  </r>
  <r>
    <s v="198/23"/>
    <s v="0105"/>
    <s v="Organização "/>
    <x v="101"/>
    <s v="Viva Ginástica Terceira Idade"/>
    <s v="Eixo VII: Cultura, Esporte, Turismo e Lazer"/>
    <n v="382990.71"/>
    <n v="459588.85200000001"/>
    <m/>
    <m/>
    <s v="Sorocaba/SP"/>
    <x v="17"/>
    <s v="Cesar Augusto Telini"/>
    <m/>
  </r>
  <r>
    <s v="199/23"/>
    <s v="0106"/>
    <s v="Organização "/>
    <x v="101"/>
    <s v="Viva Esporte Terceira Idade"/>
    <s v="Eixo VII: Cultura, Esporte, Turismo e Lazer"/>
    <n v="377065.43"/>
    <n v="452478.516"/>
    <m/>
    <m/>
    <s v="Sorocaba/SP"/>
    <x v="17"/>
    <s v="Cesar Augusto Telini"/>
    <m/>
  </r>
  <r>
    <s v="201/23"/>
    <s v="0107"/>
    <s v="Organização "/>
    <x v="102"/>
    <s v="Conto e Encanto - Terapia Musical"/>
    <s v="Eixo VII: Cultura, Esporte, Turismo e Lazer"/>
    <n v="54058"/>
    <n v="64869.599999999999"/>
    <m/>
    <m/>
    <s v="Presidente Prudente/SP"/>
    <x v="2"/>
    <s v="Maria Regina Turino da Silva"/>
    <m/>
  </r>
  <r>
    <s v="202/23"/>
    <m/>
    <s v="Prefeitura"/>
    <x v="103"/>
    <s v="Idade em Movimento"/>
    <s v="Eixo I: Promoção, Assistência e Desenvolvimento Social"/>
    <n v="245000"/>
    <n v="294000"/>
    <m/>
    <m/>
    <s v="Presidente Prudente/SP"/>
    <x v="2"/>
    <s v="Clélia Regina Barbalho Tomazini"/>
    <m/>
  </r>
  <r>
    <s v="204/23"/>
    <s v="0108"/>
    <s v="Organização "/>
    <x v="104"/>
    <s v="Energia Sustentável - Sistema Solae/Fotovoltaica"/>
    <s v="Eixo I: Promoção, Assistência e Desenvolvimento Social"/>
    <n v="162300"/>
    <n v="194760"/>
    <m/>
    <m/>
    <s v="Presidente Prudente/SP"/>
    <x v="2"/>
    <s v="Diana Camila Alexandre"/>
    <m/>
  </r>
  <r>
    <s v="208/23"/>
    <s v="0109"/>
    <s v="Organização "/>
    <x v="105"/>
    <s v="Histórias que se Contam e Encantam "/>
    <s v="Eixo I: Promoção, Assistência e Desenvolvimento Social"/>
    <n v="192000"/>
    <n v="230400"/>
    <m/>
    <m/>
    <s v="Ourinhos/SP"/>
    <x v="5"/>
    <s v="Aline Bueno Debusto"/>
    <n v="1"/>
  </r>
  <r>
    <s v="209/23"/>
    <s v="0110"/>
    <s v="Organização "/>
    <x v="105"/>
    <s v="Conectadoa Melhor Idade"/>
    <s v="Eixo III: Educação "/>
    <n v="280900"/>
    <n v="337080"/>
    <m/>
    <m/>
    <s v="Ourinhos/SP"/>
    <x v="5"/>
    <s v="Aline Bueno Debusto"/>
    <n v="1"/>
  </r>
  <r>
    <s v="210/23"/>
    <s v="0111"/>
    <s v="Organização "/>
    <x v="105"/>
    <s v="Caminho da Reabilitação na Melhor Idade"/>
    <s v="Eixo II: Sáude"/>
    <n v="698600"/>
    <n v="838320"/>
    <m/>
    <m/>
    <s v="Ourinhos/SP"/>
    <x v="5"/>
    <s v="Glaucia Fernanda Fitipaldi Capel"/>
    <n v="1"/>
  </r>
  <r>
    <s v="211/23"/>
    <s v="0112"/>
    <s v="Organização "/>
    <x v="106"/>
    <s v="Melhor Idade em Movimento"/>
    <s v="Eixo VII: Cultura, Esporte, Turismo e Lazer"/>
    <n v="704000"/>
    <n v="844800"/>
    <m/>
    <m/>
    <s v="Ourinhos/SP"/>
    <x v="5"/>
    <s v="Sergio Gasperoto"/>
    <m/>
  </r>
  <r>
    <s v="212/23"/>
    <s v="0113"/>
    <s v="Organização "/>
    <x v="107"/>
    <s v="No Movimento do Amor"/>
    <s v="Eixo I: Promoção, Assistência e Desenvolvimento Social"/>
    <n v="135744"/>
    <n v="162892.79999999999"/>
    <m/>
    <m/>
    <s v="Chavantes/SP"/>
    <x v="5"/>
    <s v="Maria Madalena Caxias Silva"/>
    <m/>
  </r>
  <r>
    <s v="213/23"/>
    <s v="0114"/>
    <s v="Organização "/>
    <x v="108"/>
    <s v="Longevidade Saudável e Inclusiva "/>
    <s v="Eixo VII: Cultura, Esporte, Turismo e Lazer"/>
    <n v="150000"/>
    <n v="180000"/>
    <m/>
    <m/>
    <s v="Chavantes/SP"/>
    <x v="5"/>
    <s v="Carlos Alberto Delafiori"/>
    <m/>
  </r>
  <r>
    <s v="215/23"/>
    <m/>
    <s v="Prefeitura"/>
    <x v="109"/>
    <s v="Viver e Conviver "/>
    <s v="Eixo I: Promoção, Assistência e Desenvolvimento Social"/>
    <n v="63561"/>
    <n v="76273.2"/>
    <m/>
    <m/>
    <s v="Adolfo/SP"/>
    <x v="9"/>
    <s v="Elisabete Roncato Santiago"/>
    <m/>
  </r>
  <r>
    <s v="216/23"/>
    <s v="0115"/>
    <s v="Organização "/>
    <x v="110"/>
    <s v="Idoso Ativo "/>
    <s v="Eixo I: Promoção, Assistência e Desenvolvimento Social"/>
    <n v="60367"/>
    <n v="72440.399999999994"/>
    <m/>
    <m/>
    <s v="Nova Aliança/SP"/>
    <x v="18"/>
    <s v="Christian da Silva Ragazzi"/>
    <m/>
  </r>
  <r>
    <s v="218/23"/>
    <s v="0116"/>
    <s v="Organização "/>
    <x v="111"/>
    <s v="Instalação do sistema fotovoltaico"/>
    <s v="Eixo I: Promoção, Assistência e Desenvolvimento Social"/>
    <n v="70000"/>
    <n v="84000"/>
    <m/>
    <m/>
    <s v="Nova Odessa/SP"/>
    <x v="12"/>
    <s v="Tatiane Poltronieri Campa"/>
    <n v="1"/>
  </r>
  <r>
    <s v="219/23"/>
    <s v="0117"/>
    <s v="Organização "/>
    <x v="112"/>
    <s v="Viva Bem "/>
    <s v="Eixo VII: Cultura, Esporte, Turismo e Lazer"/>
    <n v="214900"/>
    <n v="257880"/>
    <m/>
    <m/>
    <s v="Ipaussu/SP"/>
    <x v="5"/>
    <s v="Giovana Galvanin da Costa"/>
    <m/>
  </r>
  <r>
    <s v="220/23"/>
    <s v="0118"/>
    <s v="Organização "/>
    <x v="112"/>
    <s v="Alimento é Vida"/>
    <s v="Eixo I: Promoção, Assistência e Desenvolvimento Social"/>
    <n v="256800"/>
    <n v="308160"/>
    <m/>
    <m/>
    <s v="Ipaussu/SP"/>
    <x v="5"/>
    <s v="Giovana Galvanin da Costa"/>
    <m/>
  </r>
  <r>
    <s v="221/23"/>
    <m/>
    <s v="Prefeitura"/>
    <x v="113"/>
    <s v="Centro Integrado de Atenção a Pessoa Idosa"/>
    <s v="Eixo VI: Justiça_x000a_Eixo III: Educação"/>
    <n v="489440"/>
    <n v="587328"/>
    <m/>
    <m/>
    <s v="Campinas/SP"/>
    <x v="12"/>
    <s v="Karla de Castro Borghi"/>
    <m/>
  </r>
  <r>
    <s v="223/2"/>
    <s v="0119"/>
    <s v="Organização "/>
    <x v="114"/>
    <s v="Inclusão Digital de Pessoas Idosas 2.0"/>
    <s v="Eixo VII: Cultura, Esporte, Turismo e Lazer"/>
    <n v="100000"/>
    <n v="120000"/>
    <m/>
    <m/>
    <s v="Ribeirão Preto/SP"/>
    <x v="7"/>
    <s v="Renata Cristina da Silva"/>
    <m/>
  </r>
  <r>
    <s v="225/23"/>
    <s v="0120"/>
    <s v="Organização "/>
    <x v="24"/>
    <s v="Adequação e Modernização do Ambiente Institucional: Acolhendo com Dignidade e Respeito"/>
    <s v="Eixo I: Promoção, Assistência e Desenvolvimento Social"/>
    <n v="500000"/>
    <n v="600000"/>
    <m/>
    <m/>
    <s v="Ribeirão Preto/SP"/>
    <x v="7"/>
    <s v="Rosangela Aparecida Bellomo Minuti"/>
    <n v="1"/>
  </r>
  <r>
    <s v="226/23"/>
    <s v="0121"/>
    <s v="Organização "/>
    <x v="115"/>
    <s v="Centro Dia Pró+Vida"/>
    <s v="Eixo I: Promoção, Assistência e Desenvolvimento Social"/>
    <n v="371000"/>
    <n v="445200"/>
    <m/>
    <m/>
    <s v="São Sebastião/SP"/>
    <x v="4"/>
    <s v="Cristiane Nogueira de Melo"/>
    <n v="1"/>
  </r>
  <r>
    <s v="228/23"/>
    <s v="0122"/>
    <s v="Organização "/>
    <x v="115"/>
    <s v="Estância para Idosos "/>
    <s v="Eixo V: Habitação e Urbanismo"/>
    <n v="2600000"/>
    <n v="3120000"/>
    <m/>
    <m/>
    <s v="São Sebastião/SP"/>
    <x v="4"/>
    <s v="Cristiane Nogueira de Melo"/>
    <n v="1"/>
  </r>
  <r>
    <s v="229/23"/>
    <s v="0123"/>
    <s v="Organização "/>
    <x v="116"/>
    <s v="Enquanto Há vida, transformação em Ação  "/>
    <s v="Eixo I: Promoção, Assistência e Desenvolvimento Social"/>
    <n v="600000"/>
    <n v="720000"/>
    <m/>
    <m/>
    <s v="Guarulhos/SP"/>
    <x v="10"/>
    <s v="Nefletire Souza "/>
    <m/>
  </r>
  <r>
    <s v="232/23"/>
    <s v="0124"/>
    <s v="Organização "/>
    <x v="117"/>
    <s v="Conforto térmico"/>
    <s v="Eixo I: Promoção, Assistência e Desenvolvimento Social"/>
    <n v="77700"/>
    <n v="93240"/>
    <m/>
    <m/>
    <s v="Junqueiropolis/SP"/>
    <x v="23"/>
    <s v="Emilene Teixeira da Silva"/>
    <m/>
  </r>
  <r>
    <s v="233/23"/>
    <m/>
    <s v="Prefeitura"/>
    <x v="118"/>
    <s v="Cuidando de Quem já Cuidou "/>
    <s v="Eixo VII: Cultura, Esporte, Turismo e Lazer"/>
    <n v="348000"/>
    <n v="417600"/>
    <m/>
    <m/>
    <s v="Duartina/SP"/>
    <x v="16"/>
    <s v="Josiane Ap. da Silva Nogueira"/>
    <m/>
  </r>
  <r>
    <s v="234/23"/>
    <s v="0125"/>
    <s v="Organização "/>
    <x v="119"/>
    <s v="Projeto Cultural - SE ConheSER"/>
    <s v="Eixo VII: Cultura, Esporte, Turismo e Lazer"/>
    <n v="1146800"/>
    <n v="1376160"/>
    <m/>
    <m/>
    <s v="São Paulo/SP"/>
    <x v="3"/>
    <s v="SR. Pedro Mendes"/>
    <n v="1"/>
  </r>
  <r>
    <s v="235/23"/>
    <s v="0126"/>
    <s v="Organização "/>
    <x v="120"/>
    <s v="Juntando Pontas: Economia Prateada na Longevidade"/>
    <s v="Eixo IV: Trabalho e Previdência Social"/>
    <n v="1476814"/>
    <n v="1772176.8"/>
    <m/>
    <m/>
    <s v="São Paulo/SP"/>
    <x v="3"/>
    <s v="SR. Pedro Mendes"/>
    <n v="1"/>
  </r>
  <r>
    <s v="236/23"/>
    <s v="0127"/>
    <s v="Organização "/>
    <x v="121"/>
    <s v="Vivendo com Dignidade"/>
    <s v="Eixo I: Promoção, Assistência e Desenvolvimento Social"/>
    <n v="115695.5"/>
    <n v="138834.6"/>
    <m/>
    <m/>
    <s v="Bebedouro/SP"/>
    <x v="8"/>
    <s v="Lucimara da Silva "/>
    <m/>
  </r>
  <r>
    <s v="240/23"/>
    <m/>
    <s v="Prefeitura"/>
    <x v="122"/>
    <s v="Alegria Sênior"/>
    <s v="Eixo I: Promoção, Assistência e Desenvolvimento Social"/>
    <n v="469800"/>
    <n v="563760"/>
    <m/>
    <m/>
    <s v="Santo Antonio da Alegria/SP"/>
    <x v="7"/>
    <s v="Ricardo da Silva Sobrinho"/>
    <m/>
  </r>
  <r>
    <s v="240/23"/>
    <m/>
    <s v="Prefeitura"/>
    <x v="122"/>
    <s v="SUAS Absoluto "/>
    <s v="Eixo I: Promoção, Assistência e Desenvolvimento Social"/>
    <n v="183800"/>
    <n v="220560"/>
    <m/>
    <m/>
    <s v="Santo Antonio da Alegria/SP"/>
    <x v="7"/>
    <s v="Ricardo da Silva Sobrinho"/>
    <m/>
  </r>
  <r>
    <s v="241/23"/>
    <s v="0128"/>
    <s v="Organização "/>
    <x v="123"/>
    <s v="Aquisição de Equipamentos Permanentes para Modernização do Lar São Vicente de Paulo - Obra Unidade a Sociedade de São Vicente de Paulo"/>
    <s v="Eixo I: Promoção, Assistência e Desenvolvimento Social"/>
    <n v="99856.65"/>
    <n v="119827.98"/>
    <m/>
    <m/>
    <s v="Monte Alto/SP"/>
    <x v="7"/>
    <s v="Ailton Roberto Costa"/>
    <m/>
  </r>
  <r>
    <s v="242/23"/>
    <m/>
    <s v="Prefeitura"/>
    <x v="124"/>
    <s v="Resgatando Memórias e Construindo Histórias"/>
    <s v="Eixo I: Promoção, Assistência e Desenvolvimento Social"/>
    <n v="500000"/>
    <n v="600000"/>
    <m/>
    <m/>
    <s v="Barrinha/SP"/>
    <x v="7"/>
    <s v="Ana Maria de Sousa"/>
    <m/>
  </r>
  <r>
    <s v="244/23"/>
    <m/>
    <s v="Prefeitura"/>
    <x v="125"/>
    <s v="Bem Estar "/>
    <s v="Eixo I: Promoção, Assistência e Desenvolvimento Social"/>
    <n v="73240"/>
    <n v="87888"/>
    <m/>
    <m/>
    <s v="Guariba/SP"/>
    <x v="7"/>
    <s v="Angela Maria Furtado"/>
    <m/>
  </r>
  <r>
    <s v="245/23"/>
    <m/>
    <s v="Prefeitura"/>
    <x v="126"/>
    <s v="Academia ao Ar Livre no Centro Dia do Idoso"/>
    <s v="Eixo VII: Cultura, Esporte, Turismo e Lazer"/>
    <n v="32693.32"/>
    <n v="39231.983999999997"/>
    <m/>
    <m/>
    <s v="Monte Alto/ SP"/>
    <x v="7"/>
    <s v="Danúbia Aparecida Loredo"/>
    <m/>
  </r>
  <r>
    <s v="246/23"/>
    <m/>
    <s v="Prefeitura"/>
    <x v="127"/>
    <s v="Melhor Idade"/>
    <s v="Eixo VII: Cultura, Esporte, Turismo e Lazer"/>
    <n v="572800"/>
    <n v="687360"/>
    <m/>
    <m/>
    <s v="Dumont/SP"/>
    <x v="7"/>
    <s v="Marisa Aprecida Bálsamo"/>
    <m/>
  </r>
  <r>
    <s v="249/23"/>
    <m/>
    <s v="Prefeitura"/>
    <x v="128"/>
    <s v="Lazer e Conexão"/>
    <s v="Eixo VII: Cultura, Esporte, Turismo e Lazer"/>
    <n v="163000"/>
    <n v="195600"/>
    <m/>
    <m/>
    <s v="Brodowski/SP"/>
    <x v="7"/>
    <s v="Ivana ou Livia"/>
    <m/>
  </r>
  <r>
    <s v="250/23"/>
    <m/>
    <s v="Prefeitura"/>
    <x v="129"/>
    <s v="Centro Dia - Idoso em Movimento"/>
    <s v="Eixo I: Promoção, Assistência e Desenvolvimento Social"/>
    <n v="499505"/>
    <n v="599406"/>
    <m/>
    <m/>
    <s v="Serrana/sP"/>
    <x v="7"/>
    <s v="Maria Amélia Zamariolli Serra"/>
    <m/>
  </r>
  <r>
    <s v="251/23"/>
    <m/>
    <s v="Prefeitura"/>
    <x v="130"/>
    <s v="Sons da Maturidade"/>
    <s v="Eixo VII: Cultura, Esporte, Turismo e Lazer"/>
    <n v="30000"/>
    <n v="36000"/>
    <m/>
    <m/>
    <s v="Taquaral/SP"/>
    <x v="7"/>
    <s v="Paulo Sérgio Cardoso de Oliveira"/>
    <m/>
  </r>
  <r>
    <s v="254/23"/>
    <m/>
    <s v="Prefeitura"/>
    <x v="131"/>
    <s v="Arte e Movimento na Melhor Idade"/>
    <s v="Eixo I: Promoção, Assistência e Desenvolvimento Social"/>
    <n v="66115.899999999994"/>
    <n v="79339.079999999987"/>
    <m/>
    <m/>
    <s v="Paulo de Faria/SP"/>
    <x v="9"/>
    <s v="Amélia Maria Borges de Oliveira"/>
    <m/>
  </r>
  <r>
    <s v="256/23"/>
    <s v="0129"/>
    <s v="Organização "/>
    <x v="132"/>
    <s v="Adequação de Acomodações para Idosos "/>
    <s v="Eixo II: Sáude"/>
    <n v="583526.5"/>
    <n v="700231.8"/>
    <m/>
    <m/>
    <s v="Barretos/SP"/>
    <x v="8"/>
    <s v="Tainara Barbosa Rodrigues de Souza "/>
    <m/>
  </r>
  <r>
    <s v="257/23"/>
    <s v="0130"/>
    <s v="Organização "/>
    <x v="133"/>
    <s v="Projeto de Ampliação do Serviço de Atendimento Domiciliar Paliativo (SADP)"/>
    <s v="Eixo I: Promoção, Assistência e Desenvolvimento Social"/>
    <n v="799023.7"/>
    <n v="958828.44"/>
    <m/>
    <m/>
    <s v="Barretos/SP"/>
    <x v="8"/>
    <s v="Luis Fernando "/>
    <m/>
  </r>
  <r>
    <s v="258/23"/>
    <m/>
    <s v="Prefeitura"/>
    <x v="134"/>
    <s v="AtivaMente"/>
    <s v="Eixo I: Promoção, Assistência e Desenvolvimento Social"/>
    <n v="131738.06"/>
    <n v="158085.67199999999"/>
    <m/>
    <m/>
    <s v="Itaí/SP"/>
    <x v="5"/>
    <s v="Fabiana Pereira Luciano"/>
    <m/>
  </r>
  <r>
    <s v="260/23"/>
    <s v="0131"/>
    <s v="Organização "/>
    <x v="135"/>
    <s v="Reforma Lar de Idosos "/>
    <s v="Eixo I: Promoção, Assistência e Desenvolvimento Social"/>
    <n v="200000"/>
    <n v="240000"/>
    <m/>
    <m/>
    <s v="Lorena/SP"/>
    <x v="4"/>
    <s v="Andréia Stina Soares Espindola Moura"/>
    <m/>
  </r>
  <r>
    <s v="261/23"/>
    <s v="0132"/>
    <s v="Organização "/>
    <x v="136"/>
    <s v="A Moradia que todos deveriam ter não por favor, mas por Direito. Segura e Acessível"/>
    <s v="Eixo I: Promoção, Assistência e Desenvolvimento Social"/>
    <n v="253000"/>
    <n v="303600"/>
    <m/>
    <m/>
    <s v="Jambeiro/SP"/>
    <x v="4"/>
    <s v="Rafael de Souza Fonseca"/>
    <m/>
  </r>
  <r>
    <s v="263/23"/>
    <s v="0133"/>
    <s v="Organização "/>
    <x v="137"/>
    <s v="Garantindo um Teto Seguro"/>
    <s v="Eixo I: Promoção, Assistência e Desenvolvimento Social"/>
    <n v="236959.83"/>
    <n v="284351.79599999997"/>
    <m/>
    <m/>
    <s v="Mococa/SP"/>
    <x v="19"/>
    <s v="Daiane Cristina Satilio Pereira "/>
    <m/>
  </r>
  <r>
    <s v="264/23"/>
    <s v="0134"/>
    <s v="Organização "/>
    <x v="137"/>
    <s v="Academia ao Ar Livre"/>
    <s v="Eixo I: Promoção, Assistência e Desenvolvimento Social"/>
    <n v="288982.78999999998"/>
    <n v="346779.348"/>
    <m/>
    <m/>
    <s v="Mococa/SP"/>
    <x v="19"/>
    <s v="Daiane Cristina Satilio Pereira "/>
    <m/>
  </r>
  <r>
    <s v="267/22"/>
    <s v="0135"/>
    <s v="Organização "/>
    <x v="138"/>
    <s v="Beija Flor 60+"/>
    <s v="Eixo I: Promoção, Assistência e Desenvolvimento Social"/>
    <n v="212826.99"/>
    <n v="255392.38800000001"/>
    <m/>
    <m/>
    <s v="Mococa/SP"/>
    <x v="19"/>
    <s v="Magda de Carvalho Ferreira "/>
    <m/>
  </r>
  <r>
    <s v="270/23"/>
    <s v="0136"/>
    <s v="Organização "/>
    <x v="139"/>
    <s v="Programa de Prevençao de Quedas para Idosos Através de Atividades de Estimulação Psicomotora, Pilates e Adequação de Dispositivos para Marcha"/>
    <s v="Eixo II: Sáude"/>
    <n v="445266.8"/>
    <n v="534320.16"/>
    <m/>
    <m/>
    <s v="Presidente Prudente/SP"/>
    <x v="2"/>
    <s v="Luciana Christine Fernandes Tanaka"/>
    <m/>
  </r>
  <r>
    <s v="271/23"/>
    <s v="0137"/>
    <s v="Organização "/>
    <x v="140"/>
    <s v="Lar Renovado"/>
    <s v="Eixo I: Promoção, Assistência e Desenvolvimento Social"/>
    <n v="223240.63"/>
    <n v="267888.75599999999"/>
    <m/>
    <m/>
    <s v="São Bernado do Campo/SP"/>
    <x v="14"/>
    <s v="Ana Célia da Silva "/>
    <m/>
  </r>
  <r>
    <s v="272/23"/>
    <s v="0138"/>
    <s v="Organização "/>
    <x v="140"/>
    <s v="Teto Amigo"/>
    <s v="Eixo I: Promoção, Assistência e Desenvolvimento Social"/>
    <n v="193561.25"/>
    <n v="232273.5"/>
    <m/>
    <m/>
    <s v="São Bernado do Campo/SP"/>
    <x v="14"/>
    <s v="Ana Célia da Silva "/>
    <m/>
  </r>
  <r>
    <s v="273/23"/>
    <s v="0139"/>
    <s v="Organização "/>
    <x v="140"/>
    <s v="Renovação Energetica"/>
    <s v="Eixo I: Promoção, Assistência e Desenvolvimento Social"/>
    <n v="205034.04"/>
    <n v="246040.848"/>
    <m/>
    <m/>
    <s v="São Bernado do Campo/SP"/>
    <x v="14"/>
    <s v="Ana Célia da Silva "/>
    <m/>
  </r>
  <r>
    <s v="274/23"/>
    <s v="0140"/>
    <s v="Organização "/>
    <x v="141"/>
    <s v="Bem Estar "/>
    <s v="Eixo VII: Cultura, Esporte, Turismo e Lazer"/>
    <n v="127800"/>
    <n v="153360"/>
    <m/>
    <m/>
    <s v="Tupã/SP"/>
    <x v="21"/>
    <s v="Natália Moreno Gaiotte Manfré "/>
    <n v="1"/>
  </r>
  <r>
    <s v="278/23"/>
    <s v="0141"/>
    <s v="Organização "/>
    <x v="142"/>
    <s v="Aquisição Efetiva"/>
    <s v="Eixo I: Promoção, Assistência e Desenvolvimento Social"/>
    <n v="136960"/>
    <n v="164352"/>
    <m/>
    <m/>
    <s v="Sertãozinho/SP"/>
    <x v="7"/>
    <s v="Ingridi Sanchez Rissatti"/>
    <m/>
  </r>
  <r>
    <s v="279/23"/>
    <s v="0142"/>
    <s v="Organização "/>
    <x v="143"/>
    <s v="LÁPIS - Letramento e Aprendizagem para Idosos"/>
    <s v="Eixo III: Educação"/>
    <n v="60900.34"/>
    <n v="73080.407999999996"/>
    <m/>
    <m/>
    <s v="São Paulo/SP"/>
    <x v="3"/>
    <s v="Joyce C. Meireles de Oliveira"/>
    <n v="1"/>
  </r>
  <r>
    <s v="280/23"/>
    <s v="0143"/>
    <s v="Organização "/>
    <x v="144"/>
    <s v="Aquisição de Equipamentos Permanentes para Lavanderia "/>
    <s v="Eixo I: Promoção, Assistência e Desenvolvimento Social"/>
    <n v="178800"/>
    <n v="214560"/>
    <m/>
    <m/>
    <s v="Bragança Paulista/SP"/>
    <x v="12"/>
    <s v="Benedito Franco Bueno "/>
    <n v="1"/>
  </r>
  <r>
    <s v="282/23"/>
    <s v="0144"/>
    <s v="Organização "/>
    <x v="145"/>
    <s v="Núcleo Regional de Promoção e Defesa dos Direitos das Pessoas Idosas "/>
    <s v="Eixo VI: Justiça"/>
    <n v="267625.44"/>
    <n v="321150.52799999999"/>
    <m/>
    <m/>
    <s v="São José do Rio Preto/SP"/>
    <x v="18"/>
    <s v="Júlio Cezar Figueiredo Caetano"/>
    <m/>
  </r>
  <r>
    <s v="283/23"/>
    <s v="0145"/>
    <s v="Organização "/>
    <x v="146"/>
    <s v="Aquisição de camas hospitalares, colchões, cadeiras de rodas, cadeiras de banho e poltronas reclináveis"/>
    <s v="Eixo I: Promoção, Assistência e Desenvolvimento Social"/>
    <n v="96807.1"/>
    <n v="116168.52"/>
    <m/>
    <m/>
    <s v="Itapeva/SP"/>
    <x v="13"/>
    <s v="Renê de castro Silva"/>
    <m/>
  </r>
  <r>
    <s v="284/23"/>
    <s v="0146"/>
    <s v="Organização "/>
    <x v="146"/>
    <s v="Instalação de energia solar sistema fotovoltaico no Lar Vicentino de Itapeva."/>
    <s v="Eixo I: Promoção, Assistência e Desenvolvimento Social"/>
    <n v="200750"/>
    <n v="240900"/>
    <m/>
    <m/>
    <s v="Itapeva/SP"/>
    <x v="13"/>
    <s v="Renê de castro Silva"/>
    <m/>
  </r>
  <r>
    <s v="286/23"/>
    <s v="0147"/>
    <s v="Organização "/>
    <x v="147"/>
    <s v="Sol Nascente "/>
    <s v="Eixo I: Promoção, Assistência e Desenvolvimento Social"/>
    <n v="71000"/>
    <n v="85200"/>
    <m/>
    <m/>
    <s v="Castilho/SP"/>
    <x v="20"/>
    <s v="Angelita Gonçalves da Silva "/>
    <m/>
  </r>
  <r>
    <s v="287/23"/>
    <s v="0148"/>
    <s v="Organização "/>
    <x v="148"/>
    <s v="Banheiros Adequados"/>
    <s v="Eixo I: Promoção, Assistência e Desenvolvimento Social"/>
    <n v="302200"/>
    <n v="362640"/>
    <m/>
    <m/>
    <s v="Presidente Venceslau/SP"/>
    <x v="2"/>
    <s v="Jacqueline Oliveira Montanha"/>
    <m/>
  </r>
  <r>
    <s v="288/23"/>
    <s v="0149"/>
    <s v="Organização "/>
    <x v="147"/>
    <s v="Casa Betel "/>
    <s v="Eixo I: Promoção, Assistência e Desenvolvimento Social"/>
    <n v="266999.78000000003"/>
    <n v="320399.73599999998"/>
    <m/>
    <m/>
    <s v="Castilho/SP"/>
    <x v="20"/>
    <s v="Angelita Gonçalves da Silva"/>
    <m/>
  </r>
  <r>
    <s v="289/23"/>
    <s v="0150"/>
    <s v="Organização "/>
    <x v="149"/>
    <s v="Praticando o Pertencimento "/>
    <s v="Eixo I: Promoção, Assistência e Desenvolvimento Social"/>
    <n v="160000"/>
    <n v="192000"/>
    <m/>
    <m/>
    <s v="Colina/SP"/>
    <x v="8"/>
    <s v="Maria Inês Torquato Malpica"/>
    <m/>
  </r>
  <r>
    <s v="291/23"/>
    <m/>
    <s v="Prefeitura"/>
    <x v="150"/>
    <s v="Inclusão Digital para a Terceira Idade (Uma Nova Realidade para o Nossos Idosos"/>
    <s v="Eixo I: Promoção, Assistência e Desenvolvimento Social"/>
    <n v="87500"/>
    <n v="105000"/>
    <m/>
    <m/>
    <s v="Aramina/SP"/>
    <x v="24"/>
    <s v="Solange Ap. S. Polydorio"/>
    <m/>
  </r>
  <r>
    <s v="292/2"/>
    <s v="0151"/>
    <s v="Organização "/>
    <x v="151"/>
    <s v="Viver "/>
    <s v="Eixo I: Promoção, Assistência e Desenvolvimento Social"/>
    <n v="40000"/>
    <n v="48000"/>
    <m/>
    <m/>
    <s v="Aramina/SP"/>
    <x v="24"/>
    <s v="Ana Paula"/>
    <m/>
  </r>
  <r>
    <s v="293/23"/>
    <s v="0152"/>
    <s v="Organização "/>
    <x v="152"/>
    <s v="Perolas do Vale"/>
    <s v="Eixo VII: Cultura, Esporte, Turismo e Lazer"/>
    <n v="42947"/>
    <n v="51536.4"/>
    <m/>
    <m/>
    <s v="Apiaí/SP"/>
    <x v="13"/>
    <s v="Suely de Fatima Martins"/>
    <m/>
  </r>
  <r>
    <s v="294/23"/>
    <s v="0153"/>
    <s v="Organização "/>
    <x v="153"/>
    <s v="Olhe para ILPIs - Consultoria Técnica para ILPsI Beneficentes do Estado de São Paulo"/>
    <s v="Eixo I: Promoção, Assistência e Desenvolvimento Social"/>
    <n v="777859.48"/>
    <n v="933431.37600000005"/>
    <m/>
    <m/>
    <s v="São Paulo/SP"/>
    <x v="3"/>
    <s v="Marilia Vicena Berzins"/>
    <n v="1"/>
  </r>
  <r>
    <s v="300/23"/>
    <s v="0154"/>
    <s v="Organização "/>
    <x v="154"/>
    <s v="Laboratório do Envelhecimento "/>
    <s v="Eixo I: Promoção, Assistência e Desenvolvimento Social"/>
    <n v="593611.06000000006"/>
    <n v="712333.272"/>
    <m/>
    <m/>
    <s v="São Paulo/SP"/>
    <x v="3"/>
    <s v="Cassia Akemi Yamada Eguthi"/>
    <m/>
  </r>
  <r>
    <s v="301/23"/>
    <s v="0155"/>
    <s v="Organização "/>
    <x v="155"/>
    <s v="Programa de Acolhimento com mais Dignidade aos Idosos"/>
    <s v="Eixo I: Promoção, Assistência e Desenvolvimento Social"/>
    <n v="49740"/>
    <n v="59688"/>
    <m/>
    <m/>
    <s v="Potirendaba"/>
    <x v="18"/>
    <s v="Lucy Jorge da Silva"/>
    <m/>
  </r>
  <r>
    <s v="302/23"/>
    <s v="0156"/>
    <s v="Organização "/>
    <x v="156"/>
    <s v="Promovendo o Envelhecimento Ativo"/>
    <s v="Eixo I: Promoção, Assistência e Desenvolvimento Social"/>
    <n v="28800"/>
    <n v="34560"/>
    <m/>
    <m/>
    <s v="Pirapozinho/SP"/>
    <x v="2"/>
    <s v="Daiara Botelho / Juliana Tavares"/>
    <m/>
  </r>
  <r>
    <s v="303/23"/>
    <s v="0157"/>
    <s v="Organização "/>
    <x v="12"/>
    <s v="Qualidade de Vida com Energia Limpa "/>
    <s v="Eixo I: Promoção, Assistência e Desenvolvimento Social"/>
    <n v="69500"/>
    <n v="83400"/>
    <m/>
    <m/>
    <s v="Cedral/SP"/>
    <x v="18"/>
    <s v="Mauro Basílio Trevizan"/>
    <m/>
  </r>
  <r>
    <s v="304/23"/>
    <m/>
    <s v="Prefeitura"/>
    <x v="157"/>
    <s v="Ressignificando os 60+"/>
    <s v="Eixo I: Promoção, Assistência e Desenvolvimento Social"/>
    <n v="64375"/>
    <n v="77250"/>
    <m/>
    <m/>
    <s v="Pontirendaba/SP"/>
    <x v="9"/>
    <s v="Edinéia Perpétua Lazarin Aguiar"/>
    <m/>
  </r>
  <r>
    <s v="305/23"/>
    <m/>
    <s v="Prefeitura"/>
    <x v="158"/>
    <s v="Para Ficar na Memória"/>
    <s v="Eixo I: Promoção, Assistência e Desenvolvimento Social"/>
    <n v="125300"/>
    <n v="150360"/>
    <m/>
    <m/>
    <s v="Luís Antônio/SP"/>
    <x v="7"/>
    <s v="Elaine Maria de Castro Mesquita"/>
    <m/>
  </r>
  <r>
    <s v="306/23"/>
    <m/>
    <s v="Prefeitura"/>
    <x v="159"/>
    <s v="Movimenta Idoso "/>
    <s v="Eixo I: Promoção, Assistência e Desenvolvimento Social"/>
    <n v="315584"/>
    <n v="378700.79999999999"/>
    <m/>
    <m/>
    <s v="São Simão/SP"/>
    <x v="7"/>
    <s v="Thiago Akira Portugal Miyahara"/>
    <m/>
  </r>
  <r>
    <s v="307/23"/>
    <m/>
    <s v="Prefeitura"/>
    <x v="160"/>
    <s v="Mediação Diálogo Intersetoriais na Proteção à Pessoa Idosa "/>
    <s v="Eixo III: Educação "/>
    <n v="20000"/>
    <n v="24000"/>
    <m/>
    <m/>
    <s v="Sales Oliveira/SP"/>
    <x v="24"/>
    <s v="Protocolo 307/23"/>
    <m/>
  </r>
  <r>
    <s v="310/23"/>
    <s v="0158"/>
    <s v="Organização "/>
    <x v="161"/>
    <s v="Lazer e Qualidade de Vida na Terceira Idade"/>
    <s v="Eixo VII: Cultura, Esporte, Turismo e Lazer"/>
    <n v="265000.03999999998"/>
    <n v="318000.04800000001"/>
    <m/>
    <m/>
    <s v="Barretos/SP"/>
    <x v="8"/>
    <s v="Juliana Adão"/>
    <m/>
  </r>
  <r>
    <s v="311/23"/>
    <s v="0159"/>
    <s v="Organização "/>
    <x v="162"/>
    <s v="Melhor Idade Feliz"/>
    <s v="Eixo VII: Cultura, Esporte, Turismo e Lazer"/>
    <n v="256600"/>
    <n v="307920"/>
    <m/>
    <m/>
    <s v="Barretos/SP"/>
    <x v="8"/>
    <s v="Carlos Antonio Ferreira"/>
    <m/>
  </r>
  <r>
    <s v="312/23"/>
    <s v="0160"/>
    <s v="Organização "/>
    <x v="163"/>
    <s v="Cuidados e Longevidade"/>
    <s v="Eixo I: Promoção, Assistência e Desenvolvimento Social"/>
    <n v="436453.9"/>
    <n v="523744.68"/>
    <m/>
    <m/>
    <s v="Barretos/SP"/>
    <x v="8"/>
    <s v="Maria Lúcia Silva de Araújo"/>
    <m/>
  </r>
  <r>
    <s v="315/23"/>
    <m/>
    <s v="Prefeitura"/>
    <x v="164"/>
    <s v="Comunidade em Movimento, de mãos dadas com a Melhor Idade"/>
    <s v="Eixo I: Promoção, Assistência e Desenvolvimento Social"/>
    <n v="500000"/>
    <n v="600000"/>
    <m/>
    <m/>
    <s v="Pradópolis/SP"/>
    <x v="7"/>
    <s v="Kátia Helena Garcia de Almeida Marques"/>
    <m/>
  </r>
  <r>
    <s v="317/23"/>
    <m/>
    <s v="Prefeitura"/>
    <x v="165"/>
    <s v="Ampliação do número de vagas em Instituições de Longa Permanência para Idosos"/>
    <s v="Eixo I: Promoção, Assistência e Desenvolvimento Social"/>
    <n v="432000"/>
    <n v="518400"/>
    <m/>
    <m/>
    <s v="Santa Cruz do Rio Pardo/SP"/>
    <x v="5"/>
    <s v="Diego Henrique Singolani Costa"/>
    <m/>
  </r>
  <r>
    <s v="321/23"/>
    <s v="0161"/>
    <s v="Organização "/>
    <x v="166"/>
    <s v="Longevidade"/>
    <s v="Eixo I: Promoção, Assistência e Desenvolvimento Social"/>
    <n v="260167.01"/>
    <n v="312200.41200000001"/>
    <m/>
    <m/>
    <s v="Limeira/SP"/>
    <x v="11"/>
    <s v="Carolina Miranda Tetzner Pelusse"/>
    <m/>
  </r>
  <r>
    <s v="322/23"/>
    <s v="                                     01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Organização "/>
    <x v="167"/>
    <s v="Vida Ativa na 3° Idade "/>
    <s v="Eixo I: Promoção, Assistência e Desenvolvimento Social"/>
    <n v="489600"/>
    <n v="587520"/>
    <m/>
    <m/>
    <s v="Guarulhos/SP"/>
    <x v="10"/>
    <s v="Gleice Cabral do Nascimento"/>
    <m/>
  </r>
  <r>
    <s v="323/23"/>
    <s v="0163"/>
    <s v="Organização "/>
    <x v="168"/>
    <s v="Quero ser Feliz Agora"/>
    <s v="Eixo II: Sáude"/>
    <n v="204464"/>
    <n v="245356.79999999999"/>
    <m/>
    <m/>
    <s v="Tatuí"/>
    <x v="17"/>
    <s v="Claudia Rosana N. R. Fagundes"/>
    <n v="1"/>
  </r>
  <r>
    <s v="325/23"/>
    <s v="0164"/>
    <s v="Organização "/>
    <x v="169"/>
    <s v="Excelência no Cuidado: Capacitação para Cuidadores de Pessoas Idosas "/>
    <s v="Eixo III: Educação"/>
    <n v="72000"/>
    <n v="86400"/>
    <m/>
    <m/>
    <s v="Bauru/SP"/>
    <x v="16"/>
    <s v="Claudete Panini"/>
    <n v="1"/>
  </r>
  <r>
    <s v="326/23"/>
    <s v="0165"/>
    <s v="Organização "/>
    <x v="169"/>
    <s v="Acesso Imediato à Mobilidade: Tecnologia Assistiva para Pessoas Idosas"/>
    <s v="Eixo II: Sáude"/>
    <n v="521505.34"/>
    <n v="625806.40800000005"/>
    <m/>
    <m/>
    <s v="Bauru/SP"/>
    <x v="16"/>
    <s v="Claudete Panini"/>
    <n v="1"/>
  </r>
  <r>
    <s v="327/23"/>
    <s v="0166"/>
    <s v="Organização "/>
    <x v="170"/>
    <s v="Asas da Imaginação"/>
    <s v="Eixo VII: Cultura, Esporte, Turismo e Lazer"/>
    <n v="69050"/>
    <n v="82860"/>
    <m/>
    <m/>
    <s v="São José dos Campos/SP"/>
    <x v="4"/>
    <s v="Maria Heloisa Siqueira Santos"/>
    <n v="1"/>
  </r>
  <r>
    <s v="329/23"/>
    <s v="0167"/>
    <s v="Organização "/>
    <x v="170"/>
    <s v="Encontros: Pioneiros da Cultura Aeronáuticas"/>
    <s v="Eixo VII: Cultura, Esporte, Turismo e Lazer"/>
    <n v="65300"/>
    <n v="78360"/>
    <m/>
    <m/>
    <s v="São José dos Campos/SP"/>
    <x v="4"/>
    <s v="Maria Heloisa Siqueira Santos"/>
    <n v="1"/>
  </r>
  <r>
    <s v="332/23"/>
    <s v="0168"/>
    <s v="Organização "/>
    <x v="171"/>
    <s v="Corpos e Mentes Ativas"/>
    <s v="Eixo I: Promoção, Assistência e Desenvolvimento Social"/>
    <n v="101300"/>
    <n v="121560"/>
    <m/>
    <m/>
    <s v="Cunha/SP"/>
    <x v="4"/>
    <s v="Ana Accácia Almeida Arantes Monteiro"/>
    <m/>
  </r>
  <r>
    <s v="338/23"/>
    <s v="0169"/>
    <s v="Organização "/>
    <x v="172"/>
    <s v="Orquestra Master "/>
    <s v="Eixo VII: Cultura, Esporte, Turismo e Lazer"/>
    <n v="679588.24"/>
    <n v="815505.88800000004"/>
    <m/>
    <m/>
    <s v="Santo André/SP"/>
    <x v="14"/>
    <s v="Micaías P. de Deus"/>
    <n v="1"/>
  </r>
  <r>
    <s v="339/23"/>
    <s v="0170"/>
    <s v="Organização "/>
    <x v="173"/>
    <s v="Cuidando de Nossos Espaços_x000a_(Pintura)"/>
    <s v="Eixo V: Habitação e Urbanismo"/>
    <n v="181500"/>
    <n v="217800"/>
    <m/>
    <m/>
    <s v="Caçapava/SP"/>
    <x v="4"/>
    <s v="Maria Luiza Ferreira dos Santos"/>
    <m/>
  </r>
  <r>
    <s v="340/23"/>
    <s v="0171"/>
    <s v="Organização "/>
    <x v="173"/>
    <s v="Cuidando de Nossos Espaços _x000a_(Projeto: Telhado / Elétrica)"/>
    <s v="Eixo V: Habitação e Urbanismo"/>
    <n v="535078"/>
    <n v="642093.6"/>
    <m/>
    <m/>
    <s v="Caçapava/SP"/>
    <x v="4"/>
    <s v="Maria Luiza Ferreira dos Santos"/>
    <m/>
  </r>
  <r>
    <s v="341/23"/>
    <s v="0172"/>
    <s v="Organização "/>
    <x v="173"/>
    <s v="Cuidando de Nossos Espaços_x000a_(Cobertura)"/>
    <s v="Eixo V: Habitação e Urbanismo"/>
    <n v="65000"/>
    <n v="78000"/>
    <m/>
    <m/>
    <s v="Caçapava/SP"/>
    <x v="4"/>
    <s v="Maria Luiza Ferreira dos Santos"/>
    <m/>
  </r>
  <r>
    <s v="342/23"/>
    <m/>
    <s v="Prefeitura"/>
    <x v="174"/>
    <s v="Viver Bem "/>
    <s v="Eixo VII: Cultura, Esporte, Turismo e Lazer"/>
    <n v="94100"/>
    <n v="112920"/>
    <m/>
    <m/>
    <s v="Óleo/SP"/>
    <x v="5"/>
    <s v="João Antônio Vidotto "/>
    <m/>
  </r>
  <r>
    <s v="343/23"/>
    <s v="0173"/>
    <s v="Organização "/>
    <x v="175"/>
    <s v="Geração Sustetável "/>
    <s v="Eixo V: Habitação e Urbanismo"/>
    <n v="87370"/>
    <n v="104844"/>
    <m/>
    <m/>
    <s v="Serrana/SP"/>
    <x v="7"/>
    <s v="Fernanda Helena Santos"/>
    <m/>
  </r>
  <r>
    <s v="344/23"/>
    <s v="0174"/>
    <s v="Organização "/>
    <x v="175"/>
    <s v="Criando Novas Memórias"/>
    <s v="Eixo VII: Cultura, Esporte, Turismo e Lazer"/>
    <n v="367000"/>
    <n v="440400"/>
    <m/>
    <m/>
    <s v="Serrana/SP"/>
    <x v="7"/>
    <s v="Fernanda Helena Santos"/>
    <m/>
  </r>
  <r>
    <s v="346/23"/>
    <s v="0175"/>
    <s v="Organização "/>
    <x v="176"/>
    <s v="EnvelheSer com Qualidade"/>
    <s v="-"/>
    <n v="1215394.8999999999"/>
    <n v="1458473.88"/>
    <m/>
    <m/>
    <s v="Serrana/SP"/>
    <x v="7"/>
    <s v="Jaqueline Aparecida da Silva dos Reis Lino"/>
    <m/>
  </r>
  <r>
    <s v="347/23"/>
    <s v="0176"/>
    <s v="Organização "/>
    <x v="15"/>
    <s v="Cuidando de quem Cuida"/>
    <s v="Eixo I: Promoção, Assistência e Desenvolvimento Social"/>
    <n v="258324"/>
    <n v="309988.8"/>
    <m/>
    <m/>
    <s v="Guarulhos/SP"/>
    <x v="10"/>
    <s v="Mariana S Leonardo"/>
    <n v="1"/>
  </r>
  <r>
    <s v="348/23"/>
    <s v="0177"/>
    <s v="Organização "/>
    <x v="7"/>
    <s v="Lavanderia "/>
    <s v="Eixo I: Promoção, Assistência e Desenvolvimento Social"/>
    <n v="239095.32"/>
    <n v="286914.38400000002"/>
    <m/>
    <m/>
    <s v="Salto Grande/SP"/>
    <x v="5"/>
    <s v="Bruna Fernandes Araujo"/>
    <m/>
  </r>
  <r>
    <s v="350/23"/>
    <s v="0178"/>
    <s v="Organização "/>
    <x v="177"/>
    <s v="Projeto Energia Solar: Caminho Para Um Futuro Sustentável"/>
    <s v="Eixo I: Promoção, Assistência e Desenvolvimento Social"/>
    <n v="550000"/>
    <n v="660000"/>
    <m/>
    <m/>
    <s v="Jaboticabal/SP"/>
    <x v="7"/>
    <s v="Michelle Nascimento"/>
    <n v="1"/>
  </r>
  <r>
    <s v="351/23"/>
    <s v="0179"/>
    <s v="Organização "/>
    <x v="178"/>
    <s v="Encontros de Formação para o Fortalecimento dos Conselhos de Direitos dos Idosos"/>
    <s v="Eixo I: Promoção, Assistência e Desenvolvimento Social"/>
    <n v="329780"/>
    <n v="395736"/>
    <m/>
    <m/>
    <s v="São Paulo/SP"/>
    <x v="3"/>
    <s v="Jacqueline Leonora dos Reis"/>
    <m/>
  </r>
  <r>
    <s v="353/23"/>
    <s v="0180"/>
    <s v="Organização "/>
    <x v="179"/>
    <s v="Envelhecendo Sorrindo "/>
    <s v="Eixo II: Sáude"/>
    <n v="779206"/>
    <n v="935047.2"/>
    <m/>
    <m/>
    <s v="São Paulo/SP"/>
    <x v="3"/>
    <s v="Hugo Viana"/>
    <m/>
  </r>
  <r>
    <s v="354/23"/>
    <m/>
    <s v="Prefeitura"/>
    <x v="180"/>
    <s v="Atenção a População Idosa em Outros Patamar "/>
    <s v="Eixo I: Promoção, Assistência e Desenvolvimento Social"/>
    <n v="2321073.5299999998"/>
    <n v="2785288.2359999996"/>
    <m/>
    <m/>
    <s v="Campo Limpo Paulista/SP"/>
    <x v="12"/>
    <s v="Carmem Brandino"/>
    <m/>
  </r>
  <r>
    <s v="359/23"/>
    <m/>
    <s v="Prefeitura"/>
    <x v="181"/>
    <s v="Fortalecimento de Iniciativas para a População Acima de 60 Anos"/>
    <s v="Eixo VII: Cultura, Esporte, Turismo e Lazer"/>
    <n v="251480.5"/>
    <n v="301776.59999999998"/>
    <m/>
    <m/>
    <s v="Bebedouro/SP"/>
    <x v="8"/>
    <s v="Lucas Seren Gibin"/>
    <m/>
  </r>
  <r>
    <s v="360/23"/>
    <s v="0181"/>
    <s v="Organização "/>
    <x v="182"/>
    <s v="Projeto Envelhecer: Um olhar para Melhor Idade"/>
    <s v="Eixo II: Sáude"/>
    <n v="277666.61"/>
    <n v="333199.93199999997"/>
    <m/>
    <m/>
    <s v="São Paulo/SP"/>
    <x v="3"/>
    <s v="Geni Furgulio"/>
    <m/>
  </r>
  <r>
    <s v="362/23"/>
    <m/>
    <s v="Prefeitura"/>
    <x v="183"/>
    <s v="Vivacidade 60+ "/>
    <s v="Eixo I: Promoção, Assistência e Desenvolvimento Social"/>
    <n v="267800"/>
    <n v="321360"/>
    <m/>
    <m/>
    <s v="Monte Azul Paulista/SP"/>
    <x v="8"/>
    <s v="Marcelo Otaviano dos Santos"/>
    <m/>
  </r>
  <r>
    <s v="367/23"/>
    <m/>
    <s v="Prefeitura"/>
    <x v="184"/>
    <s v="Projeto Evelhecimento AtivoSaúde e Bem Estar. Oficinas de Memórias Estimulação Sensorial Cognitiva e Movimento para Pessoa Idosa"/>
    <s v="Eixo I: Promoção, Assistência e Desenvolvimento Social"/>
    <n v="150000"/>
    <n v="180000"/>
    <m/>
    <m/>
    <s v="Charqueada/SP"/>
    <x v="11"/>
    <s v="Marcela Juliana Pupin Gonçalves"/>
    <m/>
  </r>
  <r>
    <s v="368/23"/>
    <s v="0182"/>
    <s v="Organização "/>
    <x v="185"/>
    <s v="Mobiliar e Climatizar para Melhor Servir"/>
    <s v="Eixo I: Promoção, Assistência e Desenvolvimento Social"/>
    <n v="47071.72"/>
    <n v="56486.063999999998"/>
    <m/>
    <m/>
    <s v="Bauru/SP"/>
    <x v="16"/>
    <s v="Marcia Aparecida Chelim"/>
    <m/>
  </r>
  <r>
    <s v="370/23"/>
    <m/>
    <s v="Prefeitura"/>
    <x v="186"/>
    <s v="Idosos em Movimento"/>
    <s v="Eixo VII: Cultura, Esporte, Turismo e Lazer"/>
    <n v="364200"/>
    <n v="437040"/>
    <m/>
    <m/>
    <s v="Pedrinhas Paulista/SP"/>
    <x v="21"/>
    <s v="Michelina Francisca Maresciallo Amorieli"/>
    <m/>
  </r>
  <r>
    <s v="371/23"/>
    <s v="0183"/>
    <s v="Organização "/>
    <x v="187"/>
    <s v="Centro de Integração Social e de Convivência para Idoso – Programa Sapiência – Redescobrindo Conhecimento e Outras Habilidades na Melhor Idade"/>
    <s v="Eixo I: Promoção, Assistência e Desenvolvimento Social"/>
    <n v="749942.88"/>
    <n v="899931.45600000001"/>
    <m/>
    <m/>
    <s v="São Paulo/SP"/>
    <x v="3"/>
    <s v="Melina dos S. Azevedo"/>
    <m/>
  </r>
  <r>
    <s v="373/23"/>
    <s v="0184"/>
    <s v="Organização "/>
    <x v="188"/>
    <s v="Mova-se - Promovendo o envelhecimento saudável dos idosos de São Paulo"/>
    <s v="Eixo I: Promoção, Assistência e Desenvolvimento Social"/>
    <n v="980304"/>
    <n v="1176364.8"/>
    <m/>
    <m/>
    <s v="São Paulo/SP"/>
    <x v="3"/>
    <s v="Angelica Rodrigues da Costa"/>
    <n v="1"/>
  </r>
  <r>
    <s v="375/23"/>
    <s v="0185"/>
    <s v="Organização "/>
    <x v="87"/>
    <s v="Asilo São Vicente em Movimento "/>
    <s v="Eixo I: Promoção, Assistência e Desenvolvimento Social"/>
    <n v="40000"/>
    <n v="48000"/>
    <m/>
    <m/>
    <s v="Assis/SP"/>
    <x v="21"/>
    <s v="Ana Carolina Leite Machado "/>
    <m/>
  </r>
  <r>
    <s v="376/23"/>
    <s v="0186"/>
    <s v="Organização "/>
    <x v="189"/>
    <s v="Plantando histórias: árvores e convivências"/>
    <s v="Eixo I: Promoção, Assistência e Desenvolvimento Social"/>
    <n v="120000"/>
    <n v="144000"/>
    <m/>
    <m/>
    <s v="Pontal/SP"/>
    <x v="7"/>
    <s v="Zumar ou Bruna "/>
    <m/>
  </r>
  <r>
    <s v="377/23"/>
    <m/>
    <s v="Prefeitura"/>
    <x v="190"/>
    <s v="Viaja Mais &quot;Melhor Idade&quot;"/>
    <s v="Eixo VII: Cultura, Esporte, Turismo e Lazer"/>
    <n v="66000"/>
    <n v="79200"/>
    <m/>
    <m/>
    <s v="Palmares Paulista/SP"/>
    <x v="9"/>
    <s v="Girlene Alves Rocha"/>
    <m/>
  </r>
  <r>
    <s v="380/23"/>
    <m/>
    <s v="Prefeitura"/>
    <x v="191"/>
    <s v="Transportar Amor"/>
    <s v="Eixo V: Habitação e Urbanismo"/>
    <n v="100000"/>
    <n v="120000"/>
    <m/>
    <m/>
    <s v="Tabatinga/SP"/>
    <x v="15"/>
    <s v="Rosemara dos Santos Fermino"/>
    <m/>
  </r>
  <r>
    <s v="381/23"/>
    <s v="0187"/>
    <s v="Organização "/>
    <x v="192"/>
    <s v="Oficina Fotovoltaica, a Luz que Aquece Corações"/>
    <s v="Eixo I: Promoção, Assistência e Desenvolvimento Social"/>
    <n v="64900"/>
    <n v="77880"/>
    <m/>
    <m/>
    <s v="Tabatinga/SP"/>
    <x v="15"/>
    <s v="Sandra Maria de Melo"/>
    <m/>
  </r>
  <r>
    <s v="387/23"/>
    <s v="0188"/>
    <s v="Organização "/>
    <x v="193"/>
    <s v="Volei Adaptado "/>
    <s v="Eixo VII: Cultura, Esporte, Turismo e Lazer"/>
    <n v="79200"/>
    <n v="95040"/>
    <m/>
    <m/>
    <s v="Ourinhos/SP"/>
    <x v="5"/>
    <s v="Gerson Simões dos Santos"/>
    <m/>
  </r>
  <r>
    <s v="390/23"/>
    <s v="0189"/>
    <s v="Organização "/>
    <x v="194"/>
    <s v="Clube de Leitura 6.0"/>
    <s v="Eixo VII: Cultura, Esporte, Turismo e Lazer"/>
    <n v="1851640"/>
    <n v="2221968"/>
    <m/>
    <m/>
    <s v="Ribeirão Preto/SP"/>
    <x v="7"/>
    <s v="Marcella Amorim"/>
    <n v="1"/>
  </r>
  <r>
    <s v="391/23"/>
    <s v="0190"/>
    <s v="Organização "/>
    <x v="195"/>
    <s v="Energia Solar e Sustentabilidad - Lar Santa Teresa Jornet"/>
    <s v="Eixo I: Promoção, Assistência e Desenvolvimento Social"/>
    <n v="180000"/>
    <n v="216000"/>
    <m/>
    <m/>
    <s v="Ourinhos/SP"/>
    <x v="5"/>
    <s v="Adriana Aparecida Alves Martins"/>
    <n v="1"/>
  </r>
  <r>
    <s v="393/23"/>
    <s v="0191"/>
    <s v="Organização "/>
    <x v="196"/>
    <s v="Acrescentar Vida"/>
    <s v="Eixo I: Promoção, Assistência e Desenvolvimento Social"/>
    <n v="552712"/>
    <n v="663254.4"/>
    <m/>
    <m/>
    <s v="Araraquara/SP"/>
    <x v="15"/>
    <s v="Leandro José Oliveira"/>
    <m/>
  </r>
  <r>
    <s v="396/23"/>
    <s v="0192"/>
    <s v="Organização "/>
    <x v="193"/>
    <s v="Hidroginática na Melhor Idade"/>
    <s v="Eixo VII: Cultura, Esporte, Turismo e Lazer"/>
    <n v="148800"/>
    <n v="178560"/>
    <m/>
    <m/>
    <s v="Ourinhos/SP"/>
    <x v="5"/>
    <s v="Gerson Simões dos Santos"/>
    <m/>
  </r>
  <r>
    <s v="398/23"/>
    <m/>
    <s v="Prefeitura"/>
    <x v="197"/>
    <s v="CLIC na VIDA"/>
    <s v="Eixo I: Promoção, Assistência e Desenvolvimento Social"/>
    <n v="162450"/>
    <n v="194940"/>
    <m/>
    <m/>
    <s v="Nova Granada/SP"/>
    <x v="9"/>
    <s v="DR. Neuza das Graças Soares da Silva"/>
    <m/>
  </r>
  <r>
    <s v="399/23"/>
    <s v="0193"/>
    <s v="Organização "/>
    <x v="194"/>
    <s v="Tomates Verdes Fritos"/>
    <s v="Eixo I: Promoção, Assistência e Desenvolvimento Social"/>
    <n v="1318600"/>
    <n v="1582320"/>
    <m/>
    <m/>
    <s v="Ribeirão Preto/SP"/>
    <x v="7"/>
    <s v="Marcella Amorim"/>
    <n v="1"/>
  </r>
  <r>
    <s v="400/23"/>
    <s v="0194"/>
    <s v="Organização "/>
    <x v="198"/>
    <s v="Garantia de Qualidade de Vida no Lar"/>
    <s v="Eixo V: Habitação e Urbanismo"/>
    <n v="206291.5"/>
    <n v="247549.8"/>
    <m/>
    <m/>
    <s v="Igarapava/SP"/>
    <x v="24"/>
    <s v="Sibele Gabriela dos Santos"/>
    <m/>
  </r>
  <r>
    <s v="401/23"/>
    <s v="0195"/>
    <s v="Organização "/>
    <x v="199"/>
    <s v="Revitalizar Juntos - Adequação de Espaço Físico (dormitorio)"/>
    <s v="Eixo I: Promoção, Assistência e Desenvolvimento Social"/>
    <n v="250000"/>
    <n v="300000"/>
    <m/>
    <m/>
    <s v="Jacareí/SP"/>
    <x v="4"/>
    <s v="Cristiane Araújo Estevão"/>
    <n v="1"/>
  </r>
  <r>
    <s v="402/23"/>
    <s v="0196"/>
    <s v="Organização "/>
    <x v="199"/>
    <s v="Revitalizar Juntos - Aquisição de Equipamentos Estruturais"/>
    <s v="Eixo I: Promoção, Assistência e Desenvolvimento Social"/>
    <n v="136400"/>
    <n v="163680"/>
    <m/>
    <m/>
    <s v="Jacareí/SP"/>
    <x v="4"/>
    <s v="Cristiane Araújo Estevão"/>
    <n v="1"/>
  </r>
  <r>
    <s v="403/23"/>
    <m/>
    <s v="Prefeitura"/>
    <x v="200"/>
    <s v="Idade Avançada "/>
    <s v="Eixo VII: Cultura, Esporte, Turismo e Lazer"/>
    <n v="200000"/>
    <n v="240000"/>
    <m/>
    <m/>
    <s v="Juquiá/SP"/>
    <x v="6"/>
    <s v="Maria Ap. Cavalcanti Vila Nova"/>
    <m/>
  </r>
  <r>
    <s v="405/23"/>
    <s v="0197"/>
    <s v="Organização "/>
    <x v="201"/>
    <s v="Envelhecendo Quebrando Barreiras"/>
    <s v="Eixo VII: Cultura, Esporte, Turismo e Lazer"/>
    <n v="718800"/>
    <n v="862560"/>
    <m/>
    <m/>
    <s v="São Paulo/SP"/>
    <x v="3"/>
    <s v="Márcia Pinheiro"/>
    <n v="1"/>
  </r>
  <r>
    <s v="406/23"/>
    <s v="0198"/>
    <s v="Organização "/>
    <x v="202"/>
    <s v="Sustentabilidade na Energia Prateada "/>
    <s v="Eixo I: Promoção, Assistência e Desenvolvimento Social"/>
    <n v="168000"/>
    <n v="201600"/>
    <m/>
    <m/>
    <s v="Fernandopolis/SP"/>
    <x v="1"/>
    <s v="Josiane Gomes"/>
    <n v="1"/>
  </r>
  <r>
    <s v="407/23"/>
    <s v="0199"/>
    <s v="Organização "/>
    <x v="203"/>
    <s v="Dança de Salão IPK - Terceira Idade"/>
    <s v="Eixo VII: Cultura, Esporte, Turismo e Lazer"/>
    <n v="400000"/>
    <n v="480000"/>
    <m/>
    <m/>
    <s v="São Paulo/SP"/>
    <x v="3"/>
    <s v="Adriana Tolentino"/>
    <m/>
  </r>
  <r>
    <s v="409/23"/>
    <s v="0200"/>
    <s v="Organização "/>
    <x v="203"/>
    <s v="Curso de Teatro IPK - Terceira Idade "/>
    <s v="Eixo VII: Cultura, Esporte, Turismo e Lazer"/>
    <n v="300000"/>
    <n v="360000"/>
    <m/>
    <m/>
    <s v="São Paulo/SP"/>
    <x v="3"/>
    <s v="Adriana Tolentino"/>
    <n v="1"/>
  </r>
  <r>
    <s v="411/23"/>
    <s v="0201"/>
    <s v="Organização "/>
    <x v="204"/>
    <s v="Ouvindo na Melhor Idade"/>
    <s v="Eixo I: Promoção, Assistência e Desenvolvimento Social"/>
    <n v="78400"/>
    <n v="94080"/>
    <n v="94080"/>
    <m/>
    <s v="Fernandopolis/SP"/>
    <x v="1"/>
    <s v="Danilo Ruiz de Souza "/>
    <n v="1"/>
  </r>
  <r>
    <s v="416/23"/>
    <s v="0202"/>
    <s v="Organização "/>
    <x v="205"/>
    <s v="Projeto Espaço Conviver"/>
    <s v="Eixo I: Promoção, Assistência e Desenvolvimento Social"/>
    <n v="323278.44"/>
    <n v="387934.12800000003"/>
    <m/>
    <m/>
    <s v="Campinas/SP"/>
    <x v="12"/>
    <s v="Alessandra A. Bueno"/>
    <m/>
  </r>
  <r>
    <s v="419/23"/>
    <s v="0203"/>
    <s v="Organização "/>
    <x v="206"/>
    <s v="Dignidade e direito à vida através da garantia à alimentação adequada"/>
    <s v="Eixo I: Promoção, Assistência e Desenvolvimento Social"/>
    <n v="240000"/>
    <n v="288000"/>
    <m/>
    <m/>
    <s v="Americana/SP"/>
    <x v="12"/>
    <s v=" Helio de Oliveira Camargo"/>
    <m/>
  </r>
  <r>
    <s v="422/23"/>
    <m/>
    <s v="Prefeitura"/>
    <x v="207"/>
    <s v="Centro dia de Refência da Pessoa Idosa"/>
    <s v="Eixo I: Promoção, Assistência e Desenvolvimento Social"/>
    <n v="1046576.89"/>
    <n v="1255892.2679999999"/>
    <m/>
    <m/>
    <s v="São Sebastião"/>
    <x v="4"/>
    <s v="Juliana"/>
    <m/>
  </r>
  <r>
    <s v="423/23"/>
    <m/>
    <s v="Prefeitura"/>
    <x v="207"/>
    <s v="CadastraSaber"/>
    <s v="Eixo VI: Justiça"/>
    <n v="250000"/>
    <n v="300000"/>
    <m/>
    <m/>
    <s v="São Sebastião"/>
    <x v="4"/>
    <s v="Juliana"/>
    <m/>
  </r>
  <r>
    <s v="424/23"/>
    <m/>
    <s v="Prefeitura"/>
    <x v="207"/>
    <s v="Projeto Pé na Estrada"/>
    <s v="Eixo VII: Cultura, Esporte, Turismo e Lazer"/>
    <n v="177890"/>
    <n v="213468"/>
    <m/>
    <m/>
    <s v="São Sebastião"/>
    <x v="4"/>
    <s v="Juliana"/>
    <m/>
  </r>
  <r>
    <s v="428/23"/>
    <s v="0204"/>
    <s v="Organização "/>
    <x v="208"/>
    <s v="Projeto RenovaLar"/>
    <s v="Eixo I: Promoção, Assistência e Desenvolvimento Social"/>
    <n v="5500000"/>
    <n v="6600000"/>
    <m/>
    <m/>
    <s v="São Paulo/SP"/>
    <x v="3"/>
    <s v="Silvio Torres dos Santos (Projeto: Renovalar)"/>
    <m/>
  </r>
  <r>
    <s v="433/23"/>
    <m/>
    <s v="Prefeitura"/>
    <x v="59"/>
    <s v="Projeto Arco-Íris"/>
    <s v="Eixo I: Promoção, Assistência e Desenvolvimento Social"/>
    <n v="1764030"/>
    <n v="2116836"/>
    <m/>
    <m/>
    <s v="Birigui/SP"/>
    <x v="20"/>
    <s v="Roseli Cristina Rodrigues"/>
    <m/>
  </r>
  <r>
    <s v="435/23"/>
    <s v="0205"/>
    <s v="Organização "/>
    <x v="209"/>
    <s v="Centro de Voluntariado"/>
    <s v="Eixo IV: Trabalho e Previdência Social"/>
    <n v="238400"/>
    <n v="286080"/>
    <m/>
    <m/>
    <s v="Atibaia/SP"/>
    <x v="12"/>
    <s v="Ginmarco Bisaglia"/>
    <n v="1"/>
  </r>
  <r>
    <s v="436/23"/>
    <s v="0206"/>
    <s v="Organização "/>
    <x v="209"/>
    <s v="Projeto Conta Tua História "/>
    <s v="Eixo VII: Cultura, Esporte, Turismo e Lazer"/>
    <n v="580000"/>
    <n v="696000"/>
    <m/>
    <m/>
    <s v="Atibaia/SP"/>
    <x v="12"/>
    <s v="Ginmarco Bisaglia"/>
    <n v="1"/>
  </r>
  <r>
    <s v="437/23"/>
    <s v="0207"/>
    <s v="Organização "/>
    <x v="210"/>
    <s v="Centro de Convivência Cultural Esportivo e de Lazer para Pessoa Idosa Novo Olhar - III"/>
    <s v="Eixo VII: Cultura, Esporte, Turismo e Lazer"/>
    <n v="424690"/>
    <n v="509628"/>
    <m/>
    <m/>
    <s v="São Paulo/SP"/>
    <x v="3"/>
    <s v="Priscila Roberta"/>
    <m/>
  </r>
  <r>
    <s v="439/23"/>
    <s v="0208"/>
    <s v="Organização "/>
    <x v="210"/>
    <s v="Centro de Convivência Cultural Esportivo e de Lazer para Pessoa Idosa Novo Olhar - I"/>
    <s v="Eixo VII: Cultura, Esporte, Turismo e Lazer"/>
    <n v="358226"/>
    <n v="429871.2"/>
    <m/>
    <m/>
    <s v="São Paulo/SP"/>
    <x v="3"/>
    <s v="Priscila Roberta"/>
    <m/>
  </r>
  <r>
    <s v="440/23"/>
    <s v="0209"/>
    <s v="Organização "/>
    <x v="211"/>
    <s v="Convivio e Cuidado"/>
    <s v="Eixo I: Promoção, Assistência e Desenvolvimento Social"/>
    <n v="307058.67"/>
    <n v="368470.40399999998"/>
    <m/>
    <m/>
    <s v="São Paulo/SP"/>
    <x v="3"/>
    <s v="Rachel Vainzoff Katz"/>
    <n v="1"/>
  </r>
  <r>
    <s v="441/23"/>
    <s v="0210"/>
    <s v="Organização "/>
    <x v="211"/>
    <s v="Cuidar para Mudar"/>
    <s v="Eixo I: Promoção, Assistência e Desenvolvimento Social"/>
    <n v="106832"/>
    <n v="128198.39999999999"/>
    <m/>
    <m/>
    <s v="São Paulo/SP"/>
    <x v="3"/>
    <s v="Rachel Vainzoff Katz"/>
    <n v="1"/>
  </r>
  <r>
    <s v="442/23"/>
    <s v="0211"/>
    <s v="Organização "/>
    <x v="212"/>
    <s v="Bem Viver: Jornada Cultural de Lazer e Turismo"/>
    <s v="Eixo VII: Cultura, Esporte, Turismo e Lazer"/>
    <n v="500000"/>
    <n v="600000"/>
    <m/>
    <m/>
    <s v="Campinas/SP"/>
    <x v="12"/>
    <s v="Kelly Cristina Parro da Silva"/>
    <n v="1"/>
  </r>
  <r>
    <s v="444/23"/>
    <s v="0212"/>
    <s v="Organização "/>
    <x v="213"/>
    <s v="Conecta"/>
    <s v="Eixo IV: Trabalho e Previdência Social"/>
    <n v="2997082.04"/>
    <n v="3596498.4479999999"/>
    <m/>
    <m/>
    <s v="São Paulo/SP"/>
    <x v="3"/>
    <s v="Marcos Alemida"/>
    <n v="1"/>
  </r>
  <r>
    <s v="447/23"/>
    <s v="0213"/>
    <s v="Organização "/>
    <x v="214"/>
    <s v="Memorize-se!"/>
    <s v="Eixo III: Educação"/>
    <n v="927704.17"/>
    <n v="1113245.004"/>
    <m/>
    <m/>
    <s v="São Paulo/SP"/>
    <x v="3"/>
    <s v="Adriana Domingos Horvath"/>
    <n v="1"/>
  </r>
  <r>
    <s v="450/23"/>
    <s v="0214"/>
    <s v="Organização "/>
    <x v="215"/>
    <s v="Modernização do Sistema Eletrico do Abrigo São Lourenço de Jaú"/>
    <s v="Eixo I: Promoção, Assistência e Desenvolvimento Social"/>
    <n v="198000"/>
    <n v="237600"/>
    <m/>
    <m/>
    <s v="Jaú/SP"/>
    <x v="16"/>
    <s v="Renato Hilst Ribeiro"/>
    <m/>
  </r>
  <r>
    <s v="451/23"/>
    <m/>
    <s v="Prefeitura"/>
    <x v="216"/>
    <s v="Cuidar e Reabilitar "/>
    <s v="Eixo II: Sáude"/>
    <n v="394000"/>
    <n v="472800"/>
    <m/>
    <m/>
    <s v="São Roque/SP"/>
    <x v="17"/>
    <s v="Simoni Camargo Rocha"/>
    <m/>
  </r>
  <r>
    <s v="453/23"/>
    <m/>
    <s v="Prefeitura"/>
    <x v="216"/>
    <s v="Viva Melhor Idade - Noite Estrelada"/>
    <s v="Eixo VII: Cultura, Esporte, Turismo e Lazer"/>
    <n v="415522"/>
    <n v="498626.39999999997"/>
    <m/>
    <m/>
    <s v="São Roque/SP"/>
    <x v="17"/>
    <s v="Simoni Camargo Rocha"/>
    <m/>
  </r>
  <r>
    <s v="454/23"/>
    <s v="0215"/>
    <s v="Organização "/>
    <x v="217"/>
    <s v="Movimentando a Vida"/>
    <s v="Eixo I: Promoção, Assistência e Desenvolvimento Social"/>
    <n v="95000"/>
    <n v="114000"/>
    <m/>
    <m/>
    <s v="Cotia/SP"/>
    <x v="0"/>
    <s v="Marcelo Nicolini Teixeira"/>
    <n v="1"/>
  </r>
  <r>
    <s v="456/23"/>
    <s v="0216"/>
    <s v="Organização "/>
    <x v="218"/>
    <s v="Viagem do Saber "/>
    <s v="Eixo VII: Cultura, Esporte, Turismo e Lazer"/>
    <n v="1139100"/>
    <n v="1366920"/>
    <m/>
    <m/>
    <s v="Cotia/SP"/>
    <x v="0"/>
    <s v="Kelen Garcia"/>
    <n v="1"/>
  </r>
  <r>
    <s v="457/23"/>
    <s v="0217"/>
    <s v="Organização "/>
    <x v="218"/>
    <s v="Páginas da Vida"/>
    <s v="Eixo VII: Cultura, Esporte, Turismo e Lazer"/>
    <n v="812100"/>
    <n v="974520"/>
    <m/>
    <m/>
    <s v="Cotia/SP"/>
    <x v="0"/>
    <s v="Kelen Garcia"/>
    <n v="1"/>
  </r>
  <r>
    <s v="465/23"/>
    <s v="0218"/>
    <s v="Organização "/>
    <x v="219"/>
    <s v="A Pessoa Idosa e o direito de ser um cidadão visível"/>
    <s v="Eixo VII: Cultura, Esporte, Turismo e Lazer"/>
    <n v="338304"/>
    <n v="405964.79999999999"/>
    <m/>
    <m/>
    <s v="Campinas/SP"/>
    <x v="12"/>
    <s v="Juarez Bispo Mateus"/>
    <n v="1"/>
  </r>
  <r>
    <s v="468/23"/>
    <s v="0219"/>
    <s v="Organização "/>
    <x v="220"/>
    <s v="Escola de Filhos: Orientação e Apoio para Cuidadores de Pessoas Idosas "/>
    <s v="Eixo IV: Trabalho e Previdência Social"/>
    <n v="399210"/>
    <n v="479052"/>
    <m/>
    <m/>
    <s v="Guarulhos/SP"/>
    <x v="10"/>
    <s v="Orozina Aparecida Costa"/>
    <m/>
  </r>
  <r>
    <s v="469/23"/>
    <s v="0220"/>
    <s v="Organização "/>
    <x v="221"/>
    <s v="Estratégias Inovadoras na Cultura Tecnológica"/>
    <s v="Eixo VII: Cultura, Esporte, Turismo e Lazer"/>
    <n v="100000"/>
    <n v="120000"/>
    <m/>
    <m/>
    <s v="Piracaia/SP"/>
    <x v="12"/>
    <s v="Ricardo Pinheiro"/>
    <m/>
  </r>
  <r>
    <s v="477/23"/>
    <m/>
    <s v="Prefeitura"/>
    <x v="222"/>
    <s v="Equipar para Melhor Atender"/>
    <s v="Eixo I: Promoção, Assistência e Desenvolvimento Social"/>
    <n v="100000"/>
    <n v="120000"/>
    <m/>
    <m/>
    <s v="Turmalina/SP"/>
    <x v="1"/>
    <s v="Fábio Martins "/>
    <m/>
  </r>
  <r>
    <s v="478/23"/>
    <m/>
    <s v="Prefeitura"/>
    <x v="222"/>
    <s v="Melhor idade em Movimento"/>
    <s v="Eixo I: Promoção, Assistência e Desenvolvimento Social"/>
    <n v="100000"/>
    <n v="120000"/>
    <m/>
    <m/>
    <s v="Turmalina/SP"/>
    <x v="1"/>
    <s v="Fábio Martins "/>
    <m/>
  </r>
  <r>
    <s v="482/23"/>
    <m/>
    <s v="Prefeitura"/>
    <x v="223"/>
    <s v="Acesso Certo, Inserção às Pessoas Idosas Invisíveis Sociais"/>
    <s v="Eixo I: Promoção, Assistência e Desenvolvimento Social"/>
    <n v="350000"/>
    <n v="420000"/>
    <m/>
    <m/>
    <s v="Jardinópolis/SP"/>
    <x v="7"/>
    <s v="Francielle Aleixo Giraldo"/>
    <m/>
  </r>
  <r>
    <s v="484/23"/>
    <m/>
    <s v="Prefeitura"/>
    <x v="224"/>
    <s v="A Melhor Idade é Agora "/>
    <s v="Eixo VII: Cultura, Esporte, Turismo e Lazer"/>
    <n v="120000"/>
    <n v="144000"/>
    <m/>
    <m/>
    <s v="Mesópolis/SP"/>
    <x v="1"/>
    <s v="Éder William Barboza Domingos (Projeto: A melhor idade é agora)"/>
    <m/>
  </r>
  <r>
    <s v="485/23"/>
    <s v="0221"/>
    <s v="Organização "/>
    <x v="195"/>
    <s v="Instalação de Sistema Fotovoltaico"/>
    <s v="Eixo I: Promoção, Assistência e Desenvolvimento Social"/>
    <n v="236998.45"/>
    <n v="284398.14"/>
    <m/>
    <m/>
    <s v="São Caetano/SP"/>
    <x v="14"/>
    <s v="Reina "/>
    <m/>
  </r>
  <r>
    <s v="490/23"/>
    <s v="0222"/>
    <s v="Organização "/>
    <x v="225"/>
    <s v="Cidadania Proativa"/>
    <s v="Eixo VII: Cultura, Esporte, Turismo e Lazer"/>
    <n v="268000"/>
    <n v="321600"/>
    <m/>
    <m/>
    <s v="Severínia/SP"/>
    <x v="8"/>
    <s v="João Carlos"/>
    <m/>
  </r>
  <r>
    <s v="491/23"/>
    <m/>
    <s v="Prefeitura"/>
    <x v="226"/>
    <s v="Conviver"/>
    <s v="Eixo I: Promoção, Assistência e Desenvolvimento Social"/>
    <n v="150000"/>
    <n v="180000"/>
    <m/>
    <m/>
    <s v="Severínia/SP"/>
    <x v="8"/>
    <s v="Rafaela Neves Ferreira"/>
    <m/>
  </r>
  <r>
    <s v="493/23"/>
    <s v="0223"/>
    <s v="Organização "/>
    <x v="227"/>
    <s v="Nutri Repouso Estadual"/>
    <s v="Eixo I: Promoção, Assistência e Desenvolvimento Social"/>
    <n v="600000"/>
    <n v="720000"/>
    <m/>
    <m/>
    <s v="São Paulo/SP"/>
    <x v="3"/>
    <s v="Izar Mansur"/>
    <m/>
  </r>
  <r>
    <s v="494/23"/>
    <s v="0224"/>
    <s v="Organização "/>
    <x v="228"/>
    <s v="Melhor Idade em Ação "/>
    <s v="Eixo VII: Cultura, Esporte, Turismo e Lazer"/>
    <n v="1261817.04"/>
    <n v="1514180.4480000001"/>
    <m/>
    <m/>
    <s v="São Paulo/SP"/>
    <x v="3"/>
    <s v="Djalma Nunes Ferreira"/>
    <m/>
  </r>
  <r>
    <s v="495/23"/>
    <s v="0225"/>
    <s v="Organização "/>
    <x v="229"/>
    <s v="Agindo com Justiça"/>
    <s v="Eixo IV: Trabalho e Previdência Social"/>
    <n v="516590.96"/>
    <n v="619909.152"/>
    <m/>
    <m/>
    <s v="Guarulhos/SP"/>
    <x v="10"/>
    <s v="Arnaldo Sousa de Oliveira "/>
    <n v="1"/>
  </r>
  <r>
    <s v="496/23"/>
    <s v="0226"/>
    <s v="Organização "/>
    <x v="229"/>
    <s v="Alfabetizando"/>
    <s v="Eixo III: Educação"/>
    <n v="505667"/>
    <n v="606800.4"/>
    <m/>
    <m/>
    <s v="Guarulhos/SP"/>
    <x v="10"/>
    <s v="Arnaldo Sousa de Oliveira "/>
    <n v="1"/>
  </r>
  <r>
    <s v="497/23"/>
    <m/>
    <s v="Prefeitura"/>
    <x v="230"/>
    <s v="Conviver"/>
    <s v="Eixo I: Promoção, Assistência e Desenvolvimento Social"/>
    <n v="164000"/>
    <n v="196800"/>
    <m/>
    <m/>
    <s v="Santa Rita d' Oeste/SP"/>
    <x v="1"/>
    <s v="Fernanda Leme"/>
    <m/>
  </r>
  <r>
    <s v="498/23"/>
    <s v="0227"/>
    <s v="Organização "/>
    <x v="231"/>
    <s v="Revitalização e Mobilidade"/>
    <s v="Eixo I: Promoção, Assistência e Desenvolvimento Social"/>
    <n v="2004407.56"/>
    <n v="2405289.0720000002"/>
    <m/>
    <m/>
    <s v="Louveira/SP"/>
    <x v="12"/>
    <s v="Marcelo Vitor da Silva Lima "/>
    <m/>
  </r>
  <r>
    <s v="499/23"/>
    <s v="0228"/>
    <s v="Organização "/>
    <x v="232"/>
    <s v="Breaking Melhor Idade"/>
    <s v="Eixo VII: Cultura, Esporte, Turismo e Lazer"/>
    <n v="280000"/>
    <n v="336000"/>
    <m/>
    <m/>
    <s v="Itanhaém/SP"/>
    <x v="25"/>
    <s v="Fernando F. Curcio"/>
    <m/>
  </r>
  <r>
    <s v="502/23"/>
    <m/>
    <s v="Prefeitura"/>
    <x v="233"/>
    <s v="Viajar é Preciso"/>
    <s v="Eixo VII: Cultura, Esporte, Turismo e Lazer"/>
    <n v="150000"/>
    <n v="180000"/>
    <m/>
    <m/>
    <s v="Dirce Reis/SP"/>
    <x v="1"/>
    <s v="TarginoPereira de Sousa Filho"/>
    <m/>
  </r>
  <r>
    <s v="506/23"/>
    <s v="0229"/>
    <s v="Organização "/>
    <x v="234"/>
    <s v="Centro de Convivência 60+"/>
    <s v="Eixo I: Promoção, Assistência e Desenvolvimento Social"/>
    <n v="588000"/>
    <n v="705600"/>
    <m/>
    <m/>
    <s v="Diadema/SP"/>
    <x v="14"/>
    <s v="Roseli de Fatima Barbosa Magalhaes "/>
    <m/>
  </r>
  <r>
    <s v="507/23"/>
    <m/>
    <s v="Prefeitura"/>
    <x v="235"/>
    <s v="Viva Esporte Terceira Idade"/>
    <s v="Eixo VII: Cultura, Esporte, Turismo e Lazer"/>
    <n v="239275"/>
    <n v="287130"/>
    <m/>
    <m/>
    <s v="Sorocaba/SP"/>
    <x v="17"/>
    <s v="Diego Garcia Diniz"/>
    <m/>
  </r>
  <r>
    <s v="510/23"/>
    <s v="0230"/>
    <s v="Organização "/>
    <x v="236"/>
    <s v="Feliz Idade - Qualidade de Vida Através da Música, Esporte e Dança"/>
    <s v="Eixo VII: Cultura, Esporte, Turismo e Lazer"/>
    <n v="1224168"/>
    <n v="1469001.6"/>
    <m/>
    <m/>
    <s v="Santo André/SP"/>
    <x v="14"/>
    <s v="Baetris Gambirasi Cabral"/>
    <n v="1"/>
  </r>
  <r>
    <s v="511/23"/>
    <s v="0231"/>
    <s v="Organização "/>
    <x v="237"/>
    <s v="Caminho da Longevidade"/>
    <s v="Eixo I: Promoção, Assistência e Desenvolvimento Social"/>
    <n v="982220"/>
    <n v="1178664"/>
    <n v="17852.539999999997"/>
    <n v="1160811.46"/>
    <s v="Itaquaquecetuba/SP"/>
    <x v="26"/>
    <s v="Sandra Sakata "/>
    <n v="1"/>
  </r>
  <r>
    <s v="514/23"/>
    <s v="0232"/>
    <s v="Organização "/>
    <x v="238"/>
    <s v="Vivências que Transformam "/>
    <s v="Eixo II: Sáude"/>
    <n v="749855.9"/>
    <n v="899827.08"/>
    <m/>
    <m/>
    <s v="São Paulo/SP"/>
    <x v="3"/>
    <s v="Wellington Souza Matos"/>
    <n v="1"/>
  </r>
  <r>
    <s v="515/23"/>
    <s v="0233"/>
    <s v="Organização "/>
    <x v="239"/>
    <s v="Revoada "/>
    <s v="Eixo III: Educação"/>
    <n v="614048.15"/>
    <n v="736857.78"/>
    <m/>
    <m/>
    <s v="Presidente Venceslau/SP"/>
    <x v="2"/>
    <s v="Rosenei Costa Bartol Doias "/>
    <n v="1"/>
  </r>
  <r>
    <s v="516/23"/>
    <s v="0234"/>
    <s v="Organização "/>
    <x v="240"/>
    <s v="Conexão Dourada 2.0"/>
    <s v="Eixo III: Educação_x000a_Eixo IV – Trabalho e Previdência Social"/>
    <n v="738261.48"/>
    <n v="885913.77599999995"/>
    <m/>
    <m/>
    <s v="São Paulo/SP"/>
    <x v="3"/>
    <s v="Maria da Cruz Pinheiros Sobrinho "/>
    <n v="1"/>
  </r>
  <r>
    <s v="517/23"/>
    <s v="0235"/>
    <s v="Organização "/>
    <x v="238"/>
    <s v="Conectando Geraçõe"/>
    <s v="Eixo II: Sáude"/>
    <n v="720339"/>
    <n v="864406.8"/>
    <m/>
    <m/>
    <s v="São Paulo/SP"/>
    <x v="3"/>
    <s v="Wellington Souza Matos"/>
    <n v="1"/>
  </r>
  <r>
    <s v="519/23"/>
    <m/>
    <s v="Prefeitura"/>
    <x v="241"/>
    <s v="Centro Rural de Convivência do Idoso – Portão "/>
    <s v="Eixo I: Promoção, Assistência e Desenvolvimento Social"/>
    <n v="329350"/>
    <n v="395220"/>
    <m/>
    <m/>
    <s v="Atibaia/SP"/>
    <x v="12"/>
    <s v="Magali Pereira Gonçalves Costato Basile"/>
    <m/>
  </r>
  <r>
    <s v="524/23"/>
    <s v="0236"/>
    <s v="Organização "/>
    <x v="242"/>
    <s v="Padaria Escola Sonhar e Viver o Sonho"/>
    <s v="Eixo IV: Trabalho e Previdência Social"/>
    <n v="632086"/>
    <n v="758503.2"/>
    <m/>
    <m/>
    <s v="Santo André/SP"/>
    <x v="14"/>
    <s v="Maria Sonia Alves Batista dos Santos"/>
    <n v="1"/>
  </r>
  <r>
    <s v="527/23"/>
    <s v="0237"/>
    <s v="Organização "/>
    <x v="243"/>
    <s v="Projeto Idade Feliz "/>
    <s v="Eixo VII: Cultura, Esporte, Turismo e Lazer"/>
    <n v="300000"/>
    <n v="360000"/>
    <m/>
    <m/>
    <s v="Mauá/SP"/>
    <x v="14"/>
    <s v="Vlademir Pereira Silva"/>
    <n v="1"/>
  </r>
  <r>
    <s v="532/23"/>
    <s v="0238"/>
    <s v="Organização "/>
    <x v="244"/>
    <s v="Melhor Idade sem Dor"/>
    <s v="Eixo II: Sáude"/>
    <n v="2737957.34"/>
    <n v="3285548.8080000002"/>
    <m/>
    <m/>
    <s v="Boituva/SP"/>
    <x v="17"/>
    <s v="Antonio Tabajara Serrano"/>
    <m/>
  </r>
  <r>
    <s v="534/23"/>
    <s v="0239"/>
    <s v="Organização "/>
    <x v="244"/>
    <s v="Programa de Atenção à Saúde Auditiva do idoso"/>
    <s v="Eixo II: Sáude"/>
    <n v="4872240"/>
    <n v="5846688"/>
    <m/>
    <m/>
    <s v="Boituva/SP"/>
    <x v="17"/>
    <s v="Antonio Tabajara Serrano"/>
    <m/>
  </r>
  <r>
    <s v="536/23"/>
    <s v="0240"/>
    <s v="Organização "/>
    <x v="245"/>
    <s v="Centro de Convivência Cultural Esportivo e de Lazer para Pessoa Idosa Divina Graça - II"/>
    <s v="Eixo VII: Cultura, Esporte, Turismo e Lazer"/>
    <n v="406060"/>
    <n v="487272"/>
    <m/>
    <m/>
    <s v="São Paulo/SP"/>
    <x v="3"/>
    <s v="Valéria"/>
    <m/>
  </r>
  <r>
    <s v="537/23"/>
    <s v="0241"/>
    <s v="Organização "/>
    <x v="245"/>
    <s v="Centro de Convivência Cultural Esportivo e de Lazer para Pessoa Idosa Divina Graça - III"/>
    <s v="Eixo VII: Cultura, Esporte, Turismo e Lazer"/>
    <n v="451456"/>
    <n v="541747.19999999995"/>
    <m/>
    <m/>
    <s v="São Paulo/SP"/>
    <x v="3"/>
    <s v="Valéria"/>
    <m/>
  </r>
  <r>
    <s v="538/23"/>
    <s v="0242"/>
    <s v="Organização "/>
    <x v="245"/>
    <s v="Centro de Convivência Cultural Esportivo e de Lazer para Pessoa Idosa Divina Graça - I"/>
    <s v="Eixo VII: Cultura, Esporte, Turismo e Lazer"/>
    <n v="356288"/>
    <n v="427545.59999999998"/>
    <m/>
    <m/>
    <s v="São Paulo/SP"/>
    <x v="3"/>
    <s v="Valéria"/>
    <m/>
  </r>
  <r>
    <s v="542/23"/>
    <s v="0243"/>
    <s v="Organização "/>
    <x v="246"/>
    <s v="Envelhecer Também é Viver "/>
    <s v="Eixo I: Promoção, Assistência e Desenvolvimento Social"/>
    <n v="75658.17"/>
    <n v="90789.804000000004"/>
    <m/>
    <m/>
    <s v="Cruzeiro/SP"/>
    <x v="4"/>
    <s v="Maressa Francine de Aquino Dias"/>
    <m/>
  </r>
  <r>
    <s v="544/23"/>
    <s v="0244"/>
    <s v="Organização "/>
    <x v="247"/>
    <s v="Yachad Cultural "/>
    <s v="Eixo VII: Cultura, Esporte, Turismo e Lazer"/>
    <n v="606000"/>
    <n v="727200"/>
    <m/>
    <m/>
    <s v="São Paulo/SP"/>
    <x v="3"/>
    <s v="Gisele Grunpeter"/>
    <m/>
  </r>
  <r>
    <s v="545/23"/>
    <s v="0245"/>
    <s v="Organização "/>
    <x v="247"/>
    <s v="Música e Arte "/>
    <s v="Eixo VII: Cultura, Esporte, Turismo e Lazer"/>
    <n v="1308000"/>
    <n v="1569600"/>
    <m/>
    <m/>
    <s v="São Paulo/SP"/>
    <x v="3"/>
    <s v="Gisele Grunpeter"/>
    <m/>
  </r>
  <r>
    <s v="546/23"/>
    <s v="0246"/>
    <s v="Organização "/>
    <x v="247"/>
    <s v="Fazendo a Diferença"/>
    <s v="Eixo VII: Cultura, Esporte, Turismo e Lazer"/>
    <n v="1765500"/>
    <n v="2118600"/>
    <m/>
    <m/>
    <s v="São Paulo/SP"/>
    <x v="3"/>
    <s v="Gisele Grunpeter"/>
    <m/>
  </r>
  <r>
    <s v="548/23"/>
    <s v="0247"/>
    <s v="Organização "/>
    <x v="248"/>
    <s v="Colorindo a Vida"/>
    <s v="Eixo VII: Cultura, Esporte, Turismo e Lazer"/>
    <n v="1765500"/>
    <n v="2118600"/>
    <m/>
    <m/>
    <s v="São Paulo/SP"/>
    <x v="3"/>
    <s v="Issac Michanie"/>
    <n v="1"/>
  </r>
  <r>
    <s v="549/23"/>
    <s v="0248"/>
    <s v="Organização "/>
    <x v="248"/>
    <s v="Fazendo Arte"/>
    <s v="Eixo VII: Cultura, Esporte, Turismo e Lazer"/>
    <n v="606000"/>
    <n v="727200"/>
    <n v="46000"/>
    <n v="681200"/>
    <s v="São Paulo/SP"/>
    <x v="3"/>
    <s v="Issac Michanie"/>
    <n v="1"/>
  </r>
  <r>
    <s v="551/23"/>
    <s v="0249"/>
    <s v="Organização "/>
    <x v="249"/>
    <s v="Centro de Convivência Cultural Esportivo e de Lazer Vivendo Plenamente I"/>
    <s v="Eixo VII: Cultura, Esporte, Turismo e Lazer"/>
    <n v="353442"/>
    <n v="424130.4"/>
    <m/>
    <m/>
    <s v="São Paulo/SP"/>
    <x v="3"/>
    <s v="Alan"/>
    <m/>
  </r>
  <r>
    <s v="553/23"/>
    <s v="0250"/>
    <s v="Organização "/>
    <x v="250"/>
    <s v="Centro de Convivência Cultural Esportivo e de Lazer para Pessoa Idosa Tecendo Vinculos-II"/>
    <s v="Eixo VII: Cultura, Esporte, Turismo e Lazer"/>
    <n v="417192"/>
    <n v="500630.4"/>
    <m/>
    <m/>
    <s v="São Paulo/SP"/>
    <x v="3"/>
    <s v="Alan"/>
    <m/>
  </r>
  <r>
    <s v="554/23"/>
    <s v="0251"/>
    <s v="Organização "/>
    <x v="250"/>
    <s v="Centro de Convivência Cultural Esportivo e de Lazer para Pessoa Idosa Tecendo Vinculos-III"/>
    <s v="Eixo VII: Cultura, Esporte, Turismo e Lazer"/>
    <n v="481120"/>
    <n v="577344"/>
    <m/>
    <m/>
    <s v="São Paulo/SP"/>
    <x v="3"/>
    <s v="Alan"/>
    <m/>
  </r>
  <r>
    <s v="555/23"/>
    <s v="0252"/>
    <s v="Organização "/>
    <x v="249"/>
    <s v="Centro de Convivência Cultural Esportivo e de Lazer para Pessoa Idosa Vivendo Plenamento III"/>
    <s v="Eixo VII: Cultura, Esporte, Turismo e Lazer"/>
    <n v="442128"/>
    <n v="530553.59999999998"/>
    <m/>
    <m/>
    <s v="São Paulo/SP"/>
    <x v="3"/>
    <s v="Alan"/>
    <m/>
  </r>
  <r>
    <s v="556/23"/>
    <s v="0253"/>
    <s v="Organização "/>
    <x v="251"/>
    <s v="Centro de Convivência Cultura Esportivo e de Lazer para Pessoa Idosa Novo Encontro Dourado II"/>
    <s v="Eixo VII: Cultura, Esporte, Turismo e Lazer"/>
    <n v="377000"/>
    <n v="452400"/>
    <m/>
    <m/>
    <s v="São Paulo/SP"/>
    <x v="3"/>
    <s v="Alan"/>
    <m/>
  </r>
  <r>
    <s v="557/23"/>
    <s v="0254"/>
    <s v="Organização "/>
    <x v="251"/>
    <s v="Centro de Convivência Cultura Esportivo e de Lazer para Pessoa Idosa Novo Encontro Dourado - I"/>
    <s v="Eixo VII: Cultura, Esporte, Turismo e Lazer"/>
    <n v="362728"/>
    <n v="435273.6"/>
    <m/>
    <m/>
    <s v="São Paulo/SP"/>
    <x v="3"/>
    <s v="Alan"/>
    <m/>
  </r>
  <r>
    <s v="561/23"/>
    <s v="0255"/>
    <s v="Organização "/>
    <x v="252"/>
    <s v="Informatizando"/>
    <s v="Eixo VII: Cultura, Esporte, Turismo e Lazer"/>
    <n v="345629.74"/>
    <n v="414755.68800000002"/>
    <m/>
    <m/>
    <s v="Campinas/SP"/>
    <x v="12"/>
    <s v="Luis Carlos Martins Pereira"/>
    <n v="1"/>
  </r>
  <r>
    <s v="563/23"/>
    <s v="0256"/>
    <s v="Organização "/>
    <x v="253"/>
    <s v="Longevidade Saudavel II"/>
    <s v="Eixo VII: Cultura, Esporte, Turismo e Lazer"/>
    <n v="1067863.3700000001"/>
    <n v="1281436.044"/>
    <m/>
    <m/>
    <s v="São José do Rio Preto/SP"/>
    <x v="18"/>
    <s v="Maria Elena da Rocha"/>
    <n v="1"/>
  </r>
  <r>
    <s v="564/23"/>
    <s v="0257"/>
    <s v="Organização "/>
    <x v="252"/>
    <s v="Costurando Histórias"/>
    <s v="Eixo VII: Cultura, Esporte, Turismo e Lazer"/>
    <n v="332039.32"/>
    <n v="398447.18400000001"/>
    <m/>
    <m/>
    <s v="Campinas/SP"/>
    <x v="12"/>
    <s v="Luis Carlos Martins Pereira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15A7-A471-4E50-89A2-E341AAE7495D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4:C26" firstHeaderRow="1" firstDataRow="1" firstDataCol="1" rowPageCount="1" colPageCount="1"/>
  <pivotFields count="9">
    <pivotField showAll="0"/>
    <pivotField axis="axisPage" showAll="0">
      <items count="3">
        <item x="1"/>
        <item x="0"/>
        <item t="default"/>
      </items>
    </pivotField>
    <pivotField axis="axisRow" showAll="0">
      <items count="108">
        <item x="103"/>
        <item x="13"/>
        <item x="67"/>
        <item x="73"/>
        <item x="104"/>
        <item x="106"/>
        <item x="17"/>
        <item x="23"/>
        <item x="96"/>
        <item x="74"/>
        <item x="68"/>
        <item x="82"/>
        <item x="76"/>
        <item x="99"/>
        <item x="63"/>
        <item x="88"/>
        <item x="72"/>
        <item x="92"/>
        <item x="33"/>
        <item x="65"/>
        <item x="50"/>
        <item x="87"/>
        <item x="90"/>
        <item x="84"/>
        <item x="62"/>
        <item x="57"/>
        <item x="60"/>
        <item x="59"/>
        <item x="39"/>
        <item x="91"/>
        <item x="18"/>
        <item x="71"/>
        <item x="46"/>
        <item x="42"/>
        <item x="54"/>
        <item x="80"/>
        <item x="41"/>
        <item x="55"/>
        <item x="29"/>
        <item x="81"/>
        <item x="52"/>
        <item x="37"/>
        <item x="66"/>
        <item x="102"/>
        <item x="56"/>
        <item x="48"/>
        <item x="75"/>
        <item x="98"/>
        <item x="14"/>
        <item x="3"/>
        <item x="35"/>
        <item x="97"/>
        <item x="44"/>
        <item x="36"/>
        <item x="78"/>
        <item x="40"/>
        <item x="77"/>
        <item x="85"/>
        <item x="12"/>
        <item x="25"/>
        <item x="4"/>
        <item x="20"/>
        <item x="21"/>
        <item x="43"/>
        <item x="95"/>
        <item x="19"/>
        <item x="11"/>
        <item x="49"/>
        <item x="53"/>
        <item x="2"/>
        <item x="89"/>
        <item x="34"/>
        <item x="94"/>
        <item x="86"/>
        <item x="101"/>
        <item x="83"/>
        <item x="100"/>
        <item x="6"/>
        <item x="79"/>
        <item x="7"/>
        <item x="31"/>
        <item x="8"/>
        <item x="61"/>
        <item x="1"/>
        <item x="0"/>
        <item x="32"/>
        <item x="26"/>
        <item x="38"/>
        <item x="16"/>
        <item x="9"/>
        <item x="5"/>
        <item x="47"/>
        <item x="27"/>
        <item x="15"/>
        <item x="51"/>
        <item x="30"/>
        <item x="45"/>
        <item x="22"/>
        <item x="64"/>
        <item x="70"/>
        <item x="24"/>
        <item x="69"/>
        <item x="10"/>
        <item x="93"/>
        <item x="58"/>
        <item x="28"/>
        <item x="105"/>
        <item t="default"/>
      </items>
    </pivotField>
    <pivotField showAll="0"/>
    <pivotField showAll="0"/>
    <pivotField numFmtId="44" showAll="0"/>
    <pivotField showAll="0"/>
    <pivotField axis="axisRow" showAll="0">
      <items count="25">
        <item x="15"/>
        <item sd="0" x="5"/>
        <item sd="0" x="14"/>
        <item sd="0" x="6"/>
        <item sd="0" x="0"/>
        <item sd="0" x="4"/>
        <item sd="0" x="8"/>
        <item sd="0" x="7"/>
        <item sd="0" x="18"/>
        <item sd="0" x="19"/>
        <item sd="0" x="20"/>
        <item sd="0" x="3"/>
        <item sd="0" x="10"/>
        <item sd="0" x="2"/>
        <item sd="0" x="22"/>
        <item sd="0" x="13"/>
        <item sd="0" x="9"/>
        <item sd="0" x="11"/>
        <item sd="0" x="21"/>
        <item sd="0" x="16"/>
        <item sd="0" x="12"/>
        <item sd="0" x="17"/>
        <item x="1"/>
        <item m="1" x="23"/>
        <item t="default"/>
      </items>
    </pivotField>
    <pivotField dataField="1" showAll="0"/>
  </pivotFields>
  <rowFields count="2">
    <field x="7"/>
    <field x="2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1" item="0" hier="-1"/>
  </pageFields>
  <dataFields count="1">
    <dataField name="Soma de SOMA" fld="8" baseField="0" baseItem="0"/>
  </dataFields>
  <formats count="9">
    <format dxfId="97">
      <pivotArea field="7" type="button" dataOnly="0" labelOnly="1" outline="0" axis="axisRow" fieldPosition="0"/>
    </format>
    <format dxfId="96">
      <pivotArea dataOnly="0" labelOnly="1" outline="0" axis="axisValues" fieldPosition="0"/>
    </format>
    <format dxfId="95">
      <pivotArea field="1" dataOnly="0" grandRow="1" axis="axisPage" fieldPosition="0">
        <references count="1">
          <reference field="1" count="1" selected="0">
            <x v="0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7" type="button" dataOnly="0" labelOnly="1" outline="0" axis="axisRow" fieldPosition="0"/>
    </format>
    <format dxfId="91">
      <pivotArea dataOnly="0" labelOnly="1" fieldPosition="0">
        <references count="1">
          <reference field="7" count="2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628D5-B208-4C12-B268-2F828F2CF02C}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3:C31" firstHeaderRow="1" firstDataRow="1" firstDataCol="1"/>
  <pivotFields count="14">
    <pivotField showAll="0"/>
    <pivotField showAll="0"/>
    <pivotField showAll="0"/>
    <pivotField axis="axisRow" showAll="0">
      <items count="255">
        <item x="66"/>
        <item x="27"/>
        <item x="148"/>
        <item x="14"/>
        <item x="215"/>
        <item x="60"/>
        <item x="8"/>
        <item x="220"/>
        <item x="61"/>
        <item x="101"/>
        <item x="81"/>
        <item x="193"/>
        <item x="147"/>
        <item x="107"/>
        <item x="192"/>
        <item x="17"/>
        <item x="149"/>
        <item x="246"/>
        <item x="87"/>
        <item x="218"/>
        <item x="229"/>
        <item x="19"/>
        <item x="26"/>
        <item x="52"/>
        <item x="245"/>
        <item x="249"/>
        <item x="247"/>
        <item x="120"/>
        <item x="119"/>
        <item x="206"/>
        <item x="210"/>
        <item x="74"/>
        <item x="98"/>
        <item x="176"/>
        <item x="40"/>
        <item x="50"/>
        <item x="15"/>
        <item x="138"/>
        <item x="251"/>
        <item x="45"/>
        <item x="167"/>
        <item x="248"/>
        <item x="114"/>
        <item x="177"/>
        <item x="78"/>
        <item x="4"/>
        <item x="105"/>
        <item x="99"/>
        <item x="117"/>
        <item x="232"/>
        <item x="139"/>
        <item x="204"/>
        <item x="108"/>
        <item x="97"/>
        <item x="28"/>
        <item x="253"/>
        <item x="156"/>
        <item x="106"/>
        <item x="239"/>
        <item x="219"/>
        <item x="170"/>
        <item x="100"/>
        <item x="243"/>
        <item x="42"/>
        <item x="225"/>
        <item x="199"/>
        <item x="240"/>
        <item x="68"/>
        <item x="172"/>
        <item x="3"/>
        <item x="250"/>
        <item x="0"/>
        <item x="33"/>
        <item x="242"/>
        <item x="227"/>
        <item x="51"/>
        <item x="58"/>
        <item x="36"/>
        <item x="34"/>
        <item x="214"/>
        <item x="142"/>
        <item x="89"/>
        <item x="163"/>
        <item x="84"/>
        <item x="179"/>
        <item x="175"/>
        <item x="71"/>
        <item x="85"/>
        <item x="32"/>
        <item x="252"/>
        <item x="231"/>
        <item x="102"/>
        <item x="25"/>
        <item x="152"/>
        <item x="140"/>
        <item x="111"/>
        <item x="57"/>
        <item x="195"/>
        <item x="64"/>
        <item x="112"/>
        <item x="194"/>
        <item x="133"/>
        <item x="82"/>
        <item x="46"/>
        <item x="141"/>
        <item x="236"/>
        <item x="234"/>
        <item x="44"/>
        <item x="201"/>
        <item x="77"/>
        <item x="55"/>
        <item x="162"/>
        <item x="83"/>
        <item x="76"/>
        <item x="187"/>
        <item x="145"/>
        <item x="63"/>
        <item x="203"/>
        <item x="178"/>
        <item x="115"/>
        <item x="161"/>
        <item x="244"/>
        <item x="62"/>
        <item x="173"/>
        <item x="121"/>
        <item x="47"/>
        <item x="92"/>
        <item x="171"/>
        <item x="137"/>
        <item x="7"/>
        <item x="20"/>
        <item x="37"/>
        <item x="24"/>
        <item x="198"/>
        <item x="196"/>
        <item x="217"/>
        <item x="205"/>
        <item x="5"/>
        <item x="21"/>
        <item x="80"/>
        <item x="38"/>
        <item x="12"/>
        <item x="88"/>
        <item x="116"/>
        <item x="72"/>
        <item x="221"/>
        <item x="155"/>
        <item x="16"/>
        <item x="96"/>
        <item x="123"/>
        <item x="146"/>
        <item x="189"/>
        <item x="94"/>
        <item x="143"/>
        <item x="209"/>
        <item x="212"/>
        <item x="29"/>
        <item x="128"/>
        <item x="11"/>
        <item x="180"/>
        <item x="54"/>
        <item x="241"/>
        <item x="109"/>
        <item x="22"/>
        <item x="150"/>
        <item x="124"/>
        <item x="181"/>
        <item x="59"/>
        <item x="113"/>
        <item x="69"/>
        <item x="35"/>
        <item x="184"/>
        <item x="31"/>
        <item x="118"/>
        <item x="75"/>
        <item x="125"/>
        <item x="134"/>
        <item x="223"/>
        <item x="200"/>
        <item x="158"/>
        <item x="95"/>
        <item x="224"/>
        <item x="73"/>
        <item x="126"/>
        <item x="183"/>
        <item x="197"/>
        <item x="174"/>
        <item x="70"/>
        <item x="190"/>
        <item x="1"/>
        <item x="91"/>
        <item x="131"/>
        <item x="186"/>
        <item x="86"/>
        <item x="157"/>
        <item x="164"/>
        <item x="160"/>
        <item x="230"/>
        <item x="122"/>
        <item x="13"/>
        <item x="207"/>
        <item x="129"/>
        <item x="226"/>
        <item x="235"/>
        <item x="191"/>
        <item x="130"/>
        <item x="79"/>
        <item x="18"/>
        <item x="233"/>
        <item x="39"/>
        <item x="127"/>
        <item x="103"/>
        <item x="48"/>
        <item x="165"/>
        <item x="216"/>
        <item x="159"/>
        <item x="222"/>
        <item x="110"/>
        <item x="6"/>
        <item x="10"/>
        <item x="166"/>
        <item x="153"/>
        <item x="228"/>
        <item x="151"/>
        <item x="238"/>
        <item x="202"/>
        <item x="49"/>
        <item x="208"/>
        <item x="168"/>
        <item x="213"/>
        <item x="53"/>
        <item x="132"/>
        <item x="2"/>
        <item x="41"/>
        <item x="188"/>
        <item x="237"/>
        <item x="65"/>
        <item x="23"/>
        <item x="30"/>
        <item x="169"/>
        <item x="211"/>
        <item x="9"/>
        <item x="154"/>
        <item x="104"/>
        <item x="90"/>
        <item x="144"/>
        <item x="182"/>
        <item x="135"/>
        <item x="185"/>
        <item x="56"/>
        <item x="67"/>
        <item x="43"/>
        <item x="93"/>
        <item x="136"/>
        <item t="default"/>
      </items>
    </pivotField>
    <pivotField showAll="0"/>
    <pivotField showAll="0"/>
    <pivotField numFmtId="44" showAll="0"/>
    <pivotField numFmtId="44" showAll="0"/>
    <pivotField showAll="0"/>
    <pivotField showAll="0"/>
    <pivotField showAll="0"/>
    <pivotField axis="axisRow" showAll="0">
      <items count="28">
        <item sd="0" x="23"/>
        <item sd="0" x="14"/>
        <item sd="0" x="20"/>
        <item sd="0" x="2"/>
        <item sd="0" x="15"/>
        <item sd="0" x="5"/>
        <item sd="0" x="25"/>
        <item sd="0" x="8"/>
        <item sd="0" x="16"/>
        <item sd="0" x="22"/>
        <item sd="0" x="12"/>
        <item sd="0" x="3"/>
        <item sd="0" x="1"/>
        <item sd="0" x="24"/>
        <item sd="0" x="13"/>
        <item sd="0" x="21"/>
        <item sd="0" x="19"/>
        <item sd="0" x="11"/>
        <item sd="0" x="7"/>
        <item sd="0" x="18"/>
        <item sd="0" x="17"/>
        <item sd="0" x="26"/>
        <item sd="0" x="10"/>
        <item sd="0" x="0"/>
        <item sd="0" x="4"/>
        <item sd="0" x="6"/>
        <item sd="0" x="9"/>
        <item t="default"/>
      </items>
    </pivotField>
    <pivotField showAll="0"/>
    <pivotField dataField="1" showAll="0"/>
  </pivotFields>
  <rowFields count="2">
    <field x="11"/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SOMA" fld="13" baseField="0" baseItem="0"/>
  </dataFields>
  <formats count="13">
    <format dxfId="88">
      <pivotArea field="11" type="button" dataOnly="0" labelOnly="1" outline="0" axis="axisRow" fieldPosition="0"/>
    </format>
    <format dxfId="87">
      <pivotArea dataOnly="0" labelOnly="1" outline="0" axis="axisValues" fieldPosition="0"/>
    </format>
    <format dxfId="86">
      <pivotArea dataOnly="0" grandRow="1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field="11" type="button" dataOnly="0" labelOnly="1" outline="0" axis="axisRow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1" type="button" dataOnly="0" labelOnly="1" outline="0" axis="axisRow" fieldPosition="0"/>
    </format>
    <format dxfId="78">
      <pivotArea dataOnly="0" labelOnly="1" fieldPosition="0">
        <references count="1">
          <reference field="11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abinete.sas@osasco.sp.gov.br" TargetMode="External"/><Relationship Id="rId21" Type="http://schemas.openxmlformats.org/officeDocument/2006/relationships/hyperlink" Target="mailto:gabinete@duartina.sp.gov.br" TargetMode="External"/><Relationship Id="rId42" Type="http://schemas.openxmlformats.org/officeDocument/2006/relationships/hyperlink" Target="mailto:social@luizantonio.sp.gov.br" TargetMode="External"/><Relationship Id="rId47" Type="http://schemas.openxmlformats.org/officeDocument/2006/relationships/hyperlink" Target="mailto:assistenciasocial@taciba.sp.gov.br" TargetMode="External"/><Relationship Id="rId63" Type="http://schemas.openxmlformats.org/officeDocument/2006/relationships/hyperlink" Target="mailto:sas@taboaodaserra.sp.gov.br" TargetMode="External"/><Relationship Id="rId68" Type="http://schemas.openxmlformats.org/officeDocument/2006/relationships/hyperlink" Target="mailto:gabinete@novagranada.sp.gov.br" TargetMode="External"/><Relationship Id="rId84" Type="http://schemas.openxmlformats.org/officeDocument/2006/relationships/hyperlink" Target="mailto:assistencia@alvaresmachado.sp.gov.br" TargetMode="External"/><Relationship Id="rId89" Type="http://schemas.openxmlformats.org/officeDocument/2006/relationships/hyperlink" Target="mailto:social@juquia.sp.gov.br" TargetMode="External"/><Relationship Id="rId112" Type="http://schemas.openxmlformats.org/officeDocument/2006/relationships/hyperlink" Target="mailto:secretatia@itatinga.sp.gov.br" TargetMode="External"/><Relationship Id="rId16" Type="http://schemas.openxmlformats.org/officeDocument/2006/relationships/hyperlink" Target="mailto:social@ctn.org.br" TargetMode="External"/><Relationship Id="rId107" Type="http://schemas.openxmlformats.org/officeDocument/2006/relationships/hyperlink" Target="mailto:gabinete.prefeito@mairipora.sp.gov.br" TargetMode="External"/><Relationship Id="rId11" Type="http://schemas.openxmlformats.org/officeDocument/2006/relationships/hyperlink" Target="mailto:larsaovicentedecc@hotmail.com" TargetMode="External"/><Relationship Id="rId32" Type="http://schemas.openxmlformats.org/officeDocument/2006/relationships/hyperlink" Target="mailto:pad@sertaozinho.sp.gov.br" TargetMode="External"/><Relationship Id="rId37" Type="http://schemas.openxmlformats.org/officeDocument/2006/relationships/hyperlink" Target="mailto:assistenciasocial@barretos.sp.gov.br" TargetMode="External"/><Relationship Id="rId53" Type="http://schemas.openxmlformats.org/officeDocument/2006/relationships/hyperlink" Target="mailto:municipio@indiapora.sp.gov.br" TargetMode="External"/><Relationship Id="rId58" Type="http://schemas.openxmlformats.org/officeDocument/2006/relationships/hyperlink" Target="mailto:social@severinia.sp.gov.br" TargetMode="External"/><Relationship Id="rId74" Type="http://schemas.openxmlformats.org/officeDocument/2006/relationships/hyperlink" Target="mailto:d.gabinete@itapolis.sp.gov.br" TargetMode="External"/><Relationship Id="rId79" Type="http://schemas.openxmlformats.org/officeDocument/2006/relationships/hyperlink" Target="mailto:gabinete@cabralia.sp.gov.br" TargetMode="External"/><Relationship Id="rId102" Type="http://schemas.openxmlformats.org/officeDocument/2006/relationships/hyperlink" Target="mailto:prefeito@espiritosantodoturvo.sp.gov.br" TargetMode="External"/><Relationship Id="rId123" Type="http://schemas.openxmlformats.org/officeDocument/2006/relationships/hyperlink" Target="mailto:sedis.psb@taubate.sp.gov.br" TargetMode="External"/><Relationship Id="rId128" Type="http://schemas.openxmlformats.org/officeDocument/2006/relationships/hyperlink" Target="mailto:gabinetenovotempo@gmail.com" TargetMode="External"/><Relationship Id="rId5" Type="http://schemas.openxmlformats.org/officeDocument/2006/relationships/hyperlink" Target="mailto:ory@oryeduca.com.br" TargetMode="External"/><Relationship Id="rId90" Type="http://schemas.openxmlformats.org/officeDocument/2006/relationships/hyperlink" Target="mailto:social@juquia.sp.gov.br" TargetMode="External"/><Relationship Id="rId95" Type="http://schemas.openxmlformats.org/officeDocument/2006/relationships/hyperlink" Target="mailto:adm@pmaparecidadoeste.sp.gov.br" TargetMode="External"/><Relationship Id="rId22" Type="http://schemas.openxmlformats.org/officeDocument/2006/relationships/hyperlink" Target="mailto:assist@montealto.sp.gov.br" TargetMode="External"/><Relationship Id="rId27" Type="http://schemas.openxmlformats.org/officeDocument/2006/relationships/hyperlink" Target="mailto:social@brodowslki.sp.gov.br" TargetMode="External"/><Relationship Id="rId43" Type="http://schemas.openxmlformats.org/officeDocument/2006/relationships/hyperlink" Target="mailto:gabinete@aramina.sp.gov.br" TargetMode="External"/><Relationship Id="rId48" Type="http://schemas.openxmlformats.org/officeDocument/2006/relationships/hyperlink" Target="mailto:secretaria@itapura.sp.gov.br" TargetMode="External"/><Relationship Id="rId64" Type="http://schemas.openxmlformats.org/officeDocument/2006/relationships/hyperlink" Target="mailto:prefeitur@juliomesquita.sp.gov.br" TargetMode="External"/><Relationship Id="rId69" Type="http://schemas.openxmlformats.org/officeDocument/2006/relationships/hyperlink" Target="mailto:protecaobasicasmads@gmail.com" TargetMode="External"/><Relationship Id="rId113" Type="http://schemas.openxmlformats.org/officeDocument/2006/relationships/hyperlink" Target="mailto:prefeito@monteazulpaulista.sp.gov.br" TargetMode="External"/><Relationship Id="rId118" Type="http://schemas.openxmlformats.org/officeDocument/2006/relationships/hyperlink" Target="mailto:gabinete.sas@osasco.sp.gov.br" TargetMode="External"/><Relationship Id="rId80" Type="http://schemas.openxmlformats.org/officeDocument/2006/relationships/hyperlink" Target="mailto:prefeitura@oriente.sp.gov.br" TargetMode="External"/><Relationship Id="rId85" Type="http://schemas.openxmlformats.org/officeDocument/2006/relationships/hyperlink" Target="mailto:scamargo@saoroque.sp.gov.br" TargetMode="External"/><Relationship Id="rId12" Type="http://schemas.openxmlformats.org/officeDocument/2006/relationships/hyperlink" Target="mailto:laridosos@yahoo.com.br" TargetMode="External"/><Relationship Id="rId17" Type="http://schemas.openxmlformats.org/officeDocument/2006/relationships/hyperlink" Target="mailto:secretaria@apaecampinas.org.br" TargetMode="External"/><Relationship Id="rId33" Type="http://schemas.openxmlformats.org/officeDocument/2006/relationships/hyperlink" Target="mailto:assistenciasocial@ribeiraopires.sp.gov.br" TargetMode="External"/><Relationship Id="rId38" Type="http://schemas.openxmlformats.org/officeDocument/2006/relationships/hyperlink" Target="mailto:assistenciasocial@barretos.sp.gov.br" TargetMode="External"/><Relationship Id="rId59" Type="http://schemas.openxmlformats.org/officeDocument/2006/relationships/hyperlink" Target="mailto:secretaria@turmalina.sp.gov.br" TargetMode="External"/><Relationship Id="rId103" Type="http://schemas.openxmlformats.org/officeDocument/2006/relationships/hyperlink" Target="mailto:comunicacao@juquitiba.sp.gov.br" TargetMode="External"/><Relationship Id="rId108" Type="http://schemas.openxmlformats.org/officeDocument/2006/relationships/hyperlink" Target="mailto:prefeitira@areiopolis.sp.gov.br" TargetMode="External"/><Relationship Id="rId124" Type="http://schemas.openxmlformats.org/officeDocument/2006/relationships/hyperlink" Target="mailto:assistenciasocial@taiacu.sp.gov.br" TargetMode="External"/><Relationship Id="rId129" Type="http://schemas.openxmlformats.org/officeDocument/2006/relationships/printerSettings" Target="../printerSettings/printerSettings1.bin"/><Relationship Id="rId54" Type="http://schemas.openxmlformats.org/officeDocument/2006/relationships/hyperlink" Target="mailto:captaoderecursos@sorocaba.sp.gov.br" TargetMode="External"/><Relationship Id="rId70" Type="http://schemas.openxmlformats.org/officeDocument/2006/relationships/hyperlink" Target="mailto:sepedi.departamentoidoso@saosebastiao.sp.gov.br" TargetMode="External"/><Relationship Id="rId75" Type="http://schemas.openxmlformats.org/officeDocument/2006/relationships/hyperlink" Target="mailto:gabinete@tabatinga.sp.gov.br" TargetMode="External"/><Relationship Id="rId91" Type="http://schemas.openxmlformats.org/officeDocument/2006/relationships/hyperlink" Target="mailto:social@santaadelia.sp.gov.br" TargetMode="External"/><Relationship Id="rId96" Type="http://schemas.openxmlformats.org/officeDocument/2006/relationships/hyperlink" Target="mailto:assist@montealto.sp.gov.br" TargetMode="External"/><Relationship Id="rId1" Type="http://schemas.openxmlformats.org/officeDocument/2006/relationships/hyperlink" Target="mailto:professorsanioto@gmail.com" TargetMode="External"/><Relationship Id="rId6" Type="http://schemas.openxmlformats.org/officeDocument/2006/relationships/hyperlink" Target="mailto:projetoyachad@gmail.com" TargetMode="External"/><Relationship Id="rId23" Type="http://schemas.openxmlformats.org/officeDocument/2006/relationships/hyperlink" Target="mailto:social@santoantoniodaalegria.sp.gov.br" TargetMode="External"/><Relationship Id="rId28" Type="http://schemas.openxmlformats.org/officeDocument/2006/relationships/hyperlink" Target="mailto:gabinete@barbosa.sp.gov.br" TargetMode="External"/><Relationship Id="rId49" Type="http://schemas.openxmlformats.org/officeDocument/2006/relationships/hyperlink" Target="mailto:mbasile@atibaia.sp.gov.br" TargetMode="External"/><Relationship Id="rId114" Type="http://schemas.openxmlformats.org/officeDocument/2006/relationships/hyperlink" Target="mailto:prefeito@monteazulpaulista.sp.gov.br" TargetMode="External"/><Relationship Id="rId119" Type="http://schemas.openxmlformats.org/officeDocument/2006/relationships/hyperlink" Target="mailto:gabinete.sas@osasco.sp.gov.br" TargetMode="External"/><Relationship Id="rId44" Type="http://schemas.openxmlformats.org/officeDocument/2006/relationships/hyperlink" Target="mailto:idoso@aramina.sp.gov.br" TargetMode="External"/><Relationship Id="rId60" Type="http://schemas.openxmlformats.org/officeDocument/2006/relationships/hyperlink" Target="mailto:esporte@mesopolis.sp.gov.br" TargetMode="External"/><Relationship Id="rId65" Type="http://schemas.openxmlformats.org/officeDocument/2006/relationships/hyperlink" Target="mailto:secretaria@turmalina.sp.gov.br" TargetMode="External"/><Relationship Id="rId81" Type="http://schemas.openxmlformats.org/officeDocument/2006/relationships/hyperlink" Target="mailto:segurancaalimentar@birigui.sp.gov.br" TargetMode="External"/><Relationship Id="rId86" Type="http://schemas.openxmlformats.org/officeDocument/2006/relationships/hyperlink" Target="mailto:scamargo@saoroque.sp.gov.br" TargetMode="External"/><Relationship Id="rId130" Type="http://schemas.openxmlformats.org/officeDocument/2006/relationships/drawing" Target="../drawings/drawing1.xml"/><Relationship Id="rId13" Type="http://schemas.openxmlformats.org/officeDocument/2006/relationships/hyperlink" Target="mailto:lsvpiracaia@gmail.com" TargetMode="External"/><Relationship Id="rId18" Type="http://schemas.openxmlformats.org/officeDocument/2006/relationships/hyperlink" Target="mailto:obrapdonizetti@hotmail.com" TargetMode="External"/><Relationship Id="rId39" Type="http://schemas.openxmlformats.org/officeDocument/2006/relationships/hyperlink" Target="mailto:gabinete.prefeito@bebebedouro.sp.gov.br" TargetMode="External"/><Relationship Id="rId109" Type="http://schemas.openxmlformats.org/officeDocument/2006/relationships/hyperlink" Target="mailto:gabinete@veracruz.sp.gov.br" TargetMode="External"/><Relationship Id="rId34" Type="http://schemas.openxmlformats.org/officeDocument/2006/relationships/hyperlink" Target="mailto:assistenciasocial@cravinhos.sp.gov.br" TargetMode="External"/><Relationship Id="rId50" Type="http://schemas.openxmlformats.org/officeDocument/2006/relationships/hyperlink" Target="mailto:mbasile@atibaia.sp.gov.br" TargetMode="External"/><Relationship Id="rId55" Type="http://schemas.openxmlformats.org/officeDocument/2006/relationships/hyperlink" Target="mailto:captaoderecursos@sorocaba.sp.gov.br" TargetMode="External"/><Relationship Id="rId76" Type="http://schemas.openxmlformats.org/officeDocument/2006/relationships/hyperlink" Target="mailto:gabinete@tabatinga.sp.gov.br" TargetMode="External"/><Relationship Id="rId97" Type="http://schemas.openxmlformats.org/officeDocument/2006/relationships/hyperlink" Target="mailto:pad@sertaozinho.sp.gov.br" TargetMode="External"/><Relationship Id="rId104" Type="http://schemas.openxmlformats.org/officeDocument/2006/relationships/hyperlink" Target="mailto:prefeitura@pardinho.sp.gov.br" TargetMode="External"/><Relationship Id="rId120" Type="http://schemas.openxmlformats.org/officeDocument/2006/relationships/hyperlink" Target="mailto:prefeito@espiritosantodoturvo.sp.gov.br" TargetMode="External"/><Relationship Id="rId125" Type="http://schemas.openxmlformats.org/officeDocument/2006/relationships/hyperlink" Target="mailto:esporte@estanciadepiraju.sp.gov.br" TargetMode="External"/><Relationship Id="rId7" Type="http://schemas.openxmlformats.org/officeDocument/2006/relationships/hyperlink" Target="mailto:asilourupes@hotmail.com" TargetMode="External"/><Relationship Id="rId71" Type="http://schemas.openxmlformats.org/officeDocument/2006/relationships/hyperlink" Target="mailto:sepedi.departamentoidoso@saosebastiao.sp.gov.br" TargetMode="External"/><Relationship Id="rId92" Type="http://schemas.openxmlformats.org/officeDocument/2006/relationships/hyperlink" Target="mailto:gabinete@dumont.sp.gov.br" TargetMode="External"/><Relationship Id="rId2" Type="http://schemas.openxmlformats.org/officeDocument/2006/relationships/hyperlink" Target="mailto:Isvp.manduri@hotmail.com" TargetMode="External"/><Relationship Id="rId29" Type="http://schemas.openxmlformats.org/officeDocument/2006/relationships/hyperlink" Target="mailto:gabinete@barbosa.sp.gov.br" TargetMode="External"/><Relationship Id="rId24" Type="http://schemas.openxmlformats.org/officeDocument/2006/relationships/hyperlink" Target="mailto:assistenciasocial@barrinha.sp.gov.br" TargetMode="External"/><Relationship Id="rId40" Type="http://schemas.openxmlformats.org/officeDocument/2006/relationships/hyperlink" Target="mailto:gabinete@pradopolis.sp.gov.br" TargetMode="External"/><Relationship Id="rId45" Type="http://schemas.openxmlformats.org/officeDocument/2006/relationships/hyperlink" Target="mailto:gabinete@campolimpopaulista.sp.gov.br" TargetMode="External"/><Relationship Id="rId66" Type="http://schemas.openxmlformats.org/officeDocument/2006/relationships/hyperlink" Target="mailto:semas@jardinopolis.sp.gov.br" TargetMode="External"/><Relationship Id="rId87" Type="http://schemas.openxmlformats.org/officeDocument/2006/relationships/hyperlink" Target="mailto:scamargo@saoroque.sp.gov.br" TargetMode="External"/><Relationship Id="rId110" Type="http://schemas.openxmlformats.org/officeDocument/2006/relationships/hyperlink" Target="mailto:gabinete@pradopolis.sp.gov.br" TargetMode="External"/><Relationship Id="rId115" Type="http://schemas.openxmlformats.org/officeDocument/2006/relationships/hyperlink" Target="mailto:gabinete.prefeito@bebebedouro.sp.gov.br" TargetMode="External"/><Relationship Id="rId61" Type="http://schemas.openxmlformats.org/officeDocument/2006/relationships/hyperlink" Target="mailto:taquarituba@taquarituba.sp.gov.br" TargetMode="External"/><Relationship Id="rId82" Type="http://schemas.openxmlformats.org/officeDocument/2006/relationships/hyperlink" Target="mailto:assistenciasocial@jaboticabal.sp.gov.br" TargetMode="External"/><Relationship Id="rId19" Type="http://schemas.openxmlformats.org/officeDocument/2006/relationships/hyperlink" Target="mailto:karla.castro@campinas.sp.gov.br" TargetMode="External"/><Relationship Id="rId14" Type="http://schemas.openxmlformats.org/officeDocument/2006/relationships/hyperlink" Target="mailto:larsaorafael@gmail.com" TargetMode="External"/><Relationship Id="rId30" Type="http://schemas.openxmlformats.org/officeDocument/2006/relationships/hyperlink" Target="mailto:administracao@taquaral.gov.br" TargetMode="External"/><Relationship Id="rId35" Type="http://schemas.openxmlformats.org/officeDocument/2006/relationships/hyperlink" Target="mailto:sec_acaosocial@guariba.sp.gov.br" TargetMode="External"/><Relationship Id="rId56" Type="http://schemas.openxmlformats.org/officeDocument/2006/relationships/hyperlink" Target="mailto:administrcao@dircereis.sp.gov.br" TargetMode="External"/><Relationship Id="rId77" Type="http://schemas.openxmlformats.org/officeDocument/2006/relationships/hyperlink" Target="mailto:gabinete@tabatinga.sp.gov.br" TargetMode="External"/><Relationship Id="rId100" Type="http://schemas.openxmlformats.org/officeDocument/2006/relationships/hyperlink" Target="mailto:sads@francodarocha.sp.gov.br" TargetMode="External"/><Relationship Id="rId105" Type="http://schemas.openxmlformats.org/officeDocument/2006/relationships/hyperlink" Target="mailto:prefeitura@pardinho.sp.gov.br" TargetMode="External"/><Relationship Id="rId126" Type="http://schemas.openxmlformats.org/officeDocument/2006/relationships/hyperlink" Target="mailto:lsvpiracaia@gmail.com" TargetMode="External"/><Relationship Id="rId8" Type="http://schemas.openxmlformats.org/officeDocument/2006/relationships/hyperlink" Target="mailto:larsvp.chavantes@gmail.com" TargetMode="External"/><Relationship Id="rId51" Type="http://schemas.openxmlformats.org/officeDocument/2006/relationships/hyperlink" Target="mailto:d.social@embudasartes.sp.gov.br" TargetMode="External"/><Relationship Id="rId72" Type="http://schemas.openxmlformats.org/officeDocument/2006/relationships/hyperlink" Target="mailto:janainafreitas.sasdh@americana.sp.gov.br" TargetMode="External"/><Relationship Id="rId93" Type="http://schemas.openxmlformats.org/officeDocument/2006/relationships/hyperlink" Target="mailto:protecaosocialespecial@votuporanga.sp.gov.br" TargetMode="External"/><Relationship Id="rId98" Type="http://schemas.openxmlformats.org/officeDocument/2006/relationships/hyperlink" Target="mailto:gestao.pse@gmail.com" TargetMode="External"/><Relationship Id="rId121" Type="http://schemas.openxmlformats.org/officeDocument/2006/relationships/hyperlink" Target="mailto:gabinete@aramina.sp.gov.br" TargetMode="External"/><Relationship Id="rId3" Type="http://schemas.openxmlformats.org/officeDocument/2006/relationships/hyperlink" Target="mailto:arcoirirs01.grupo21@terra.com.br" TargetMode="External"/><Relationship Id="rId25" Type="http://schemas.openxmlformats.org/officeDocument/2006/relationships/hyperlink" Target="mailto:gabinetedoprefeito@altinopolis.sp.gov.br" TargetMode="External"/><Relationship Id="rId46" Type="http://schemas.openxmlformats.org/officeDocument/2006/relationships/hyperlink" Target="mailto:suas@saosimao.sp.gov.br" TargetMode="External"/><Relationship Id="rId67" Type="http://schemas.openxmlformats.org/officeDocument/2006/relationships/hyperlink" Target="mailto:esporte@mesopolis.sp.gov.br" TargetMode="External"/><Relationship Id="rId116" Type="http://schemas.openxmlformats.org/officeDocument/2006/relationships/hyperlink" Target="mailto:social@sudmenucci.sp.gov.br" TargetMode="External"/><Relationship Id="rId20" Type="http://schemas.openxmlformats.org/officeDocument/2006/relationships/hyperlink" Target="mailto:social@adolfo.sp.gov.br" TargetMode="External"/><Relationship Id="rId41" Type="http://schemas.openxmlformats.org/officeDocument/2006/relationships/hyperlink" Target="mailto:social@pontirendaba.sp.gov.br" TargetMode="External"/><Relationship Id="rId62" Type="http://schemas.openxmlformats.org/officeDocument/2006/relationships/hyperlink" Target="mailto:social@viradouro.sp.gov.br" TargetMode="External"/><Relationship Id="rId83" Type="http://schemas.openxmlformats.org/officeDocument/2006/relationships/hyperlink" Target="mailto:dadis@guaira.sp.gov.br" TargetMode="External"/><Relationship Id="rId88" Type="http://schemas.openxmlformats.org/officeDocument/2006/relationships/hyperlink" Target="mailto:secretaria@ariranha.sp.gov.br" TargetMode="External"/><Relationship Id="rId111" Type="http://schemas.openxmlformats.org/officeDocument/2006/relationships/hyperlink" Target="mailto:secretatia@itatinga.sp.gov.br" TargetMode="External"/><Relationship Id="rId15" Type="http://schemas.openxmlformats.org/officeDocument/2006/relationships/hyperlink" Target="mailto:caminhandocomamor@gmail.com" TargetMode="External"/><Relationship Id="rId36" Type="http://schemas.openxmlformats.org/officeDocument/2006/relationships/hyperlink" Target="mailto:assistencia@pedrinhaspaulista.sp.gov.br" TargetMode="External"/><Relationship Id="rId57" Type="http://schemas.openxmlformats.org/officeDocument/2006/relationships/hyperlink" Target="mailto:administracao@santaritadooeste.sp.gov.br" TargetMode="External"/><Relationship Id="rId106" Type="http://schemas.openxmlformats.org/officeDocument/2006/relationships/hyperlink" Target="mailto:prefeitura@pardinho.sp.gov.br" TargetMode="External"/><Relationship Id="rId127" Type="http://schemas.openxmlformats.org/officeDocument/2006/relationships/hyperlink" Target="mailto:ou.larpadrepio@hotmail.com" TargetMode="External"/><Relationship Id="rId10" Type="http://schemas.openxmlformats.org/officeDocument/2006/relationships/hyperlink" Target="mailto:vemser@associacaovemser.org.br" TargetMode="External"/><Relationship Id="rId31" Type="http://schemas.openxmlformats.org/officeDocument/2006/relationships/hyperlink" Target="mailto:social1321@gmail.com" TargetMode="External"/><Relationship Id="rId52" Type="http://schemas.openxmlformats.org/officeDocument/2006/relationships/hyperlink" Target="mailto:d.social@embudasartes.sp.gov.br" TargetMode="External"/><Relationship Id="rId73" Type="http://schemas.openxmlformats.org/officeDocument/2006/relationships/hyperlink" Target="mailto:prefeitura@palmarespaulista.sp.gov.br" TargetMode="External"/><Relationship Id="rId78" Type="http://schemas.openxmlformats.org/officeDocument/2006/relationships/hyperlink" Target="mailto:secsocial@cafelandia.sp.gov.br" TargetMode="External"/><Relationship Id="rId94" Type="http://schemas.openxmlformats.org/officeDocument/2006/relationships/hyperlink" Target="mailto:gabinete@campolimpopaulista.sp.gov.br" TargetMode="External"/><Relationship Id="rId99" Type="http://schemas.openxmlformats.org/officeDocument/2006/relationships/hyperlink" Target="mailto:gabinete@tejupa.sp.gov.br" TargetMode="External"/><Relationship Id="rId101" Type="http://schemas.openxmlformats.org/officeDocument/2006/relationships/hyperlink" Target="mailto:sads@francodarocha.sp.gov.br" TargetMode="External"/><Relationship Id="rId122" Type="http://schemas.openxmlformats.org/officeDocument/2006/relationships/hyperlink" Target="mailto:casadoidoso@descalvado.sp.gov.br" TargetMode="External"/><Relationship Id="rId4" Type="http://schemas.openxmlformats.org/officeDocument/2006/relationships/hyperlink" Target="mailto:passos_paraofuturo@outlook.com" TargetMode="External"/><Relationship Id="rId9" Type="http://schemas.openxmlformats.org/officeDocument/2006/relationships/hyperlink" Target="mailto:apaechavantes@hotmail.com" TargetMode="External"/><Relationship Id="rId26" Type="http://schemas.openxmlformats.org/officeDocument/2006/relationships/hyperlink" Target="mailto:pmcgabinete@cajuru.sp.gov.br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gabinete.sas@osasco.sp.gov.br" TargetMode="External"/><Relationship Id="rId21" Type="http://schemas.openxmlformats.org/officeDocument/2006/relationships/hyperlink" Target="mailto:gabinete@duartina.sp.gov.br" TargetMode="External"/><Relationship Id="rId42" Type="http://schemas.openxmlformats.org/officeDocument/2006/relationships/hyperlink" Target="mailto:gabinete@aramina.sp.gov.br" TargetMode="External"/><Relationship Id="rId47" Type="http://schemas.openxmlformats.org/officeDocument/2006/relationships/hyperlink" Target="mailto:secretaria@itapura.sp.gov.br" TargetMode="External"/><Relationship Id="rId63" Type="http://schemas.openxmlformats.org/officeDocument/2006/relationships/hyperlink" Target="mailto:prefeitur@juliomesquita.sp.gov.br" TargetMode="External"/><Relationship Id="rId68" Type="http://schemas.openxmlformats.org/officeDocument/2006/relationships/hyperlink" Target="mailto:protecaobasicasmads@gmail.com" TargetMode="External"/><Relationship Id="rId84" Type="http://schemas.openxmlformats.org/officeDocument/2006/relationships/hyperlink" Target="mailto:scamargo@saoroque.sp.gov.br" TargetMode="External"/><Relationship Id="rId89" Type="http://schemas.openxmlformats.org/officeDocument/2006/relationships/hyperlink" Target="mailto:social@juquia.sp.gov.br" TargetMode="External"/><Relationship Id="rId112" Type="http://schemas.openxmlformats.org/officeDocument/2006/relationships/hyperlink" Target="mailto:prefeito@monteazulpaulista.sp.gov.br" TargetMode="External"/><Relationship Id="rId16" Type="http://schemas.openxmlformats.org/officeDocument/2006/relationships/hyperlink" Target="mailto:social@ctn.org.br" TargetMode="External"/><Relationship Id="rId107" Type="http://schemas.openxmlformats.org/officeDocument/2006/relationships/hyperlink" Target="mailto:prefeitira@areiopolis.sp.gov.br" TargetMode="External"/><Relationship Id="rId11" Type="http://schemas.openxmlformats.org/officeDocument/2006/relationships/hyperlink" Target="mailto:larsaovicentedecc@hotmail.com" TargetMode="External"/><Relationship Id="rId32" Type="http://schemas.openxmlformats.org/officeDocument/2006/relationships/hyperlink" Target="mailto:assistenciasocial@ribeiraopires.sp.gov.br" TargetMode="External"/><Relationship Id="rId37" Type="http://schemas.openxmlformats.org/officeDocument/2006/relationships/hyperlink" Target="mailto:assistenciasocial@barretos.sp.gov.br" TargetMode="External"/><Relationship Id="rId53" Type="http://schemas.openxmlformats.org/officeDocument/2006/relationships/hyperlink" Target="mailto:captaoderecursos@sorocaba.sp.gov.br" TargetMode="External"/><Relationship Id="rId58" Type="http://schemas.openxmlformats.org/officeDocument/2006/relationships/hyperlink" Target="mailto:secretaria@turmalina.sp.gov.br" TargetMode="External"/><Relationship Id="rId74" Type="http://schemas.openxmlformats.org/officeDocument/2006/relationships/hyperlink" Target="mailto:gabinete@tabatinga.sp.gov.br" TargetMode="External"/><Relationship Id="rId79" Type="http://schemas.openxmlformats.org/officeDocument/2006/relationships/hyperlink" Target="mailto:prefeitura@oriente.sp.gov.br" TargetMode="External"/><Relationship Id="rId102" Type="http://schemas.openxmlformats.org/officeDocument/2006/relationships/hyperlink" Target="mailto:comunicacao@juquitiba.sp.gov.br" TargetMode="External"/><Relationship Id="rId123" Type="http://schemas.openxmlformats.org/officeDocument/2006/relationships/hyperlink" Target="mailto:assistenciasocial@taiacu.sp.gov.br" TargetMode="External"/><Relationship Id="rId128" Type="http://schemas.openxmlformats.org/officeDocument/2006/relationships/hyperlink" Target="mailto:asiloschimidt@gmail.com" TargetMode="External"/><Relationship Id="rId5" Type="http://schemas.openxmlformats.org/officeDocument/2006/relationships/hyperlink" Target="mailto:ory@oryeduca.com.br" TargetMode="External"/><Relationship Id="rId90" Type="http://schemas.openxmlformats.org/officeDocument/2006/relationships/hyperlink" Target="mailto:social@santaadelia.sp.gov.br" TargetMode="External"/><Relationship Id="rId95" Type="http://schemas.openxmlformats.org/officeDocument/2006/relationships/hyperlink" Target="mailto:assist@montealto.sp.gov.br" TargetMode="External"/><Relationship Id="rId22" Type="http://schemas.openxmlformats.org/officeDocument/2006/relationships/hyperlink" Target="mailto:assist@montealto.sp.gov.br" TargetMode="External"/><Relationship Id="rId27" Type="http://schemas.openxmlformats.org/officeDocument/2006/relationships/hyperlink" Target="mailto:gabinete@barbosa.sp.gov.br" TargetMode="External"/><Relationship Id="rId43" Type="http://schemas.openxmlformats.org/officeDocument/2006/relationships/hyperlink" Target="mailto:idoso@aramina.sp.gov.br" TargetMode="External"/><Relationship Id="rId48" Type="http://schemas.openxmlformats.org/officeDocument/2006/relationships/hyperlink" Target="mailto:mbasile@atibaia.sp.gov.br" TargetMode="External"/><Relationship Id="rId64" Type="http://schemas.openxmlformats.org/officeDocument/2006/relationships/hyperlink" Target="mailto:secretaria@turmalina.sp.gov.br" TargetMode="External"/><Relationship Id="rId69" Type="http://schemas.openxmlformats.org/officeDocument/2006/relationships/hyperlink" Target="mailto:sepedi.departamentoidoso@saosebastiao.sp.gov.br" TargetMode="External"/><Relationship Id="rId113" Type="http://schemas.openxmlformats.org/officeDocument/2006/relationships/hyperlink" Target="mailto:prefeito@monteazulpaulista.sp.gov.br" TargetMode="External"/><Relationship Id="rId118" Type="http://schemas.openxmlformats.org/officeDocument/2006/relationships/hyperlink" Target="mailto:gabinete.sas@osasco.sp.gov.br" TargetMode="External"/><Relationship Id="rId80" Type="http://schemas.openxmlformats.org/officeDocument/2006/relationships/hyperlink" Target="mailto:segurancaalimentar@birigui.sp.gov.br" TargetMode="External"/><Relationship Id="rId85" Type="http://schemas.openxmlformats.org/officeDocument/2006/relationships/hyperlink" Target="mailto:scamargo@saoroque.sp.gov.br" TargetMode="External"/><Relationship Id="rId12" Type="http://schemas.openxmlformats.org/officeDocument/2006/relationships/hyperlink" Target="mailto:laridosos@yahoo.com.br" TargetMode="External"/><Relationship Id="rId17" Type="http://schemas.openxmlformats.org/officeDocument/2006/relationships/hyperlink" Target="mailto:secretaria@apaecampinas.org.br" TargetMode="External"/><Relationship Id="rId33" Type="http://schemas.openxmlformats.org/officeDocument/2006/relationships/hyperlink" Target="mailto:assistenciasocial@cravinhos.sp.gov.br" TargetMode="External"/><Relationship Id="rId38" Type="http://schemas.openxmlformats.org/officeDocument/2006/relationships/hyperlink" Target="mailto:gabinete.prefeito@bebebedouro.sp.gov.br" TargetMode="External"/><Relationship Id="rId59" Type="http://schemas.openxmlformats.org/officeDocument/2006/relationships/hyperlink" Target="mailto:esporte@mesopolis.sp.gov.br" TargetMode="External"/><Relationship Id="rId103" Type="http://schemas.openxmlformats.org/officeDocument/2006/relationships/hyperlink" Target="mailto:prefeitura@pardinho.sp.gov.br" TargetMode="External"/><Relationship Id="rId108" Type="http://schemas.openxmlformats.org/officeDocument/2006/relationships/hyperlink" Target="mailto:gabinete@veracruz.sp.gov.br" TargetMode="External"/><Relationship Id="rId124" Type="http://schemas.openxmlformats.org/officeDocument/2006/relationships/hyperlink" Target="mailto:esporte@estanciadepiraju.sp.gov.br" TargetMode="External"/><Relationship Id="rId129" Type="http://schemas.openxmlformats.org/officeDocument/2006/relationships/hyperlink" Target="mailto:entroedefraim@gmail.com" TargetMode="External"/><Relationship Id="rId54" Type="http://schemas.openxmlformats.org/officeDocument/2006/relationships/hyperlink" Target="mailto:captaoderecursos@sorocaba.sp.gov.br" TargetMode="External"/><Relationship Id="rId70" Type="http://schemas.openxmlformats.org/officeDocument/2006/relationships/hyperlink" Target="mailto:sepedi.departamentoidoso@saosebastiao.sp.gov.br" TargetMode="External"/><Relationship Id="rId75" Type="http://schemas.openxmlformats.org/officeDocument/2006/relationships/hyperlink" Target="mailto:gabinete@tabatinga.sp.gov.br" TargetMode="External"/><Relationship Id="rId91" Type="http://schemas.openxmlformats.org/officeDocument/2006/relationships/hyperlink" Target="mailto:gabinete@dumont.sp.gov.br" TargetMode="External"/><Relationship Id="rId96" Type="http://schemas.openxmlformats.org/officeDocument/2006/relationships/hyperlink" Target="mailto:pad@sertaozinho.sp.gov.br" TargetMode="External"/><Relationship Id="rId1" Type="http://schemas.openxmlformats.org/officeDocument/2006/relationships/hyperlink" Target="mailto:professorsanioto@gmail.com" TargetMode="External"/><Relationship Id="rId6" Type="http://schemas.openxmlformats.org/officeDocument/2006/relationships/hyperlink" Target="mailto:projetoyachad@gmail.com" TargetMode="External"/><Relationship Id="rId23" Type="http://schemas.openxmlformats.org/officeDocument/2006/relationships/hyperlink" Target="mailto:social@santoantoniodaalegria.sp.gov.br" TargetMode="External"/><Relationship Id="rId28" Type="http://schemas.openxmlformats.org/officeDocument/2006/relationships/hyperlink" Target="mailto:gabinete@barbosa.sp.gov.br" TargetMode="External"/><Relationship Id="rId49" Type="http://schemas.openxmlformats.org/officeDocument/2006/relationships/hyperlink" Target="mailto:mbasile@atibaia.sp.gov.br" TargetMode="External"/><Relationship Id="rId114" Type="http://schemas.openxmlformats.org/officeDocument/2006/relationships/hyperlink" Target="mailto:gabinete.prefeito@bebebedouro.sp.gov.br" TargetMode="External"/><Relationship Id="rId119" Type="http://schemas.openxmlformats.org/officeDocument/2006/relationships/hyperlink" Target="mailto:prefeito@espiritosantodoturvo.sp.gov.br" TargetMode="External"/><Relationship Id="rId44" Type="http://schemas.openxmlformats.org/officeDocument/2006/relationships/hyperlink" Target="mailto:gabinete@campolimpopaulista.sp.gov.br" TargetMode="External"/><Relationship Id="rId60" Type="http://schemas.openxmlformats.org/officeDocument/2006/relationships/hyperlink" Target="mailto:taquarituba@taquarituba.sp.gov.br" TargetMode="External"/><Relationship Id="rId65" Type="http://schemas.openxmlformats.org/officeDocument/2006/relationships/hyperlink" Target="mailto:semas@jardinopolis.sp.gov.br" TargetMode="External"/><Relationship Id="rId81" Type="http://schemas.openxmlformats.org/officeDocument/2006/relationships/hyperlink" Target="mailto:assistenciasocial@jaboticabal.sp.gov.br" TargetMode="External"/><Relationship Id="rId86" Type="http://schemas.openxmlformats.org/officeDocument/2006/relationships/hyperlink" Target="mailto:scamargo@saoroque.sp.gov.br" TargetMode="External"/><Relationship Id="rId130" Type="http://schemas.openxmlformats.org/officeDocument/2006/relationships/printerSettings" Target="../printerSettings/printerSettings2.bin"/><Relationship Id="rId13" Type="http://schemas.openxmlformats.org/officeDocument/2006/relationships/hyperlink" Target="mailto:lsvpiracaia@gmail.com" TargetMode="External"/><Relationship Id="rId18" Type="http://schemas.openxmlformats.org/officeDocument/2006/relationships/hyperlink" Target="mailto:obrapdonizetti@hotmail.com" TargetMode="External"/><Relationship Id="rId39" Type="http://schemas.openxmlformats.org/officeDocument/2006/relationships/hyperlink" Target="mailto:gabinete@pradopolis.sp.gov.br" TargetMode="External"/><Relationship Id="rId109" Type="http://schemas.openxmlformats.org/officeDocument/2006/relationships/hyperlink" Target="mailto:gabinete@pradopolis.sp.gov.br" TargetMode="External"/><Relationship Id="rId34" Type="http://schemas.openxmlformats.org/officeDocument/2006/relationships/hyperlink" Target="mailto:sec_acaosocial@guariba.sp.gov.br" TargetMode="External"/><Relationship Id="rId50" Type="http://schemas.openxmlformats.org/officeDocument/2006/relationships/hyperlink" Target="mailto:d.social@embudasartes.sp.gov.br" TargetMode="External"/><Relationship Id="rId55" Type="http://schemas.openxmlformats.org/officeDocument/2006/relationships/hyperlink" Target="mailto:administrcao@dircereis.sp.gov.br" TargetMode="External"/><Relationship Id="rId76" Type="http://schemas.openxmlformats.org/officeDocument/2006/relationships/hyperlink" Target="mailto:gabinete@tabatinga.sp.gov.br" TargetMode="External"/><Relationship Id="rId97" Type="http://schemas.openxmlformats.org/officeDocument/2006/relationships/hyperlink" Target="mailto:gestao.pse@gmail.com" TargetMode="External"/><Relationship Id="rId104" Type="http://schemas.openxmlformats.org/officeDocument/2006/relationships/hyperlink" Target="mailto:prefeitura@pardinho.sp.gov.br" TargetMode="External"/><Relationship Id="rId120" Type="http://schemas.openxmlformats.org/officeDocument/2006/relationships/hyperlink" Target="mailto:gabinete@aramina.sp.gov.br" TargetMode="External"/><Relationship Id="rId125" Type="http://schemas.openxmlformats.org/officeDocument/2006/relationships/hyperlink" Target="mailto:lsvpiracaia@gmail.com" TargetMode="External"/><Relationship Id="rId7" Type="http://schemas.openxmlformats.org/officeDocument/2006/relationships/hyperlink" Target="mailto:asilourupes@hotmail.com" TargetMode="External"/><Relationship Id="rId71" Type="http://schemas.openxmlformats.org/officeDocument/2006/relationships/hyperlink" Target="mailto:janainafreitas.sasdh@americana.sp.gov.br" TargetMode="External"/><Relationship Id="rId92" Type="http://schemas.openxmlformats.org/officeDocument/2006/relationships/hyperlink" Target="mailto:protecaosocialespecial@votuporanga.sp.gov.br" TargetMode="External"/><Relationship Id="rId2" Type="http://schemas.openxmlformats.org/officeDocument/2006/relationships/hyperlink" Target="mailto:Isvp.manduri@hotmail.com" TargetMode="External"/><Relationship Id="rId29" Type="http://schemas.openxmlformats.org/officeDocument/2006/relationships/hyperlink" Target="mailto:administracao@taquaral.gov.br" TargetMode="External"/><Relationship Id="rId24" Type="http://schemas.openxmlformats.org/officeDocument/2006/relationships/hyperlink" Target="mailto:gabinetedoprefeito@altinopolis.sp.gov.br" TargetMode="External"/><Relationship Id="rId40" Type="http://schemas.openxmlformats.org/officeDocument/2006/relationships/hyperlink" Target="mailto:social@pontirendaba.sp.gov.br" TargetMode="External"/><Relationship Id="rId45" Type="http://schemas.openxmlformats.org/officeDocument/2006/relationships/hyperlink" Target="mailto:suas@saosimao.sp.gov.br" TargetMode="External"/><Relationship Id="rId66" Type="http://schemas.openxmlformats.org/officeDocument/2006/relationships/hyperlink" Target="mailto:esporte@mesopolis.sp.gov.br" TargetMode="External"/><Relationship Id="rId87" Type="http://schemas.openxmlformats.org/officeDocument/2006/relationships/hyperlink" Target="mailto:secretaria@ariranha.sp.gov.br" TargetMode="External"/><Relationship Id="rId110" Type="http://schemas.openxmlformats.org/officeDocument/2006/relationships/hyperlink" Target="mailto:secretatia@itatinga.sp.gov.br" TargetMode="External"/><Relationship Id="rId115" Type="http://schemas.openxmlformats.org/officeDocument/2006/relationships/hyperlink" Target="mailto:social@sudmenucci.sp.gov.br" TargetMode="External"/><Relationship Id="rId131" Type="http://schemas.openxmlformats.org/officeDocument/2006/relationships/drawing" Target="../drawings/drawing2.xml"/><Relationship Id="rId61" Type="http://schemas.openxmlformats.org/officeDocument/2006/relationships/hyperlink" Target="mailto:social@viradouro.sp.gov.br" TargetMode="External"/><Relationship Id="rId82" Type="http://schemas.openxmlformats.org/officeDocument/2006/relationships/hyperlink" Target="mailto:dadis@guaira.sp.gov.br" TargetMode="External"/><Relationship Id="rId19" Type="http://schemas.openxmlformats.org/officeDocument/2006/relationships/hyperlink" Target="mailto:karla.castro@campinas.sp.gov.br" TargetMode="External"/><Relationship Id="rId14" Type="http://schemas.openxmlformats.org/officeDocument/2006/relationships/hyperlink" Target="mailto:larsaorafael@gmail.com" TargetMode="External"/><Relationship Id="rId30" Type="http://schemas.openxmlformats.org/officeDocument/2006/relationships/hyperlink" Target="mailto:social1321@gmail.com" TargetMode="External"/><Relationship Id="rId35" Type="http://schemas.openxmlformats.org/officeDocument/2006/relationships/hyperlink" Target="mailto:assistencia@pedrinhaspaulista.sp.gov.br" TargetMode="External"/><Relationship Id="rId56" Type="http://schemas.openxmlformats.org/officeDocument/2006/relationships/hyperlink" Target="mailto:administracao@santaritadooeste.sp.gov.br" TargetMode="External"/><Relationship Id="rId77" Type="http://schemas.openxmlformats.org/officeDocument/2006/relationships/hyperlink" Target="mailto:secsocial@cafelandia.sp.gov.br" TargetMode="External"/><Relationship Id="rId100" Type="http://schemas.openxmlformats.org/officeDocument/2006/relationships/hyperlink" Target="mailto:sads@francodarocha.sp.gov.br" TargetMode="External"/><Relationship Id="rId105" Type="http://schemas.openxmlformats.org/officeDocument/2006/relationships/hyperlink" Target="mailto:prefeitura@pardinho.sp.gov.br" TargetMode="External"/><Relationship Id="rId126" Type="http://schemas.openxmlformats.org/officeDocument/2006/relationships/hyperlink" Target="mailto:ou.larpadrepio@hotmail.com" TargetMode="External"/><Relationship Id="rId8" Type="http://schemas.openxmlformats.org/officeDocument/2006/relationships/hyperlink" Target="mailto:larsvp.chavantes@gmail.com" TargetMode="External"/><Relationship Id="rId51" Type="http://schemas.openxmlformats.org/officeDocument/2006/relationships/hyperlink" Target="mailto:d.social@embudasartes.sp.gov.br" TargetMode="External"/><Relationship Id="rId72" Type="http://schemas.openxmlformats.org/officeDocument/2006/relationships/hyperlink" Target="mailto:prefeitura@palmarespaulista.sp.gov.br" TargetMode="External"/><Relationship Id="rId93" Type="http://schemas.openxmlformats.org/officeDocument/2006/relationships/hyperlink" Target="mailto:gabinete@campolimpopaulista.sp.gov.br" TargetMode="External"/><Relationship Id="rId98" Type="http://schemas.openxmlformats.org/officeDocument/2006/relationships/hyperlink" Target="mailto:gabinete@tejupa.sp.gov.br" TargetMode="External"/><Relationship Id="rId121" Type="http://schemas.openxmlformats.org/officeDocument/2006/relationships/hyperlink" Target="mailto:casadoidoso@descalvado.sp.gov.br" TargetMode="External"/><Relationship Id="rId3" Type="http://schemas.openxmlformats.org/officeDocument/2006/relationships/hyperlink" Target="mailto:arcoirirs01.grupo21@terra.com.br" TargetMode="External"/><Relationship Id="rId25" Type="http://schemas.openxmlformats.org/officeDocument/2006/relationships/hyperlink" Target="mailto:pmcgabinete@cajuru.sp.gov.br" TargetMode="External"/><Relationship Id="rId46" Type="http://schemas.openxmlformats.org/officeDocument/2006/relationships/hyperlink" Target="mailto:assistenciasocial@taciba.sp.gov.br" TargetMode="External"/><Relationship Id="rId67" Type="http://schemas.openxmlformats.org/officeDocument/2006/relationships/hyperlink" Target="mailto:gabinete@novagranada.sp.gov.br" TargetMode="External"/><Relationship Id="rId116" Type="http://schemas.openxmlformats.org/officeDocument/2006/relationships/hyperlink" Target="mailto:gabinete.sas@osasco.sp.gov.br" TargetMode="External"/><Relationship Id="rId20" Type="http://schemas.openxmlformats.org/officeDocument/2006/relationships/hyperlink" Target="mailto:social@adolfo.sp.gov.br" TargetMode="External"/><Relationship Id="rId41" Type="http://schemas.openxmlformats.org/officeDocument/2006/relationships/hyperlink" Target="mailto:social@luizantonio.sp.gov.br" TargetMode="External"/><Relationship Id="rId62" Type="http://schemas.openxmlformats.org/officeDocument/2006/relationships/hyperlink" Target="mailto:sas@taboaodaserra.sp.gov.br" TargetMode="External"/><Relationship Id="rId83" Type="http://schemas.openxmlformats.org/officeDocument/2006/relationships/hyperlink" Target="mailto:assistencia@alvaresmachado.sp.gov.br" TargetMode="External"/><Relationship Id="rId88" Type="http://schemas.openxmlformats.org/officeDocument/2006/relationships/hyperlink" Target="mailto:social@juquia.sp.gov.br" TargetMode="External"/><Relationship Id="rId111" Type="http://schemas.openxmlformats.org/officeDocument/2006/relationships/hyperlink" Target="mailto:secretatia@itatinga.sp.gov.br" TargetMode="External"/><Relationship Id="rId15" Type="http://schemas.openxmlformats.org/officeDocument/2006/relationships/hyperlink" Target="mailto:caminhandocomamor@gmail.com" TargetMode="External"/><Relationship Id="rId36" Type="http://schemas.openxmlformats.org/officeDocument/2006/relationships/hyperlink" Target="mailto:assistenciasocial@barretos.sp.gov.br" TargetMode="External"/><Relationship Id="rId57" Type="http://schemas.openxmlformats.org/officeDocument/2006/relationships/hyperlink" Target="mailto:social@severinia.sp.gov.br" TargetMode="External"/><Relationship Id="rId106" Type="http://schemas.openxmlformats.org/officeDocument/2006/relationships/hyperlink" Target="mailto:gabinete.prefeito@mairipora.sp.gov.br" TargetMode="External"/><Relationship Id="rId127" Type="http://schemas.openxmlformats.org/officeDocument/2006/relationships/hyperlink" Target="mailto:gabinetenovotempo@gmail.com" TargetMode="External"/><Relationship Id="rId10" Type="http://schemas.openxmlformats.org/officeDocument/2006/relationships/hyperlink" Target="mailto:vemser@associacaovemser.org.br" TargetMode="External"/><Relationship Id="rId31" Type="http://schemas.openxmlformats.org/officeDocument/2006/relationships/hyperlink" Target="mailto:pad@sertaozinho.sp.gov.br" TargetMode="External"/><Relationship Id="rId52" Type="http://schemas.openxmlformats.org/officeDocument/2006/relationships/hyperlink" Target="mailto:municipio@indiapora.sp.gov.br" TargetMode="External"/><Relationship Id="rId73" Type="http://schemas.openxmlformats.org/officeDocument/2006/relationships/hyperlink" Target="mailto:d.gabinete@itapolis.sp.gov.br" TargetMode="External"/><Relationship Id="rId78" Type="http://schemas.openxmlformats.org/officeDocument/2006/relationships/hyperlink" Target="mailto:gabinete@cabralia.sp.gov.br" TargetMode="External"/><Relationship Id="rId94" Type="http://schemas.openxmlformats.org/officeDocument/2006/relationships/hyperlink" Target="mailto:adm@pmaparecidadoeste.sp.gov.br" TargetMode="External"/><Relationship Id="rId99" Type="http://schemas.openxmlformats.org/officeDocument/2006/relationships/hyperlink" Target="mailto:sads@francodarocha.sp.gov.br" TargetMode="External"/><Relationship Id="rId101" Type="http://schemas.openxmlformats.org/officeDocument/2006/relationships/hyperlink" Target="mailto:prefeito@espiritosantodoturvo.sp.gov.br" TargetMode="External"/><Relationship Id="rId122" Type="http://schemas.openxmlformats.org/officeDocument/2006/relationships/hyperlink" Target="mailto:sedis.psb@taubate.sp.gov.br" TargetMode="External"/><Relationship Id="rId4" Type="http://schemas.openxmlformats.org/officeDocument/2006/relationships/hyperlink" Target="mailto:passos_paraofuturo@outlook.com" TargetMode="External"/><Relationship Id="rId9" Type="http://schemas.openxmlformats.org/officeDocument/2006/relationships/hyperlink" Target="mailto:apaechavantes@hotmail.com" TargetMode="External"/><Relationship Id="rId26" Type="http://schemas.openxmlformats.org/officeDocument/2006/relationships/hyperlink" Target="mailto:social@brodowslki.sp.gov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refeito@espiritosantodoturvo.sp.gov.br" TargetMode="External"/><Relationship Id="rId13" Type="http://schemas.openxmlformats.org/officeDocument/2006/relationships/hyperlink" Target="mailto:gabinete@veracruz.sp.gov.br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mailto:d.social@embudasartes.sp.gov.br" TargetMode="External"/><Relationship Id="rId7" Type="http://schemas.openxmlformats.org/officeDocument/2006/relationships/hyperlink" Target="mailto:sads@francodarocha.sp.gov.br" TargetMode="External"/><Relationship Id="rId12" Type="http://schemas.openxmlformats.org/officeDocument/2006/relationships/hyperlink" Target="mailto:gabinete.prefeito@mairipora.sp.gov.br" TargetMode="External"/><Relationship Id="rId17" Type="http://schemas.openxmlformats.org/officeDocument/2006/relationships/hyperlink" Target="mailto:protecaobasicasmads@gmail.com" TargetMode="External"/><Relationship Id="rId2" Type="http://schemas.openxmlformats.org/officeDocument/2006/relationships/hyperlink" Target="mailto:mbasile@atibaia.sp.gov.br" TargetMode="External"/><Relationship Id="rId16" Type="http://schemas.openxmlformats.org/officeDocument/2006/relationships/hyperlink" Target="mailto:gabinete.sas@osasco.sp.gov.br" TargetMode="External"/><Relationship Id="rId1" Type="http://schemas.openxmlformats.org/officeDocument/2006/relationships/hyperlink" Target="mailto:gabinete@campolimpopaulista.sp.gov.br" TargetMode="External"/><Relationship Id="rId6" Type="http://schemas.openxmlformats.org/officeDocument/2006/relationships/hyperlink" Target="mailto:gestao.pse@gmail.com" TargetMode="External"/><Relationship Id="rId11" Type="http://schemas.openxmlformats.org/officeDocument/2006/relationships/hyperlink" Target="mailto:prefeitura@pardinho.sp.gov.br" TargetMode="External"/><Relationship Id="rId5" Type="http://schemas.openxmlformats.org/officeDocument/2006/relationships/hyperlink" Target="mailto:social@juquia.sp.gov.br" TargetMode="External"/><Relationship Id="rId15" Type="http://schemas.openxmlformats.org/officeDocument/2006/relationships/hyperlink" Target="mailto:gabinete.sas@osasco.sp.gov.br" TargetMode="External"/><Relationship Id="rId10" Type="http://schemas.openxmlformats.org/officeDocument/2006/relationships/hyperlink" Target="mailto:prefeitura@pardinho.sp.gov.br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mailto:dadis@guaira.sp.gov.br" TargetMode="External"/><Relationship Id="rId9" Type="http://schemas.openxmlformats.org/officeDocument/2006/relationships/hyperlink" Target="mailto:prefeitura@pardinho.sp.gov.br" TargetMode="External"/><Relationship Id="rId14" Type="http://schemas.openxmlformats.org/officeDocument/2006/relationships/hyperlink" Target="mailto:gabinete.sas@osasco.sp.gov.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uas@saosimao.sp.gov.br" TargetMode="External"/><Relationship Id="rId13" Type="http://schemas.openxmlformats.org/officeDocument/2006/relationships/hyperlink" Target="mailto:secsocial@cafelandia.sp.gov.br" TargetMode="External"/><Relationship Id="rId18" Type="http://schemas.openxmlformats.org/officeDocument/2006/relationships/hyperlink" Target="mailto:gabinete.prefeito@bebebedouro.sp.gov.br" TargetMode="External"/><Relationship Id="rId3" Type="http://schemas.openxmlformats.org/officeDocument/2006/relationships/hyperlink" Target="mailto:social@brodowslki.sp.gov.br" TargetMode="External"/><Relationship Id="rId7" Type="http://schemas.openxmlformats.org/officeDocument/2006/relationships/hyperlink" Target="mailto:gabinete@pradopolis.sp.gov.br" TargetMode="External"/><Relationship Id="rId12" Type="http://schemas.openxmlformats.org/officeDocument/2006/relationships/hyperlink" Target="mailto:gabinete@tabatinga.sp.gov.br" TargetMode="External"/><Relationship Id="rId17" Type="http://schemas.openxmlformats.org/officeDocument/2006/relationships/hyperlink" Target="mailto:secretatia@itatinga.sp.gov.br" TargetMode="External"/><Relationship Id="rId2" Type="http://schemas.openxmlformats.org/officeDocument/2006/relationships/hyperlink" Target="mailto:Isvp.manduri@hotmail.com" TargetMode="External"/><Relationship Id="rId16" Type="http://schemas.openxmlformats.org/officeDocument/2006/relationships/hyperlink" Target="mailto:secretatia@itatinga.sp.gov.br" TargetMode="External"/><Relationship Id="rId20" Type="http://schemas.openxmlformats.org/officeDocument/2006/relationships/drawing" Target="../drawings/drawing4.xml"/><Relationship Id="rId1" Type="http://schemas.openxmlformats.org/officeDocument/2006/relationships/hyperlink" Target="mailto:professorsanioto@gmail.com" TargetMode="External"/><Relationship Id="rId6" Type="http://schemas.openxmlformats.org/officeDocument/2006/relationships/hyperlink" Target="mailto:assistenciasocial@barretos.sp.gov.br" TargetMode="External"/><Relationship Id="rId11" Type="http://schemas.openxmlformats.org/officeDocument/2006/relationships/hyperlink" Target="mailto:social@viradouro.sp.gov.br" TargetMode="External"/><Relationship Id="rId5" Type="http://schemas.openxmlformats.org/officeDocument/2006/relationships/hyperlink" Target="mailto:social1321@gmail.com" TargetMode="External"/><Relationship Id="rId15" Type="http://schemas.openxmlformats.org/officeDocument/2006/relationships/hyperlink" Target="mailto:prefeitira@areiopolis.sp.gov.br" TargetMode="External"/><Relationship Id="rId10" Type="http://schemas.openxmlformats.org/officeDocument/2006/relationships/hyperlink" Target="mailto:taquarituba@taquarituba.sp.gov.br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mailto:gabinete@barbosa.sp.gov.br" TargetMode="External"/><Relationship Id="rId9" Type="http://schemas.openxmlformats.org/officeDocument/2006/relationships/hyperlink" Target="mailto:social@severinia.sp.gov.br" TargetMode="External"/><Relationship Id="rId14" Type="http://schemas.openxmlformats.org/officeDocument/2006/relationships/hyperlink" Target="mailto:comunicacao@juquitiba.sp.gov.b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sporte@mesopolis.sp.gov.br" TargetMode="External"/><Relationship Id="rId13" Type="http://schemas.openxmlformats.org/officeDocument/2006/relationships/hyperlink" Target="mailto:mbasile@atibaia.sp.gov.br" TargetMode="External"/><Relationship Id="rId18" Type="http://schemas.openxmlformats.org/officeDocument/2006/relationships/hyperlink" Target="mailto:projetoyachad@gmail.com" TargetMode="External"/><Relationship Id="rId3" Type="http://schemas.openxmlformats.org/officeDocument/2006/relationships/hyperlink" Target="mailto:sads@francodarocha.sp.gov.br" TargetMode="External"/><Relationship Id="rId21" Type="http://schemas.openxmlformats.org/officeDocument/2006/relationships/printerSettings" Target="../printerSettings/printerSettings5.bin"/><Relationship Id="rId7" Type="http://schemas.openxmlformats.org/officeDocument/2006/relationships/hyperlink" Target="mailto:sepedi.departamentoidoso@saosebastiao.sp.gov.br" TargetMode="External"/><Relationship Id="rId12" Type="http://schemas.openxmlformats.org/officeDocument/2006/relationships/hyperlink" Target="mailto:d.social@embudasartes.sp.gov.br" TargetMode="External"/><Relationship Id="rId17" Type="http://schemas.openxmlformats.org/officeDocument/2006/relationships/hyperlink" Target="mailto:social@ctn.org.br" TargetMode="External"/><Relationship Id="rId2" Type="http://schemas.openxmlformats.org/officeDocument/2006/relationships/hyperlink" Target="mailto:social@sudmenucci.sp.gov.br" TargetMode="External"/><Relationship Id="rId16" Type="http://schemas.openxmlformats.org/officeDocument/2006/relationships/hyperlink" Target="mailto:secretaria@apaecampinas.org.br" TargetMode="External"/><Relationship Id="rId20" Type="http://schemas.openxmlformats.org/officeDocument/2006/relationships/hyperlink" Target="mailto:passos_paraofuturo@outlook.com" TargetMode="External"/><Relationship Id="rId1" Type="http://schemas.openxmlformats.org/officeDocument/2006/relationships/hyperlink" Target="mailto:ou.larpadrepio@hotmail.com" TargetMode="External"/><Relationship Id="rId6" Type="http://schemas.openxmlformats.org/officeDocument/2006/relationships/hyperlink" Target="mailto:d.gabinete@itapolis.sp.gov.br" TargetMode="External"/><Relationship Id="rId11" Type="http://schemas.openxmlformats.org/officeDocument/2006/relationships/hyperlink" Target="mailto:municipio@indiapora.sp.gov.br" TargetMode="External"/><Relationship Id="rId5" Type="http://schemas.openxmlformats.org/officeDocument/2006/relationships/hyperlink" Target="mailto:gabinete@cabralia.sp.gov.br" TargetMode="External"/><Relationship Id="rId15" Type="http://schemas.openxmlformats.org/officeDocument/2006/relationships/hyperlink" Target="mailto:gabinetedoprefeito@altinopolis.sp.gov.br" TargetMode="External"/><Relationship Id="rId10" Type="http://schemas.openxmlformats.org/officeDocument/2006/relationships/hyperlink" Target="mailto:captaoderecursos@sorocaba.sp.gov.br" TargetMode="External"/><Relationship Id="rId19" Type="http://schemas.openxmlformats.org/officeDocument/2006/relationships/hyperlink" Target="mailto:ory@oryeduca.com.br" TargetMode="External"/><Relationship Id="rId4" Type="http://schemas.openxmlformats.org/officeDocument/2006/relationships/hyperlink" Target="mailto:assistencia@alvaresmachado.sp.gov.br" TargetMode="External"/><Relationship Id="rId9" Type="http://schemas.openxmlformats.org/officeDocument/2006/relationships/hyperlink" Target="mailto:captaoderecursos@sorocaba.sp.gov.br" TargetMode="External"/><Relationship Id="rId14" Type="http://schemas.openxmlformats.org/officeDocument/2006/relationships/hyperlink" Target="mailto:secretaria@itapura.sp.gov.br" TargetMode="External"/><Relationship Id="rId22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contato@institutorosadosventos.com.br" TargetMode="External"/><Relationship Id="rId21" Type="http://schemas.openxmlformats.org/officeDocument/2006/relationships/hyperlink" Target="mailto:institutooamorsede@hotmail.com" TargetMode="External"/><Relationship Id="rId42" Type="http://schemas.openxmlformats.org/officeDocument/2006/relationships/hyperlink" Target="mailto:abc.alanmaxi@icloud.com" TargetMode="External"/><Relationship Id="rId47" Type="http://schemas.openxmlformats.org/officeDocument/2006/relationships/hyperlink" Target="mailto:luzdasabedoriadh@gmail.com" TargetMode="External"/><Relationship Id="rId63" Type="http://schemas.openxmlformats.org/officeDocument/2006/relationships/hyperlink" Target="mailto:larvicentinobocaina@uol.com.br" TargetMode="External"/><Relationship Id="rId68" Type="http://schemas.openxmlformats.org/officeDocument/2006/relationships/hyperlink" Target="mailto:ccisaberviver@gmail.com" TargetMode="External"/><Relationship Id="rId84" Type="http://schemas.openxmlformats.org/officeDocument/2006/relationships/hyperlink" Target="mailto:assistenciasocial@jaboticabal.sp.gov.br" TargetMode="External"/><Relationship Id="rId89" Type="http://schemas.openxmlformats.org/officeDocument/2006/relationships/hyperlink" Target="mailto:sads@francodarocha.sp.gov.br" TargetMode="External"/><Relationship Id="rId16" Type="http://schemas.openxmlformats.org/officeDocument/2006/relationships/hyperlink" Target="mailto:equipe.tecnica@associacaodoscegos.org.br" TargetMode="External"/><Relationship Id="rId11" Type="http://schemas.openxmlformats.org/officeDocument/2006/relationships/hyperlink" Target="mailto:mariana.leonardo@redesc.org.br" TargetMode="External"/><Relationship Id="rId32" Type="http://schemas.openxmlformats.org/officeDocument/2006/relationships/hyperlink" Target="mailto:provedoria@provedoria.org.br" TargetMode="External"/><Relationship Id="rId37" Type="http://schemas.openxmlformats.org/officeDocument/2006/relationships/hyperlink" Target="mailto:acolher@acolher.org.br" TargetMode="External"/><Relationship Id="rId53" Type="http://schemas.openxmlformats.org/officeDocument/2006/relationships/hyperlink" Target="mailto:gestorsocial@altinopolis.sp.gov.br" TargetMode="External"/><Relationship Id="rId58" Type="http://schemas.openxmlformats.org/officeDocument/2006/relationships/hyperlink" Target="mailto:tamara.vicente@saobernardodocampo.sp.gov.br" TargetMode="External"/><Relationship Id="rId74" Type="http://schemas.openxmlformats.org/officeDocument/2006/relationships/hyperlink" Target="mailto:lsvpiracaia@gmail.com" TargetMode="External"/><Relationship Id="rId79" Type="http://schemas.openxmlformats.org/officeDocument/2006/relationships/hyperlink" Target="mailto:gabinete@tejupa.sp.gov.br" TargetMode="External"/><Relationship Id="rId102" Type="http://schemas.openxmlformats.org/officeDocument/2006/relationships/hyperlink" Target="mailto:ory@oryeduca.com.br" TargetMode="External"/><Relationship Id="rId5" Type="http://schemas.openxmlformats.org/officeDocument/2006/relationships/hyperlink" Target="mailto:asilosaojosecolina@hotmail.com" TargetMode="External"/><Relationship Id="rId90" Type="http://schemas.openxmlformats.org/officeDocument/2006/relationships/hyperlink" Target="mailto:secretaria@turmalina.sp.gov.br" TargetMode="External"/><Relationship Id="rId95" Type="http://schemas.openxmlformats.org/officeDocument/2006/relationships/hyperlink" Target="mailto:pad@sertaozinho.sp.gov.br" TargetMode="External"/><Relationship Id="rId22" Type="http://schemas.openxmlformats.org/officeDocument/2006/relationships/hyperlink" Target="mailto:projetos@sorribauru.com.br" TargetMode="External"/><Relationship Id="rId27" Type="http://schemas.openxmlformats.org/officeDocument/2006/relationships/hyperlink" Target="mailto:asilo.andradina@hotmail.com" TargetMode="External"/><Relationship Id="rId43" Type="http://schemas.openxmlformats.org/officeDocument/2006/relationships/hyperlink" Target="mailto:asilocrz@gmail.com" TargetMode="External"/><Relationship Id="rId48" Type="http://schemas.openxmlformats.org/officeDocument/2006/relationships/hyperlink" Target="mailto:municipio@indiapora.sp.gov.br" TargetMode="External"/><Relationship Id="rId64" Type="http://schemas.openxmlformats.org/officeDocument/2006/relationships/hyperlink" Target="mailto:lsvpserrazul@yahoo.com.br" TargetMode="External"/><Relationship Id="rId69" Type="http://schemas.openxmlformats.org/officeDocument/2006/relationships/hyperlink" Target="mailto:cassia.ofusa@hpioxii.org.br" TargetMode="External"/><Relationship Id="rId80" Type="http://schemas.openxmlformats.org/officeDocument/2006/relationships/hyperlink" Target="mailto:social@santaadelia.sp.gov.br" TargetMode="External"/><Relationship Id="rId85" Type="http://schemas.openxmlformats.org/officeDocument/2006/relationships/hyperlink" Target="mailto:prefeitura@oriente.sp.gov.br" TargetMode="External"/><Relationship Id="rId12" Type="http://schemas.openxmlformats.org/officeDocument/2006/relationships/hyperlink" Target="mailto:lardosidososdejuquia@gmail.com" TargetMode="External"/><Relationship Id="rId17" Type="http://schemas.openxmlformats.org/officeDocument/2006/relationships/hyperlink" Target="mailto:velhinhosdemococa@uol.com.br" TargetMode="External"/><Relationship Id="rId33" Type="http://schemas.openxmlformats.org/officeDocument/2006/relationships/hyperlink" Target="mailto:siomara@amorevida.org.br" TargetMode="External"/><Relationship Id="rId38" Type="http://schemas.openxmlformats.org/officeDocument/2006/relationships/hyperlink" Target="mailto:cadastro@materdeicam.org.br" TargetMode="External"/><Relationship Id="rId59" Type="http://schemas.openxmlformats.org/officeDocument/2006/relationships/hyperlink" Target="mailto:asiloschimidt@gmail.com" TargetMode="External"/><Relationship Id="rId103" Type="http://schemas.openxmlformats.org/officeDocument/2006/relationships/printerSettings" Target="../printerSettings/printerSettings6.bin"/><Relationship Id="rId20" Type="http://schemas.openxmlformats.org/officeDocument/2006/relationships/hyperlink" Target="mailto:vilavicentina@gmail.com" TargetMode="External"/><Relationship Id="rId41" Type="http://schemas.openxmlformats.org/officeDocument/2006/relationships/hyperlink" Target="mailto:visitacao@cpvisitacao.org.br" TargetMode="External"/><Relationship Id="rId54" Type="http://schemas.openxmlformats.org/officeDocument/2006/relationships/hyperlink" Target="mailto:ipk@ipk.org.br" TargetMode="External"/><Relationship Id="rId62" Type="http://schemas.openxmlformats.org/officeDocument/2006/relationships/hyperlink" Target="mailto:sps-secretario@mogiguacu.sp.gov.br" TargetMode="External"/><Relationship Id="rId70" Type="http://schemas.openxmlformats.org/officeDocument/2006/relationships/hyperlink" Target="mailto:smmf.ourinhos@gmail.com" TargetMode="External"/><Relationship Id="rId75" Type="http://schemas.openxmlformats.org/officeDocument/2006/relationships/hyperlink" Target="mailto:prefeitura@orindiuva.sp.gov.br" TargetMode="External"/><Relationship Id="rId83" Type="http://schemas.openxmlformats.org/officeDocument/2006/relationships/hyperlink" Target="mailto:assistencia@alvaresmachado.sp.gov.br" TargetMode="External"/><Relationship Id="rId88" Type="http://schemas.openxmlformats.org/officeDocument/2006/relationships/hyperlink" Target="mailto:janainafreitas.sasdh@americana.sp.gov.br" TargetMode="External"/><Relationship Id="rId91" Type="http://schemas.openxmlformats.org/officeDocument/2006/relationships/hyperlink" Target="mailto:prefeitura@juliomesquita.sp.gov.br" TargetMode="External"/><Relationship Id="rId96" Type="http://schemas.openxmlformats.org/officeDocument/2006/relationships/hyperlink" Target="mailto:obrapdonizetti@hotmail.com" TargetMode="External"/><Relationship Id="rId1" Type="http://schemas.openxmlformats.org/officeDocument/2006/relationships/hyperlink" Target="mailto:abrigo.esperanca@hotmail.com" TargetMode="External"/><Relationship Id="rId6" Type="http://schemas.openxmlformats.org/officeDocument/2006/relationships/hyperlink" Target="mailto:coordenacao@vilavicentinabrotas.com.br" TargetMode="External"/><Relationship Id="rId15" Type="http://schemas.openxmlformats.org/officeDocument/2006/relationships/hyperlink" Target="mailto:csvpaulo@hotmail.com" TargetMode="External"/><Relationship Id="rId23" Type="http://schemas.openxmlformats.org/officeDocument/2006/relationships/hyperlink" Target="mailto:apve@apve.com.br" TargetMode="External"/><Relationship Id="rId28" Type="http://schemas.openxmlformats.org/officeDocument/2006/relationships/hyperlink" Target="mailto:fundacao@observatoriodolivro.org.br" TargetMode="External"/><Relationship Id="rId36" Type="http://schemas.openxmlformats.org/officeDocument/2006/relationships/hyperlink" Target="mailto:lardevelhicemss@hotmail.com" TargetMode="External"/><Relationship Id="rId49" Type="http://schemas.openxmlformats.org/officeDocument/2006/relationships/hyperlink" Target="mailto:saofranciscomm@gmail.com" TargetMode="External"/><Relationship Id="rId57" Type="http://schemas.openxmlformats.org/officeDocument/2006/relationships/hyperlink" Target="mailto:deasoadm@estanciadepiraju.sp.gov.br" TargetMode="External"/><Relationship Id="rId10" Type="http://schemas.openxmlformats.org/officeDocument/2006/relationships/hyperlink" Target="mailto:lardosidososdam@yahoo.com.br" TargetMode="External"/><Relationship Id="rId31" Type="http://schemas.openxmlformats.org/officeDocument/2006/relationships/hyperlink" Target="mailto:larsaorafael@gmail.com" TargetMode="External"/><Relationship Id="rId44" Type="http://schemas.openxmlformats.org/officeDocument/2006/relationships/hyperlink" Target="mailto:abc.alanmaxi@icloud.com" TargetMode="External"/><Relationship Id="rId52" Type="http://schemas.openxmlformats.org/officeDocument/2006/relationships/hyperlink" Target="mailto:irmandadeboituva@gmail.com" TargetMode="External"/><Relationship Id="rId60" Type="http://schemas.openxmlformats.org/officeDocument/2006/relationships/hyperlink" Target="mailto:prefeitura@badybassitt.sp.gov.br" TargetMode="External"/><Relationship Id="rId65" Type="http://schemas.openxmlformats.org/officeDocument/2006/relationships/hyperlink" Target="mailto:arcoiris01.grupo21@terra.com.br" TargetMode="External"/><Relationship Id="rId73" Type="http://schemas.openxmlformats.org/officeDocument/2006/relationships/hyperlink" Target="mailto:gabinetenovotempo@gmail.com" TargetMode="External"/><Relationship Id="rId78" Type="http://schemas.openxmlformats.org/officeDocument/2006/relationships/hyperlink" Target="mailto:prefeito@monteazulpaulista.sp.gov.br" TargetMode="External"/><Relationship Id="rId81" Type="http://schemas.openxmlformats.org/officeDocument/2006/relationships/hyperlink" Target="mailto:secretaria@ariranha.sp.gov.br" TargetMode="External"/><Relationship Id="rId86" Type="http://schemas.openxmlformats.org/officeDocument/2006/relationships/hyperlink" Target="mailto:gabinete@cabralia.sp.gov.br" TargetMode="External"/><Relationship Id="rId94" Type="http://schemas.openxmlformats.org/officeDocument/2006/relationships/hyperlink" Target="mailto:gabinete@aramina.sp.gov.br" TargetMode="External"/><Relationship Id="rId99" Type="http://schemas.openxmlformats.org/officeDocument/2006/relationships/hyperlink" Target="mailto:caminhandocomamor@gmail.com" TargetMode="External"/><Relationship Id="rId101" Type="http://schemas.openxmlformats.org/officeDocument/2006/relationships/hyperlink" Target="mailto:asilourupes@hotmail.com" TargetMode="External"/><Relationship Id="rId4" Type="http://schemas.openxmlformats.org/officeDocument/2006/relationships/hyperlink" Target="mailto:institutosementinhaamanhecer.inst@gmail.com" TargetMode="External"/><Relationship Id="rId9" Type="http://schemas.openxmlformats.org/officeDocument/2006/relationships/hyperlink" Target="mailto:assistentesocial.larcentral@gmail.com" TargetMode="External"/><Relationship Id="rId13" Type="http://schemas.openxmlformats.org/officeDocument/2006/relationships/hyperlink" Target="mailto:apae@apaemogimirim.org.br" TargetMode="External"/><Relationship Id="rId18" Type="http://schemas.openxmlformats.org/officeDocument/2006/relationships/hyperlink" Target="mailto:larvicentinodeitapeva@gmail.com" TargetMode="External"/><Relationship Id="rId39" Type="http://schemas.openxmlformats.org/officeDocument/2006/relationships/hyperlink" Target="mailto:abrigosaolourenco@gmail.com" TargetMode="External"/><Relationship Id="rId34" Type="http://schemas.openxmlformats.org/officeDocument/2006/relationships/hyperlink" Target="mailto:ongdivinaluz@bol.com.br" TargetMode="External"/><Relationship Id="rId50" Type="http://schemas.openxmlformats.org/officeDocument/2006/relationships/hyperlink" Target="mailto:projetos@sefras.org.br" TargetMode="External"/><Relationship Id="rId55" Type="http://schemas.openxmlformats.org/officeDocument/2006/relationships/hyperlink" Target="mailto:starfutebolclube@hotmail.com" TargetMode="External"/><Relationship Id="rId76" Type="http://schemas.openxmlformats.org/officeDocument/2006/relationships/hyperlink" Target="mailto:assistenciasocial@taiacu.sp.gov.br" TargetMode="External"/><Relationship Id="rId97" Type="http://schemas.openxmlformats.org/officeDocument/2006/relationships/hyperlink" Target="mailto:secretaria@apaecampinas.org.br" TargetMode="External"/><Relationship Id="rId104" Type="http://schemas.openxmlformats.org/officeDocument/2006/relationships/drawing" Target="../drawings/drawing6.xml"/><Relationship Id="rId7" Type="http://schemas.openxmlformats.org/officeDocument/2006/relationships/hyperlink" Target="mailto:asilo.tabatinga@yahoo.com.br" TargetMode="External"/><Relationship Id="rId71" Type="http://schemas.openxmlformats.org/officeDocument/2006/relationships/hyperlink" Target="mailto:unidosdojardimsoares@gmail.com" TargetMode="External"/><Relationship Id="rId92" Type="http://schemas.openxmlformats.org/officeDocument/2006/relationships/hyperlink" Target="mailto:sas@taboaodaserra.sp.gov.br" TargetMode="External"/><Relationship Id="rId2" Type="http://schemas.openxmlformats.org/officeDocument/2006/relationships/hyperlink" Target="mailto:larsaovicente@process.com.br" TargetMode="External"/><Relationship Id="rId29" Type="http://schemas.openxmlformats.org/officeDocument/2006/relationships/hyperlink" Target="mailto:aobe_1974@outlook.com" TargetMode="External"/><Relationship Id="rId24" Type="http://schemas.openxmlformats.org/officeDocument/2006/relationships/hyperlink" Target="mailto:institutopotencial@gmail.com" TargetMode="External"/><Relationship Id="rId40" Type="http://schemas.openxmlformats.org/officeDocument/2006/relationships/hyperlink" Target="mailto:institutobixiga@gmail.com" TargetMode="External"/><Relationship Id="rId45" Type="http://schemas.openxmlformats.org/officeDocument/2006/relationships/hyperlink" Target="mailto:institutodidisantana@hotmail.com" TargetMode="External"/><Relationship Id="rId66" Type="http://schemas.openxmlformats.org/officeDocument/2006/relationships/hyperlink" Target="mailto:centroedefraim@gmail.com" TargetMode="External"/><Relationship Id="rId87" Type="http://schemas.openxmlformats.org/officeDocument/2006/relationships/hyperlink" Target="mailto:gabinete@tabatinga.sp.gov.br" TargetMode="External"/><Relationship Id="rId61" Type="http://schemas.openxmlformats.org/officeDocument/2006/relationships/hyperlink" Target="mailto:secretaria@itapura.sp.gov.br" TargetMode="External"/><Relationship Id="rId82" Type="http://schemas.openxmlformats.org/officeDocument/2006/relationships/hyperlink" Target="mailto:scamargo@saoroque.sp.gov.br" TargetMode="External"/><Relationship Id="rId19" Type="http://schemas.openxmlformats.org/officeDocument/2006/relationships/hyperlink" Target="mailto:larviccacapava@gmail.com" TargetMode="External"/><Relationship Id="rId14" Type="http://schemas.openxmlformats.org/officeDocument/2006/relationships/hyperlink" Target="mailto:sobavem@gmail.com" TargetMode="External"/><Relationship Id="rId30" Type="http://schemas.openxmlformats.org/officeDocument/2006/relationships/hyperlink" Target="mailto:institutoviverbem35@gmail.com" TargetMode="External"/><Relationship Id="rId35" Type="http://schemas.openxmlformats.org/officeDocument/2006/relationships/hyperlink" Target="mailto:assistenciasocial@asilojardimpublico.com.br" TargetMode="External"/><Relationship Id="rId56" Type="http://schemas.openxmlformats.org/officeDocument/2006/relationships/hyperlink" Target="mailto:gabinete@boraceia.sp.gov.br" TargetMode="External"/><Relationship Id="rId77" Type="http://schemas.openxmlformats.org/officeDocument/2006/relationships/hyperlink" Target="mailto:prefeito@espiritosantodoturvo.sp.gov.br" TargetMode="External"/><Relationship Id="rId100" Type="http://schemas.openxmlformats.org/officeDocument/2006/relationships/hyperlink" Target="mailto:larsaovicentedecc@hotmail.com" TargetMode="External"/><Relationship Id="rId105" Type="http://schemas.microsoft.com/office/2019/04/relationships/namedSheetView" Target="../namedSheetViews/namedSheetView1.xml"/><Relationship Id="rId8" Type="http://schemas.openxmlformats.org/officeDocument/2006/relationships/hyperlink" Target="mailto:espacoartecultura@outlook.com" TargetMode="External"/><Relationship Id="rId51" Type="http://schemas.openxmlformats.org/officeDocument/2006/relationships/hyperlink" Target="mailto:prestacaodecontas@aacd.org.br" TargetMode="External"/><Relationship Id="rId72" Type="http://schemas.openxmlformats.org/officeDocument/2006/relationships/hyperlink" Target="mailto:assistenciasocial@barretos.sp.gov.br" TargetMode="External"/><Relationship Id="rId93" Type="http://schemas.openxmlformats.org/officeDocument/2006/relationships/hyperlink" Target="mailto:captacaoderecursos@sorocaba.sp.gov.br" TargetMode="External"/><Relationship Id="rId98" Type="http://schemas.openxmlformats.org/officeDocument/2006/relationships/hyperlink" Target="mailto:social@ctn.org.br" TargetMode="External"/><Relationship Id="rId3" Type="http://schemas.openxmlformats.org/officeDocument/2006/relationships/hyperlink" Target="mailto:pad@sertaozinho.sp.gov.br" TargetMode="External"/><Relationship Id="rId25" Type="http://schemas.openxmlformats.org/officeDocument/2006/relationships/hyperlink" Target="mailto:centrobeneficente@outlook.com" TargetMode="External"/><Relationship Id="rId46" Type="http://schemas.openxmlformats.org/officeDocument/2006/relationships/hyperlink" Target="mailto:gilccrv@gmail.com" TargetMode="External"/><Relationship Id="rId67" Type="http://schemas.openxmlformats.org/officeDocument/2006/relationships/hyperlink" Target="mailto:lardosidososdedalas@hot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mailto:sads@francodarocha.sp.gov.br" TargetMode="External"/><Relationship Id="rId18" Type="http://schemas.openxmlformats.org/officeDocument/2006/relationships/hyperlink" Target="mailto:larsvp.chavantes@gmail.com" TargetMode="External"/><Relationship Id="rId26" Type="http://schemas.openxmlformats.org/officeDocument/2006/relationships/hyperlink" Target="mailto:social@santoantoniodaalegria.sp.gov.br" TargetMode="External"/><Relationship Id="rId39" Type="http://schemas.openxmlformats.org/officeDocument/2006/relationships/hyperlink" Target="mailto:administracao@santaritadooeste.sp.gov.br" TargetMode="External"/><Relationship Id="rId21" Type="http://schemas.openxmlformats.org/officeDocument/2006/relationships/hyperlink" Target="mailto:laridosos@yahoo.com.br" TargetMode="External"/><Relationship Id="rId34" Type="http://schemas.openxmlformats.org/officeDocument/2006/relationships/hyperlink" Target="mailto:gabinete.prefeito@bebebedouro.sp.gov.br" TargetMode="External"/><Relationship Id="rId42" Type="http://schemas.openxmlformats.org/officeDocument/2006/relationships/hyperlink" Target="mailto:gabinete@novagranada.sp.gov.br" TargetMode="External"/><Relationship Id="rId47" Type="http://schemas.openxmlformats.org/officeDocument/2006/relationships/hyperlink" Target="mailto:protecaosocialespecial@votuporanga.sp.gov.br" TargetMode="External"/><Relationship Id="rId50" Type="http://schemas.openxmlformats.org/officeDocument/2006/relationships/hyperlink" Target="mailto:gabinete@pradopolis.sp.gov.br" TargetMode="External"/><Relationship Id="rId55" Type="http://schemas.openxmlformats.org/officeDocument/2006/relationships/drawing" Target="../drawings/drawing7.xml"/><Relationship Id="rId7" Type="http://schemas.openxmlformats.org/officeDocument/2006/relationships/hyperlink" Target="mailto:sepedi.departamentoidoso@saosebastiao.sp.gov.br" TargetMode="External"/><Relationship Id="rId2" Type="http://schemas.openxmlformats.org/officeDocument/2006/relationships/hyperlink" Target="mailto:lsvpiracaia@gmail.com" TargetMode="External"/><Relationship Id="rId16" Type="http://schemas.openxmlformats.org/officeDocument/2006/relationships/hyperlink" Target="mailto:municipio@indiapora.sp.gov.br" TargetMode="External"/><Relationship Id="rId29" Type="http://schemas.openxmlformats.org/officeDocument/2006/relationships/hyperlink" Target="mailto:administracao@taquaral.gov.br" TargetMode="External"/><Relationship Id="rId11" Type="http://schemas.openxmlformats.org/officeDocument/2006/relationships/hyperlink" Target="mailto:scamargo@saoroque.sp.gov.br" TargetMode="External"/><Relationship Id="rId24" Type="http://schemas.openxmlformats.org/officeDocument/2006/relationships/hyperlink" Target="mailto:gabinete@duartina.sp.gov.br" TargetMode="External"/><Relationship Id="rId32" Type="http://schemas.openxmlformats.org/officeDocument/2006/relationships/hyperlink" Target="mailto:sec_acaosocial@guariba.sp.gov.br" TargetMode="External"/><Relationship Id="rId37" Type="http://schemas.openxmlformats.org/officeDocument/2006/relationships/hyperlink" Target="mailto:idoso@aramina.sp.gov.br" TargetMode="External"/><Relationship Id="rId40" Type="http://schemas.openxmlformats.org/officeDocument/2006/relationships/hyperlink" Target="mailto:semas@jardinopolis.sp.gov.br" TargetMode="External"/><Relationship Id="rId45" Type="http://schemas.openxmlformats.org/officeDocument/2006/relationships/hyperlink" Target="mailto:social@juquia.sp.gov.br" TargetMode="External"/><Relationship Id="rId53" Type="http://schemas.openxmlformats.org/officeDocument/2006/relationships/hyperlink" Target="mailto:saofranciscomm@gmail.com" TargetMode="External"/><Relationship Id="rId5" Type="http://schemas.openxmlformats.org/officeDocument/2006/relationships/hyperlink" Target="mailto:captaoderecursos@sorocaba.sp.gov.br" TargetMode="External"/><Relationship Id="rId10" Type="http://schemas.openxmlformats.org/officeDocument/2006/relationships/hyperlink" Target="mailto:scamargo@saoroque.sp.gov.br" TargetMode="External"/><Relationship Id="rId19" Type="http://schemas.openxmlformats.org/officeDocument/2006/relationships/hyperlink" Target="mailto:apaechavantes@hotmail.com" TargetMode="External"/><Relationship Id="rId31" Type="http://schemas.openxmlformats.org/officeDocument/2006/relationships/hyperlink" Target="mailto:assistenciasocial@cravinhos.sp.gov.br" TargetMode="External"/><Relationship Id="rId44" Type="http://schemas.openxmlformats.org/officeDocument/2006/relationships/hyperlink" Target="mailto:segurancaalimentar@birigui.sp.gov.br" TargetMode="External"/><Relationship Id="rId52" Type="http://schemas.openxmlformats.org/officeDocument/2006/relationships/hyperlink" Target="mailto:social.apiai@gmail.com" TargetMode="External"/><Relationship Id="rId4" Type="http://schemas.openxmlformats.org/officeDocument/2006/relationships/hyperlink" Target="mailto:mbasile@atibaia.sp.gov.br" TargetMode="External"/><Relationship Id="rId9" Type="http://schemas.openxmlformats.org/officeDocument/2006/relationships/hyperlink" Target="mailto:gabinete@tabatinga.sp.gov.br" TargetMode="External"/><Relationship Id="rId14" Type="http://schemas.openxmlformats.org/officeDocument/2006/relationships/hyperlink" Target="mailto:prefeito@monteazulpaulista.sp.gov.br" TargetMode="External"/><Relationship Id="rId22" Type="http://schemas.openxmlformats.org/officeDocument/2006/relationships/hyperlink" Target="mailto:karla.castro@campinas.sp.gov.br" TargetMode="External"/><Relationship Id="rId27" Type="http://schemas.openxmlformats.org/officeDocument/2006/relationships/hyperlink" Target="mailto:pmcgabinete@cajuru.sp.gov.br" TargetMode="External"/><Relationship Id="rId30" Type="http://schemas.openxmlformats.org/officeDocument/2006/relationships/hyperlink" Target="mailto:assistenciasocial@ribeiraopires.sp.gov.br" TargetMode="External"/><Relationship Id="rId35" Type="http://schemas.openxmlformats.org/officeDocument/2006/relationships/hyperlink" Target="mailto:social@pontirendaba.sp.gov.br" TargetMode="External"/><Relationship Id="rId43" Type="http://schemas.openxmlformats.org/officeDocument/2006/relationships/hyperlink" Target="mailto:prefeitura@palmarespaulista.sp.gov.br" TargetMode="External"/><Relationship Id="rId48" Type="http://schemas.openxmlformats.org/officeDocument/2006/relationships/hyperlink" Target="mailto:gabinete@campolimpopaulista.sp.gov.br" TargetMode="External"/><Relationship Id="rId8" Type="http://schemas.openxmlformats.org/officeDocument/2006/relationships/hyperlink" Target="mailto:sepedi.departamentoidoso@saosebastiao.sp.gov.br" TargetMode="External"/><Relationship Id="rId51" Type="http://schemas.openxmlformats.org/officeDocument/2006/relationships/hyperlink" Target="mailto:casadoidoso@descalvado.sp.gov.br" TargetMode="External"/><Relationship Id="rId3" Type="http://schemas.openxmlformats.org/officeDocument/2006/relationships/hyperlink" Target="mailto:larsaorafael@gmail.com" TargetMode="External"/><Relationship Id="rId12" Type="http://schemas.openxmlformats.org/officeDocument/2006/relationships/hyperlink" Target="mailto:assist@montealto.sp.gov.br" TargetMode="External"/><Relationship Id="rId17" Type="http://schemas.openxmlformats.org/officeDocument/2006/relationships/hyperlink" Target="mailto:passos_paraofuturo@outlook.com" TargetMode="External"/><Relationship Id="rId25" Type="http://schemas.openxmlformats.org/officeDocument/2006/relationships/hyperlink" Target="mailto:assist@montealto.sp.gov.br" TargetMode="External"/><Relationship Id="rId33" Type="http://schemas.openxmlformats.org/officeDocument/2006/relationships/hyperlink" Target="mailto:assistencia@pedrinhaspaulista.sp.gov.br" TargetMode="External"/><Relationship Id="rId38" Type="http://schemas.openxmlformats.org/officeDocument/2006/relationships/hyperlink" Target="mailto:administrcao@dircereis.sp.gov.br" TargetMode="External"/><Relationship Id="rId46" Type="http://schemas.openxmlformats.org/officeDocument/2006/relationships/hyperlink" Target="mailto:gabinete@dumont.sp.gov.br" TargetMode="External"/><Relationship Id="rId20" Type="http://schemas.openxmlformats.org/officeDocument/2006/relationships/hyperlink" Target="mailto:vemser@associacaovemser.org.br" TargetMode="External"/><Relationship Id="rId41" Type="http://schemas.openxmlformats.org/officeDocument/2006/relationships/hyperlink" Target="mailto:esporte@mesopolis.sp.gov.br" TargetMode="External"/><Relationship Id="rId54" Type="http://schemas.openxmlformats.org/officeDocument/2006/relationships/printerSettings" Target="../printerSettings/printerSettings8.bin"/><Relationship Id="rId1" Type="http://schemas.openxmlformats.org/officeDocument/2006/relationships/hyperlink" Target="mailto:projetoyachad@gmail.com" TargetMode="External"/><Relationship Id="rId6" Type="http://schemas.openxmlformats.org/officeDocument/2006/relationships/hyperlink" Target="mailto:secretaria@turmalina.sp.gov.br" TargetMode="External"/><Relationship Id="rId15" Type="http://schemas.openxmlformats.org/officeDocument/2006/relationships/hyperlink" Target="mailto:gabinete@aramina.sp.gov.br" TargetMode="External"/><Relationship Id="rId23" Type="http://schemas.openxmlformats.org/officeDocument/2006/relationships/hyperlink" Target="mailto:social@adolfo.sp.gov.br" TargetMode="External"/><Relationship Id="rId28" Type="http://schemas.openxmlformats.org/officeDocument/2006/relationships/hyperlink" Target="mailto:gabinete@barbosa.sp.gov.br" TargetMode="External"/><Relationship Id="rId36" Type="http://schemas.openxmlformats.org/officeDocument/2006/relationships/hyperlink" Target="mailto:social@luizantonio.sp.gov.br" TargetMode="External"/><Relationship Id="rId49" Type="http://schemas.openxmlformats.org/officeDocument/2006/relationships/hyperlink" Target="mailto:adm@pmaparecidadoeste.sp.gov.br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arcoirirs01.grupo21@terra.com.br" TargetMode="External"/><Relationship Id="rId2" Type="http://schemas.openxmlformats.org/officeDocument/2006/relationships/hyperlink" Target="mailto:Isvp.manduri@hotmail.com" TargetMode="External"/><Relationship Id="rId1" Type="http://schemas.openxmlformats.org/officeDocument/2006/relationships/hyperlink" Target="mailto:professorsanioto@gmail.com" TargetMode="External"/><Relationship Id="rId4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mailto:pmcgabinete@cajuru.sp.gov.br" TargetMode="External"/><Relationship Id="rId21" Type="http://schemas.openxmlformats.org/officeDocument/2006/relationships/hyperlink" Target="mailto:karla.castro@campinas.sp.gov.br" TargetMode="External"/><Relationship Id="rId42" Type="http://schemas.openxmlformats.org/officeDocument/2006/relationships/hyperlink" Target="mailto:prefeitura@palmarespaulista.sp.gov.br" TargetMode="External"/><Relationship Id="rId47" Type="http://schemas.openxmlformats.org/officeDocument/2006/relationships/hyperlink" Target="mailto:gabinete@campolimpopaulista.sp.gov.br" TargetMode="External"/><Relationship Id="rId63" Type="http://schemas.openxmlformats.org/officeDocument/2006/relationships/hyperlink" Target="mailto:visitacao@cpvisitacao.org.br" TargetMode="External"/><Relationship Id="rId68" Type="http://schemas.openxmlformats.org/officeDocument/2006/relationships/hyperlink" Target="mailto:obrasaolucas@terra.com.br" TargetMode="External"/><Relationship Id="rId16" Type="http://schemas.openxmlformats.org/officeDocument/2006/relationships/hyperlink" Target="mailto:passos_paraofuturo@outlook.com" TargetMode="External"/><Relationship Id="rId11" Type="http://schemas.openxmlformats.org/officeDocument/2006/relationships/hyperlink" Target="mailto:scamargo@saoroque.sp.gov.br" TargetMode="External"/><Relationship Id="rId24" Type="http://schemas.openxmlformats.org/officeDocument/2006/relationships/hyperlink" Target="mailto:assist@montealto.sp.gov.br" TargetMode="External"/><Relationship Id="rId32" Type="http://schemas.openxmlformats.org/officeDocument/2006/relationships/hyperlink" Target="mailto:assistencia@pedrinhaspaulista.sp.gov.br" TargetMode="External"/><Relationship Id="rId37" Type="http://schemas.openxmlformats.org/officeDocument/2006/relationships/hyperlink" Target="mailto:administrcao@dircereis.sp.gov.br" TargetMode="External"/><Relationship Id="rId40" Type="http://schemas.openxmlformats.org/officeDocument/2006/relationships/hyperlink" Target="mailto:esporte@mesopolis.sp.gov.br" TargetMode="External"/><Relationship Id="rId45" Type="http://schemas.openxmlformats.org/officeDocument/2006/relationships/hyperlink" Target="mailto:gabinete@dumont.sp.gov.br" TargetMode="External"/><Relationship Id="rId53" Type="http://schemas.openxmlformats.org/officeDocument/2006/relationships/hyperlink" Target="mailto:vilasvdepaulo@uol.com.br" TargetMode="External"/><Relationship Id="rId58" Type="http://schemas.openxmlformats.org/officeDocument/2006/relationships/hyperlink" Target="mailto:administrativo@aaqq.org.br" TargetMode="External"/><Relationship Id="rId66" Type="http://schemas.openxmlformats.org/officeDocument/2006/relationships/hyperlink" Target="mailto:contato@institutoabilitybrasil.org.br" TargetMode="External"/><Relationship Id="rId74" Type="http://schemas.openxmlformats.org/officeDocument/2006/relationships/hyperlink" Target="mailto:contato@identidadeperiferica.org" TargetMode="External"/><Relationship Id="rId79" Type="http://schemas.openxmlformats.org/officeDocument/2006/relationships/drawing" Target="../drawings/drawing8.xml"/><Relationship Id="rId5" Type="http://schemas.openxmlformats.org/officeDocument/2006/relationships/hyperlink" Target="mailto:captaoderecursos@sorocaba.sp.gov.br" TargetMode="External"/><Relationship Id="rId61" Type="http://schemas.openxmlformats.org/officeDocument/2006/relationships/hyperlink" Target="mailto:maeadm@maemariarosa.org.br" TargetMode="External"/><Relationship Id="rId19" Type="http://schemas.openxmlformats.org/officeDocument/2006/relationships/hyperlink" Target="mailto:vemser@associacaovemser.org.br" TargetMode="External"/><Relationship Id="rId14" Type="http://schemas.openxmlformats.org/officeDocument/2006/relationships/hyperlink" Target="mailto:prefeito@monteazulpaulista.sp.gov.br" TargetMode="External"/><Relationship Id="rId22" Type="http://schemas.openxmlformats.org/officeDocument/2006/relationships/hyperlink" Target="mailto:social@adolfo.sp.gov.br" TargetMode="External"/><Relationship Id="rId27" Type="http://schemas.openxmlformats.org/officeDocument/2006/relationships/hyperlink" Target="mailto:gabinete@barbosa.sp.gov.br" TargetMode="External"/><Relationship Id="rId30" Type="http://schemas.openxmlformats.org/officeDocument/2006/relationships/hyperlink" Target="mailto:assistenciasocial@cravinhos.sp.gov.br" TargetMode="External"/><Relationship Id="rId35" Type="http://schemas.openxmlformats.org/officeDocument/2006/relationships/hyperlink" Target="mailto:social@luizantonio.sp.gov.br" TargetMode="External"/><Relationship Id="rId43" Type="http://schemas.openxmlformats.org/officeDocument/2006/relationships/hyperlink" Target="mailto:segurancaalimentar@birigui.sp.gov.br" TargetMode="External"/><Relationship Id="rId48" Type="http://schemas.openxmlformats.org/officeDocument/2006/relationships/hyperlink" Target="mailto:adm@pmaparecidadoeste.sp.gov.br" TargetMode="External"/><Relationship Id="rId56" Type="http://schemas.openxmlformats.org/officeDocument/2006/relationships/hyperlink" Target="mailto:servicosocial.Iarfa@gmail.com" TargetMode="External"/><Relationship Id="rId64" Type="http://schemas.openxmlformats.org/officeDocument/2006/relationships/hyperlink" Target="mailto:larescolafcx@outlook.com.br" TargetMode="External"/><Relationship Id="rId69" Type="http://schemas.openxmlformats.org/officeDocument/2006/relationships/hyperlink" Target="mailto:coalsocial@gmail.com" TargetMode="External"/><Relationship Id="rId77" Type="http://schemas.openxmlformats.org/officeDocument/2006/relationships/hyperlink" Target="mailto:larsantoantonio@outlook.com" TargetMode="External"/><Relationship Id="rId8" Type="http://schemas.openxmlformats.org/officeDocument/2006/relationships/hyperlink" Target="mailto:sepedi.departamentoidoso@saosebastiao.sp.gov.br" TargetMode="External"/><Relationship Id="rId51" Type="http://schemas.openxmlformats.org/officeDocument/2006/relationships/hyperlink" Target="mailto:social.apiai@gmail.com" TargetMode="External"/><Relationship Id="rId72" Type="http://schemas.openxmlformats.org/officeDocument/2006/relationships/hyperlink" Target="mailto:ongacaovida_presidencia@hotmail.com" TargetMode="External"/><Relationship Id="rId3" Type="http://schemas.openxmlformats.org/officeDocument/2006/relationships/hyperlink" Target="mailto:larsaorafael@gmail.com" TargetMode="External"/><Relationship Id="rId12" Type="http://schemas.openxmlformats.org/officeDocument/2006/relationships/hyperlink" Target="mailto:assist@montealto.sp.gov.br" TargetMode="External"/><Relationship Id="rId17" Type="http://schemas.openxmlformats.org/officeDocument/2006/relationships/hyperlink" Target="mailto:larsvp.chavantes@gmail.com" TargetMode="External"/><Relationship Id="rId25" Type="http://schemas.openxmlformats.org/officeDocument/2006/relationships/hyperlink" Target="mailto:social@santoantoniodaalegria.sp.gov.br" TargetMode="External"/><Relationship Id="rId33" Type="http://schemas.openxmlformats.org/officeDocument/2006/relationships/hyperlink" Target="mailto:gabinete.prefeito@bebebedouro.sp.gov.br" TargetMode="External"/><Relationship Id="rId38" Type="http://schemas.openxmlformats.org/officeDocument/2006/relationships/hyperlink" Target="mailto:administracao@santaritadooeste.sp.gov.br" TargetMode="External"/><Relationship Id="rId46" Type="http://schemas.openxmlformats.org/officeDocument/2006/relationships/hyperlink" Target="mailto:protecaosocialespecial@votuporanga.sp.gov.br" TargetMode="External"/><Relationship Id="rId59" Type="http://schemas.openxmlformats.org/officeDocument/2006/relationships/hyperlink" Target="mailto:progen@progen.org.br" TargetMode="External"/><Relationship Id="rId67" Type="http://schemas.openxmlformats.org/officeDocument/2006/relationships/hyperlink" Target="mailto:associacaosonhareviver@gmail.com" TargetMode="External"/><Relationship Id="rId20" Type="http://schemas.openxmlformats.org/officeDocument/2006/relationships/hyperlink" Target="mailto:laridosos@yahoo.com.br" TargetMode="External"/><Relationship Id="rId41" Type="http://schemas.openxmlformats.org/officeDocument/2006/relationships/hyperlink" Target="mailto:gabinete@novagranada.sp.gov.br" TargetMode="External"/><Relationship Id="rId54" Type="http://schemas.openxmlformats.org/officeDocument/2006/relationships/hyperlink" Target="mailto:asiloschimidt@gmail.com" TargetMode="External"/><Relationship Id="rId62" Type="http://schemas.openxmlformats.org/officeDocument/2006/relationships/hyperlink" Target="mailto:iassociacaodosidososdecampinas@gmail.com" TargetMode="External"/><Relationship Id="rId70" Type="http://schemas.openxmlformats.org/officeDocument/2006/relationships/hyperlink" Target="mailto:contato@abrapi.org.br" TargetMode="External"/><Relationship Id="rId75" Type="http://schemas.openxmlformats.org/officeDocument/2006/relationships/hyperlink" Target="mailto:joyce.oliveira@ligasolidaria.org.br" TargetMode="External"/><Relationship Id="rId1" Type="http://schemas.openxmlformats.org/officeDocument/2006/relationships/hyperlink" Target="mailto:projetoyachad@gmail.com" TargetMode="External"/><Relationship Id="rId6" Type="http://schemas.openxmlformats.org/officeDocument/2006/relationships/hyperlink" Target="mailto:secretaria@turmalina.sp.gov.br" TargetMode="External"/><Relationship Id="rId15" Type="http://schemas.openxmlformats.org/officeDocument/2006/relationships/hyperlink" Target="mailto:gabinete@aramina.sp.gov.br" TargetMode="External"/><Relationship Id="rId23" Type="http://schemas.openxmlformats.org/officeDocument/2006/relationships/hyperlink" Target="mailto:gabinete@duartina.sp.gov.br" TargetMode="External"/><Relationship Id="rId28" Type="http://schemas.openxmlformats.org/officeDocument/2006/relationships/hyperlink" Target="mailto:administracao@taquaral.gov.br" TargetMode="External"/><Relationship Id="rId36" Type="http://schemas.openxmlformats.org/officeDocument/2006/relationships/hyperlink" Target="mailto:idoso@aramina.sp.gov.br" TargetMode="External"/><Relationship Id="rId49" Type="http://schemas.openxmlformats.org/officeDocument/2006/relationships/hyperlink" Target="mailto:gabinete@pradopolis.sp.gov.br" TargetMode="External"/><Relationship Id="rId57" Type="http://schemas.openxmlformats.org/officeDocument/2006/relationships/hyperlink" Target="mailto:eliane.silva@laramara.org.br" TargetMode="External"/><Relationship Id="rId10" Type="http://schemas.openxmlformats.org/officeDocument/2006/relationships/hyperlink" Target="mailto:scamargo@saoroque.sp.gov.br" TargetMode="External"/><Relationship Id="rId31" Type="http://schemas.openxmlformats.org/officeDocument/2006/relationships/hyperlink" Target="mailto:sec_acaosocial@guariba.sp.gov.br" TargetMode="External"/><Relationship Id="rId44" Type="http://schemas.openxmlformats.org/officeDocument/2006/relationships/hyperlink" Target="mailto:social@juquia.sp.gov.br" TargetMode="External"/><Relationship Id="rId52" Type="http://schemas.openxmlformats.org/officeDocument/2006/relationships/hyperlink" Target="mailto:parcerias@bp.org.br" TargetMode="External"/><Relationship Id="rId60" Type="http://schemas.openxmlformats.org/officeDocument/2006/relationships/hyperlink" Target="mailto:lar.alice.oliveira@hotmail.com" TargetMode="External"/><Relationship Id="rId65" Type="http://schemas.openxmlformats.org/officeDocument/2006/relationships/hyperlink" Target="mailto:contato@projetolocomotiva.com.br" TargetMode="External"/><Relationship Id="rId73" Type="http://schemas.openxmlformats.org/officeDocument/2006/relationships/hyperlink" Target="mailto:fundacaosaopaulo@fundasp.org.br" TargetMode="External"/><Relationship Id="rId78" Type="http://schemas.openxmlformats.org/officeDocument/2006/relationships/printerSettings" Target="../printerSettings/printerSettings10.bin"/><Relationship Id="rId4" Type="http://schemas.openxmlformats.org/officeDocument/2006/relationships/hyperlink" Target="mailto:mbasile@atibaia.sp.gov.br" TargetMode="External"/><Relationship Id="rId9" Type="http://schemas.openxmlformats.org/officeDocument/2006/relationships/hyperlink" Target="mailto:gabinete@tabatinga.sp.gov.br" TargetMode="External"/><Relationship Id="rId13" Type="http://schemas.openxmlformats.org/officeDocument/2006/relationships/hyperlink" Target="mailto:sads@francodarocha.sp.gov.br" TargetMode="External"/><Relationship Id="rId18" Type="http://schemas.openxmlformats.org/officeDocument/2006/relationships/hyperlink" Target="mailto:apaechavantes@hotmail.com" TargetMode="External"/><Relationship Id="rId39" Type="http://schemas.openxmlformats.org/officeDocument/2006/relationships/hyperlink" Target="mailto:semas@jardinopolis.sp.gov.br" TargetMode="External"/><Relationship Id="rId34" Type="http://schemas.openxmlformats.org/officeDocument/2006/relationships/hyperlink" Target="mailto:social@pontirendaba.sp.gov.br" TargetMode="External"/><Relationship Id="rId50" Type="http://schemas.openxmlformats.org/officeDocument/2006/relationships/hyperlink" Target="mailto:casadoidoso@descalvado.sp.gov.br" TargetMode="External"/><Relationship Id="rId55" Type="http://schemas.openxmlformats.org/officeDocument/2006/relationships/hyperlink" Target="mailto:lardosidososdejuquia@gmail.com" TargetMode="External"/><Relationship Id="rId76" Type="http://schemas.openxmlformats.org/officeDocument/2006/relationships/hyperlink" Target="mailto:info@assa.org.br" TargetMode="External"/><Relationship Id="rId7" Type="http://schemas.openxmlformats.org/officeDocument/2006/relationships/hyperlink" Target="mailto:sepedi.departamentoidoso@saosebastiao.sp.gov.br" TargetMode="External"/><Relationship Id="rId71" Type="http://schemas.openxmlformats.org/officeDocument/2006/relationships/hyperlink" Target="mailto:apve@apve.com.br" TargetMode="External"/><Relationship Id="rId2" Type="http://schemas.openxmlformats.org/officeDocument/2006/relationships/hyperlink" Target="mailto:lsvpiracaia@gmail.com" TargetMode="External"/><Relationship Id="rId29" Type="http://schemas.openxmlformats.org/officeDocument/2006/relationships/hyperlink" Target="mailto:assistenciasocial@ribeiraopires.sp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4D01-DE8A-4DD6-B42B-850F6D549E32}">
  <sheetPr filterMode="1"/>
  <dimension ref="B1:AG639"/>
  <sheetViews>
    <sheetView showGridLines="0" workbookViewId="0">
      <pane xSplit="1" ySplit="4" topLeftCell="I532" activePane="bottomRight" state="frozen"/>
      <selection pane="topRight" activeCell="K7" sqref="K7"/>
      <selection pane="bottomLeft" activeCell="K7" sqref="K7"/>
      <selection pane="bottomRight" activeCell="U532" sqref="U532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8" width="20.85546875" customWidth="1"/>
    <col min="9" max="9" width="23.42578125" customWidth="1"/>
    <col min="10" max="10" width="20.7109375" customWidth="1"/>
    <col min="11" max="11" width="34" customWidth="1"/>
    <col min="12" max="12" width="32.140625" customWidth="1"/>
    <col min="13" max="13" width="18.7109375" customWidth="1"/>
    <col min="14" max="14" width="20" customWidth="1"/>
    <col min="15" max="15" width="30.7109375" customWidth="1"/>
    <col min="16" max="16" width="32.140625" customWidth="1"/>
    <col min="17" max="17" width="13" customWidth="1"/>
    <col min="18" max="23" width="9.140625" customWidth="1"/>
    <col min="24" max="24" width="10" customWidth="1"/>
    <col min="25" max="30" width="9.140625" customWidth="1"/>
    <col min="31" max="31" width="7" customWidth="1"/>
    <col min="32" max="32" width="9.140625" customWidth="1"/>
    <col min="33" max="33" width="13.85546875" style="2" customWidth="1"/>
    <col min="34" max="47" width="9.140625" customWidth="1"/>
  </cols>
  <sheetData>
    <row r="1" spans="2:33" x14ac:dyDescent="0.25">
      <c r="AG1" s="1">
        <v>204</v>
      </c>
    </row>
    <row r="2" spans="2:33" ht="84.75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2:33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</row>
    <row r="4" spans="2:33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/>
      <c r="AF4" s="4" t="s">
        <v>30</v>
      </c>
      <c r="AG4" s="4" t="s">
        <v>31</v>
      </c>
    </row>
    <row r="5" spans="2:33" ht="25.5" hidden="1" x14ac:dyDescent="0.25">
      <c r="B5" s="5">
        <v>1</v>
      </c>
      <c r="C5" s="6" t="s">
        <v>32</v>
      </c>
      <c r="D5" s="5" t="s">
        <v>33</v>
      </c>
      <c r="E5" s="7" t="s">
        <v>34</v>
      </c>
      <c r="F5" s="7" t="s">
        <v>35</v>
      </c>
      <c r="G5" s="7" t="s">
        <v>36</v>
      </c>
      <c r="H5" s="8">
        <v>370460.32</v>
      </c>
      <c r="I5" s="7" t="s">
        <v>37</v>
      </c>
      <c r="J5" s="7" t="s">
        <v>38</v>
      </c>
      <c r="K5" s="7" t="s">
        <v>39</v>
      </c>
      <c r="L5" s="9" t="s">
        <v>40</v>
      </c>
      <c r="M5" s="10">
        <v>45279</v>
      </c>
      <c r="N5" s="7" t="s">
        <v>41</v>
      </c>
      <c r="O5" s="9"/>
      <c r="P5" s="9"/>
      <c r="Q5" s="1">
        <v>318</v>
      </c>
      <c r="R5" s="1">
        <v>244</v>
      </c>
      <c r="S5" s="1">
        <v>265</v>
      </c>
      <c r="T5" s="1">
        <v>247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>
        <f>COUNT(Q5:AD5)</f>
        <v>4</v>
      </c>
      <c r="AF5" s="1">
        <f t="shared" ref="AF5:AF68" si="0">AVERAGE(Q5:AD5)</f>
        <v>268.5</v>
      </c>
      <c r="AG5" s="11" t="str">
        <f t="shared" ref="AG5:AG68" si="1">IF(AF5&gt;=$AG$1,"APROVADO","REPROVADO")</f>
        <v>APROVADO</v>
      </c>
    </row>
    <row r="6" spans="2:33" ht="25.5" hidden="1" x14ac:dyDescent="0.25">
      <c r="B6" s="5">
        <v>2</v>
      </c>
      <c r="C6" s="6" t="s">
        <v>42</v>
      </c>
      <c r="D6" s="5" t="s">
        <v>33</v>
      </c>
      <c r="E6" s="7" t="s">
        <v>43</v>
      </c>
      <c r="F6" s="7" t="s">
        <v>44</v>
      </c>
      <c r="G6" s="7" t="s">
        <v>45</v>
      </c>
      <c r="H6" s="8">
        <v>45000</v>
      </c>
      <c r="I6" s="7" t="s">
        <v>46</v>
      </c>
      <c r="J6" s="7" t="s">
        <v>47</v>
      </c>
      <c r="K6" s="7" t="s">
        <v>48</v>
      </c>
      <c r="L6" s="9" t="s">
        <v>49</v>
      </c>
      <c r="M6" s="10">
        <v>45313</v>
      </c>
      <c r="N6" s="7" t="s">
        <v>41</v>
      </c>
      <c r="O6" s="9"/>
      <c r="P6" s="7"/>
      <c r="Q6" s="1">
        <v>297</v>
      </c>
      <c r="R6" s="1"/>
      <c r="S6" s="1"/>
      <c r="T6" s="1"/>
      <c r="U6" s="1"/>
      <c r="V6" s="1"/>
      <c r="W6" s="1"/>
      <c r="X6" s="1"/>
      <c r="Y6" s="1"/>
      <c r="Z6" s="1">
        <v>310</v>
      </c>
      <c r="AA6" s="1"/>
      <c r="AB6" s="1">
        <v>286</v>
      </c>
      <c r="AC6" s="1">
        <v>327</v>
      </c>
      <c r="AD6" s="1"/>
      <c r="AE6" s="1">
        <f>COUNT(Q6:AD6)</f>
        <v>4</v>
      </c>
      <c r="AF6" s="1">
        <f t="shared" si="0"/>
        <v>305</v>
      </c>
      <c r="AG6" s="11" t="str">
        <f t="shared" si="1"/>
        <v>APROVADO</v>
      </c>
    </row>
    <row r="7" spans="2:33" hidden="1" x14ac:dyDescent="0.25">
      <c r="B7" s="5">
        <v>3</v>
      </c>
      <c r="C7" s="6" t="s">
        <v>50</v>
      </c>
      <c r="D7" s="5" t="s">
        <v>51</v>
      </c>
      <c r="E7" s="7" t="s">
        <v>52</v>
      </c>
      <c r="F7" s="7" t="s">
        <v>53</v>
      </c>
      <c r="G7" s="7" t="s">
        <v>36</v>
      </c>
      <c r="H7" s="8">
        <v>84000</v>
      </c>
      <c r="I7" s="12" t="s">
        <v>54</v>
      </c>
      <c r="J7" s="7" t="s">
        <v>47</v>
      </c>
      <c r="K7" s="7" t="s">
        <v>55</v>
      </c>
      <c r="L7" s="13" t="s">
        <v>56</v>
      </c>
      <c r="M7" s="10">
        <v>45282</v>
      </c>
      <c r="N7" s="13" t="s">
        <v>57</v>
      </c>
      <c r="O7" s="14" t="s">
        <v>58</v>
      </c>
      <c r="P7" s="13"/>
      <c r="Q7" s="1">
        <v>321</v>
      </c>
      <c r="R7" s="1">
        <v>157</v>
      </c>
      <c r="S7" s="1"/>
      <c r="T7" s="1"/>
      <c r="U7" s="1"/>
      <c r="V7" s="1"/>
      <c r="W7" s="1"/>
      <c r="X7" s="1"/>
      <c r="Y7" s="1"/>
      <c r="Z7" s="1"/>
      <c r="AA7" s="1"/>
      <c r="AB7" s="1">
        <v>325</v>
      </c>
      <c r="AC7" s="1"/>
      <c r="AD7" s="1"/>
      <c r="AE7" s="1">
        <f>COUNT(Q7:AD7)</f>
        <v>3</v>
      </c>
      <c r="AF7" s="1">
        <f t="shared" si="0"/>
        <v>267.66666666666669</v>
      </c>
      <c r="AG7" s="11" t="str">
        <f t="shared" si="1"/>
        <v>APROVADO</v>
      </c>
    </row>
    <row r="8" spans="2:33" ht="38.25" hidden="1" x14ac:dyDescent="0.25">
      <c r="B8" s="5">
        <v>4</v>
      </c>
      <c r="C8" s="6" t="s">
        <v>59</v>
      </c>
      <c r="D8" s="5" t="s">
        <v>33</v>
      </c>
      <c r="E8" s="5" t="s">
        <v>60</v>
      </c>
      <c r="F8" s="5" t="s">
        <v>61</v>
      </c>
      <c r="G8" s="5" t="s">
        <v>62</v>
      </c>
      <c r="H8" s="15">
        <v>1000000</v>
      </c>
      <c r="I8" s="5" t="s">
        <v>63</v>
      </c>
      <c r="J8" s="5" t="s">
        <v>64</v>
      </c>
      <c r="K8" s="5" t="s">
        <v>65</v>
      </c>
      <c r="L8" s="9" t="s">
        <v>66</v>
      </c>
      <c r="M8" s="10">
        <v>45281</v>
      </c>
      <c r="N8" s="5" t="s">
        <v>67</v>
      </c>
      <c r="O8" s="7" t="s">
        <v>68</v>
      </c>
      <c r="P8" s="7"/>
      <c r="Q8" s="1">
        <v>312</v>
      </c>
      <c r="R8" s="1"/>
      <c r="S8" s="1">
        <v>275</v>
      </c>
      <c r="T8" s="1">
        <v>299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>
        <f>COUNT(Q8:AD8)</f>
        <v>3</v>
      </c>
      <c r="AF8" s="1">
        <f t="shared" si="0"/>
        <v>295.33333333333331</v>
      </c>
      <c r="AG8" s="11" t="str">
        <f t="shared" si="1"/>
        <v>APROVADO</v>
      </c>
    </row>
    <row r="9" spans="2:33" ht="25.5" hidden="1" x14ac:dyDescent="0.25">
      <c r="B9" s="5">
        <v>5</v>
      </c>
      <c r="C9" s="6" t="s">
        <v>69</v>
      </c>
      <c r="D9" s="5" t="s">
        <v>33</v>
      </c>
      <c r="E9" s="5" t="s">
        <v>70</v>
      </c>
      <c r="F9" s="5" t="s">
        <v>71</v>
      </c>
      <c r="G9" s="5" t="s">
        <v>72</v>
      </c>
      <c r="H9" s="15">
        <v>341605</v>
      </c>
      <c r="I9" s="5" t="s">
        <v>73</v>
      </c>
      <c r="J9" s="5" t="s">
        <v>74</v>
      </c>
      <c r="K9" s="5" t="s">
        <v>75</v>
      </c>
      <c r="L9" s="9" t="s">
        <v>76</v>
      </c>
      <c r="M9" s="10">
        <v>45288</v>
      </c>
      <c r="N9" s="7" t="s">
        <v>41</v>
      </c>
      <c r="O9" s="9"/>
      <c r="P9" s="7"/>
      <c r="Q9" s="1">
        <v>272</v>
      </c>
      <c r="R9" s="1">
        <v>203</v>
      </c>
      <c r="S9" s="1">
        <v>269</v>
      </c>
      <c r="T9" s="1">
        <v>290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>
        <f>COUNT(Q9:AD9)</f>
        <v>4</v>
      </c>
      <c r="AF9" s="1">
        <f t="shared" si="0"/>
        <v>258.5</v>
      </c>
      <c r="AG9" s="11" t="str">
        <f t="shared" si="1"/>
        <v>APROVADO</v>
      </c>
    </row>
    <row r="10" spans="2:33" ht="25.5" hidden="1" x14ac:dyDescent="0.25">
      <c r="B10" s="5">
        <v>6</v>
      </c>
      <c r="C10" s="16" t="s">
        <v>77</v>
      </c>
      <c r="D10" s="5" t="s">
        <v>33</v>
      </c>
      <c r="E10" s="5" t="s">
        <v>78</v>
      </c>
      <c r="F10" s="5" t="s">
        <v>79</v>
      </c>
      <c r="G10" s="7" t="s">
        <v>36</v>
      </c>
      <c r="H10" s="17">
        <v>523070</v>
      </c>
      <c r="I10" s="5" t="s">
        <v>73</v>
      </c>
      <c r="J10" s="5" t="s">
        <v>74</v>
      </c>
      <c r="K10" s="5" t="s">
        <v>80</v>
      </c>
      <c r="L10" s="11" t="s">
        <v>81</v>
      </c>
      <c r="M10" s="10">
        <v>45288</v>
      </c>
      <c r="N10" s="7" t="s">
        <v>82</v>
      </c>
      <c r="O10" s="7" t="s">
        <v>83</v>
      </c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e">
        <f t="shared" si="0"/>
        <v>#DIV/0!</v>
      </c>
      <c r="AG10" s="11" t="e">
        <f t="shared" si="1"/>
        <v>#DIV/0!</v>
      </c>
    </row>
    <row r="11" spans="2:33" ht="38.25" hidden="1" x14ac:dyDescent="0.25">
      <c r="B11" s="5">
        <v>7</v>
      </c>
      <c r="C11" s="6" t="s">
        <v>84</v>
      </c>
      <c r="D11" s="5" t="s">
        <v>33</v>
      </c>
      <c r="E11" s="5" t="s">
        <v>85</v>
      </c>
      <c r="F11" s="5" t="s">
        <v>86</v>
      </c>
      <c r="G11" s="7" t="s">
        <v>45</v>
      </c>
      <c r="H11" s="15">
        <v>364980</v>
      </c>
      <c r="I11" s="5" t="s">
        <v>63</v>
      </c>
      <c r="J11" s="5" t="s">
        <v>64</v>
      </c>
      <c r="K11" s="5" t="s">
        <v>87</v>
      </c>
      <c r="L11" s="11" t="s">
        <v>88</v>
      </c>
      <c r="M11" s="10">
        <v>45289</v>
      </c>
      <c r="N11" s="5" t="s">
        <v>67</v>
      </c>
      <c r="O11" s="7" t="s">
        <v>89</v>
      </c>
      <c r="P11" s="7" t="s">
        <v>90</v>
      </c>
      <c r="Q11" s="1">
        <v>340</v>
      </c>
      <c r="R11" s="1"/>
      <c r="S11" s="1">
        <v>245</v>
      </c>
      <c r="T11" s="1">
        <v>290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f t="shared" ref="AE11:AE17" si="2">COUNT(Q11:AD11)</f>
        <v>3</v>
      </c>
      <c r="AF11" s="1">
        <f t="shared" si="0"/>
        <v>291.66666666666669</v>
      </c>
      <c r="AG11" s="11" t="str">
        <f t="shared" si="1"/>
        <v>APROVADO</v>
      </c>
    </row>
    <row r="12" spans="2:33" ht="38.25" hidden="1" x14ac:dyDescent="0.25">
      <c r="B12" s="5">
        <v>8</v>
      </c>
      <c r="C12" s="6" t="s">
        <v>91</v>
      </c>
      <c r="D12" s="5" t="s">
        <v>33</v>
      </c>
      <c r="E12" s="5" t="s">
        <v>92</v>
      </c>
      <c r="F12" s="5" t="s">
        <v>93</v>
      </c>
      <c r="G12" s="5" t="s">
        <v>36</v>
      </c>
      <c r="H12" s="15">
        <v>250640</v>
      </c>
      <c r="I12" s="7" t="s">
        <v>94</v>
      </c>
      <c r="J12" s="5" t="s">
        <v>95</v>
      </c>
      <c r="K12" s="5" t="s">
        <v>96</v>
      </c>
      <c r="L12" s="5" t="s">
        <v>97</v>
      </c>
      <c r="M12" s="10">
        <v>45296</v>
      </c>
      <c r="N12" s="7" t="s">
        <v>67</v>
      </c>
      <c r="O12" s="7" t="s">
        <v>98</v>
      </c>
      <c r="P12" s="7"/>
      <c r="Q12" s="1"/>
      <c r="R12" s="1">
        <v>170</v>
      </c>
      <c r="S12" s="1"/>
      <c r="T12" s="1"/>
      <c r="U12" s="1"/>
      <c r="V12" s="1">
        <v>302</v>
      </c>
      <c r="W12" s="1">
        <v>285</v>
      </c>
      <c r="X12" s="1"/>
      <c r="Y12" s="1"/>
      <c r="Z12" s="1"/>
      <c r="AA12" s="1"/>
      <c r="AB12" s="1"/>
      <c r="AC12" s="1"/>
      <c r="AD12" s="1"/>
      <c r="AE12" s="1">
        <f t="shared" si="2"/>
        <v>3</v>
      </c>
      <c r="AF12" s="1">
        <f t="shared" si="0"/>
        <v>252.33333333333334</v>
      </c>
      <c r="AG12" s="11" t="str">
        <f t="shared" si="1"/>
        <v>APROVADO</v>
      </c>
    </row>
    <row r="13" spans="2:33" ht="38.25" hidden="1" x14ac:dyDescent="0.25">
      <c r="B13" s="5">
        <v>9</v>
      </c>
      <c r="C13" s="6" t="s">
        <v>99</v>
      </c>
      <c r="D13" s="5" t="s">
        <v>33</v>
      </c>
      <c r="E13" s="5" t="s">
        <v>92</v>
      </c>
      <c r="F13" s="18" t="s">
        <v>100</v>
      </c>
      <c r="G13" s="5" t="s">
        <v>36</v>
      </c>
      <c r="H13" s="15">
        <v>1288900</v>
      </c>
      <c r="I13" s="7" t="s">
        <v>94</v>
      </c>
      <c r="J13" s="5" t="s">
        <v>95</v>
      </c>
      <c r="K13" s="5" t="s">
        <v>96</v>
      </c>
      <c r="L13" s="5" t="s">
        <v>97</v>
      </c>
      <c r="M13" s="10">
        <v>45296</v>
      </c>
      <c r="N13" s="7" t="s">
        <v>67</v>
      </c>
      <c r="O13" s="7" t="s">
        <v>98</v>
      </c>
      <c r="P13" s="7"/>
      <c r="Q13" s="1"/>
      <c r="R13" s="1">
        <v>164</v>
      </c>
      <c r="S13" s="1"/>
      <c r="T13" s="1"/>
      <c r="U13" s="1"/>
      <c r="V13" s="1"/>
      <c r="W13" s="1"/>
      <c r="X13" s="1">
        <v>330</v>
      </c>
      <c r="Y13" s="1">
        <v>340</v>
      </c>
      <c r="Z13" s="1"/>
      <c r="AA13" s="1"/>
      <c r="AB13" s="1"/>
      <c r="AC13" s="1"/>
      <c r="AD13" s="1"/>
      <c r="AE13" s="1">
        <f t="shared" si="2"/>
        <v>3</v>
      </c>
      <c r="AF13" s="1">
        <f t="shared" si="0"/>
        <v>278</v>
      </c>
      <c r="AG13" s="11" t="str">
        <f t="shared" si="1"/>
        <v>APROVADO</v>
      </c>
    </row>
    <row r="14" spans="2:33" ht="38.25" hidden="1" x14ac:dyDescent="0.25">
      <c r="B14" s="5">
        <v>10</v>
      </c>
      <c r="C14" s="6" t="s">
        <v>101</v>
      </c>
      <c r="D14" s="5" t="s">
        <v>33</v>
      </c>
      <c r="E14" s="5" t="s">
        <v>92</v>
      </c>
      <c r="F14" s="5" t="s">
        <v>102</v>
      </c>
      <c r="G14" s="5" t="s">
        <v>36</v>
      </c>
      <c r="H14" s="15">
        <v>1086393.5900000001</v>
      </c>
      <c r="I14" s="7" t="s">
        <v>94</v>
      </c>
      <c r="J14" s="5" t="s">
        <v>95</v>
      </c>
      <c r="K14" s="5" t="s">
        <v>96</v>
      </c>
      <c r="L14" s="5" t="s">
        <v>103</v>
      </c>
      <c r="M14" s="10">
        <v>45296</v>
      </c>
      <c r="N14" s="7" t="s">
        <v>67</v>
      </c>
      <c r="O14" s="7" t="s">
        <v>98</v>
      </c>
      <c r="P14" s="7"/>
      <c r="Q14" s="1"/>
      <c r="R14" s="1">
        <v>146</v>
      </c>
      <c r="S14" s="1"/>
      <c r="T14" s="1"/>
      <c r="U14" s="1"/>
      <c r="V14" s="1">
        <v>340</v>
      </c>
      <c r="W14" s="1">
        <v>330</v>
      </c>
      <c r="X14" s="1"/>
      <c r="Y14" s="1"/>
      <c r="Z14" s="1"/>
      <c r="AA14" s="1"/>
      <c r="AB14" s="1"/>
      <c r="AC14" s="1"/>
      <c r="AD14" s="1"/>
      <c r="AE14" s="1">
        <f t="shared" si="2"/>
        <v>3</v>
      </c>
      <c r="AF14" s="1">
        <f t="shared" si="0"/>
        <v>272</v>
      </c>
      <c r="AG14" s="11" t="str">
        <f t="shared" si="1"/>
        <v>APROVADO</v>
      </c>
    </row>
    <row r="15" spans="2:33" ht="38.25" hidden="1" x14ac:dyDescent="0.25">
      <c r="B15" s="5">
        <v>11</v>
      </c>
      <c r="C15" s="6" t="s">
        <v>104</v>
      </c>
      <c r="D15" s="5" t="s">
        <v>33</v>
      </c>
      <c r="E15" s="7" t="s">
        <v>105</v>
      </c>
      <c r="F15" s="7" t="s">
        <v>106</v>
      </c>
      <c r="G15" s="7" t="s">
        <v>107</v>
      </c>
      <c r="H15" s="8">
        <v>193281.12</v>
      </c>
      <c r="I15" s="7" t="s">
        <v>108</v>
      </c>
      <c r="J15" s="7" t="s">
        <v>95</v>
      </c>
      <c r="K15" s="7" t="s">
        <v>109</v>
      </c>
      <c r="L15" s="9" t="s">
        <v>110</v>
      </c>
      <c r="M15" s="10">
        <v>45296</v>
      </c>
      <c r="N15" s="7" t="s">
        <v>41</v>
      </c>
      <c r="O15" s="7"/>
      <c r="P15" s="7"/>
      <c r="Q15" s="1">
        <v>312</v>
      </c>
      <c r="R15" s="1">
        <v>199</v>
      </c>
      <c r="S15" s="1">
        <v>237</v>
      </c>
      <c r="T15" s="1">
        <v>174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f t="shared" si="2"/>
        <v>4</v>
      </c>
      <c r="AF15" s="1">
        <f t="shared" si="0"/>
        <v>230.5</v>
      </c>
      <c r="AG15" s="11" t="str">
        <f t="shared" si="1"/>
        <v>APROVADO</v>
      </c>
    </row>
    <row r="16" spans="2:33" hidden="1" x14ac:dyDescent="0.25">
      <c r="B16" s="5">
        <v>12</v>
      </c>
      <c r="C16" s="6" t="s">
        <v>111</v>
      </c>
      <c r="D16" s="5" t="s">
        <v>51</v>
      </c>
      <c r="E16" s="5" t="s">
        <v>112</v>
      </c>
      <c r="F16" s="5" t="s">
        <v>113</v>
      </c>
      <c r="G16" s="5" t="s">
        <v>36</v>
      </c>
      <c r="H16" s="15">
        <v>244231.32</v>
      </c>
      <c r="I16" s="19" t="s">
        <v>114</v>
      </c>
      <c r="J16" s="7" t="s">
        <v>115</v>
      </c>
      <c r="K16" s="7" t="s">
        <v>116</v>
      </c>
      <c r="L16" s="13" t="s">
        <v>117</v>
      </c>
      <c r="M16" s="10">
        <v>45296</v>
      </c>
      <c r="N16" s="13" t="s">
        <v>57</v>
      </c>
      <c r="O16" s="14" t="s">
        <v>118</v>
      </c>
      <c r="P16" s="13"/>
      <c r="Q16" s="1">
        <v>329</v>
      </c>
      <c r="R16" s="1"/>
      <c r="S16" s="1"/>
      <c r="T16" s="1"/>
      <c r="U16" s="1"/>
      <c r="V16" s="1">
        <v>340</v>
      </c>
      <c r="W16" s="1">
        <v>323</v>
      </c>
      <c r="X16" s="1"/>
      <c r="Y16" s="1"/>
      <c r="Z16" s="1"/>
      <c r="AA16" s="1"/>
      <c r="AB16" s="1"/>
      <c r="AC16" s="1"/>
      <c r="AD16" s="1"/>
      <c r="AE16" s="1">
        <f t="shared" si="2"/>
        <v>3</v>
      </c>
      <c r="AF16" s="1">
        <f t="shared" si="0"/>
        <v>330.66666666666669</v>
      </c>
      <c r="AG16" s="11" t="str">
        <f t="shared" si="1"/>
        <v>APROVADO</v>
      </c>
    </row>
    <row r="17" spans="2:33" hidden="1" x14ac:dyDescent="0.25">
      <c r="B17" s="5">
        <v>13</v>
      </c>
      <c r="C17" s="6" t="s">
        <v>119</v>
      </c>
      <c r="D17" s="5" t="s">
        <v>33</v>
      </c>
      <c r="E17" s="5" t="s">
        <v>120</v>
      </c>
      <c r="F17" s="5" t="s">
        <v>121</v>
      </c>
      <c r="G17" s="5" t="s">
        <v>36</v>
      </c>
      <c r="H17" s="15">
        <v>69808.08</v>
      </c>
      <c r="I17" s="5" t="s">
        <v>122</v>
      </c>
      <c r="J17" s="5" t="s">
        <v>123</v>
      </c>
      <c r="K17" s="5" t="s">
        <v>124</v>
      </c>
      <c r="L17" s="9" t="s">
        <v>125</v>
      </c>
      <c r="M17" s="10">
        <v>45299</v>
      </c>
      <c r="N17" s="7" t="s">
        <v>41</v>
      </c>
      <c r="O17" s="7"/>
      <c r="P17" s="7"/>
      <c r="Q17" s="1">
        <v>329</v>
      </c>
      <c r="R17" s="1">
        <v>118</v>
      </c>
      <c r="S17" s="1">
        <v>236</v>
      </c>
      <c r="T17" s="1">
        <v>200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f t="shared" si="2"/>
        <v>4</v>
      </c>
      <c r="AF17" s="1">
        <f t="shared" si="0"/>
        <v>220.75</v>
      </c>
      <c r="AG17" s="11" t="str">
        <f t="shared" si="1"/>
        <v>APROVADO</v>
      </c>
    </row>
    <row r="18" spans="2:33" ht="25.5" hidden="1" x14ac:dyDescent="0.25">
      <c r="B18" s="5">
        <v>14</v>
      </c>
      <c r="C18" s="6" t="s">
        <v>126</v>
      </c>
      <c r="D18" s="5" t="s">
        <v>33</v>
      </c>
      <c r="E18" s="7" t="s">
        <v>127</v>
      </c>
      <c r="F18" s="7" t="s">
        <v>128</v>
      </c>
      <c r="G18" s="5" t="s">
        <v>36</v>
      </c>
      <c r="H18" s="15">
        <v>275400</v>
      </c>
      <c r="I18" s="7" t="s">
        <v>122</v>
      </c>
      <c r="J18" s="5" t="s">
        <v>123</v>
      </c>
      <c r="K18" s="7" t="s">
        <v>124</v>
      </c>
      <c r="L18" s="9" t="s">
        <v>129</v>
      </c>
      <c r="M18" s="10">
        <v>45321</v>
      </c>
      <c r="N18" s="7" t="s">
        <v>41</v>
      </c>
      <c r="O18" s="7"/>
      <c r="P18" s="7" t="s">
        <v>130</v>
      </c>
      <c r="Q18" s="1">
        <v>288</v>
      </c>
      <c r="R18" s="1">
        <v>118</v>
      </c>
      <c r="S18" s="1"/>
      <c r="T18" s="1">
        <v>177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>
        <f t="shared" si="0"/>
        <v>194.33333333333334</v>
      </c>
      <c r="AG18" s="11" t="str">
        <f t="shared" si="1"/>
        <v>REPROVADO</v>
      </c>
    </row>
    <row r="19" spans="2:33" ht="38.25" hidden="1" x14ac:dyDescent="0.25">
      <c r="B19" s="5">
        <v>15</v>
      </c>
      <c r="C19" s="6" t="s">
        <v>131</v>
      </c>
      <c r="D19" s="5" t="s">
        <v>33</v>
      </c>
      <c r="E19" s="5" t="s">
        <v>132</v>
      </c>
      <c r="F19" s="5" t="s">
        <v>133</v>
      </c>
      <c r="G19" s="5" t="s">
        <v>36</v>
      </c>
      <c r="H19" s="15">
        <v>40000</v>
      </c>
      <c r="I19" s="5" t="s">
        <v>134</v>
      </c>
      <c r="J19" s="5" t="s">
        <v>64</v>
      </c>
      <c r="K19" s="7" t="s">
        <v>135</v>
      </c>
      <c r="L19" s="9" t="s">
        <v>136</v>
      </c>
      <c r="M19" s="10">
        <v>45300</v>
      </c>
      <c r="N19" s="7" t="s">
        <v>41</v>
      </c>
      <c r="O19" s="7"/>
      <c r="P19" s="7"/>
      <c r="Q19" s="1">
        <v>340</v>
      </c>
      <c r="R19" s="1">
        <v>215</v>
      </c>
      <c r="S19" s="1">
        <v>285</v>
      </c>
      <c r="T19" s="1">
        <v>300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f>COUNT(Q19:AD19)</f>
        <v>4</v>
      </c>
      <c r="AF19" s="1">
        <f t="shared" si="0"/>
        <v>285</v>
      </c>
      <c r="AG19" s="11" t="str">
        <f t="shared" si="1"/>
        <v>APROVADO</v>
      </c>
    </row>
    <row r="20" spans="2:33" ht="38.25" hidden="1" x14ac:dyDescent="0.25">
      <c r="B20" s="5">
        <v>16</v>
      </c>
      <c r="C20" s="6" t="s">
        <v>137</v>
      </c>
      <c r="D20" s="5" t="s">
        <v>33</v>
      </c>
      <c r="E20" s="5" t="s">
        <v>138</v>
      </c>
      <c r="F20" s="5" t="s">
        <v>139</v>
      </c>
      <c r="G20" s="5" t="s">
        <v>107</v>
      </c>
      <c r="H20" s="15">
        <v>29714</v>
      </c>
      <c r="I20" s="5" t="s">
        <v>140</v>
      </c>
      <c r="J20" s="5" t="s">
        <v>141</v>
      </c>
      <c r="K20" s="5" t="s">
        <v>142</v>
      </c>
      <c r="L20" s="9" t="s">
        <v>143</v>
      </c>
      <c r="M20" s="10">
        <v>45300</v>
      </c>
      <c r="N20" s="7" t="s">
        <v>67</v>
      </c>
      <c r="O20" s="7" t="s">
        <v>98</v>
      </c>
      <c r="P20" s="7"/>
      <c r="Q20" s="1">
        <v>340</v>
      </c>
      <c r="R20" s="1">
        <v>209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>
        <v>340</v>
      </c>
      <c r="AE20" s="1">
        <f>COUNT(Q20:AD20)</f>
        <v>3</v>
      </c>
      <c r="AF20" s="1">
        <f t="shared" si="0"/>
        <v>296.33333333333331</v>
      </c>
      <c r="AG20" s="11" t="str">
        <f t="shared" si="1"/>
        <v>APROVADO</v>
      </c>
    </row>
    <row r="21" spans="2:33" ht="38.25" hidden="1" x14ac:dyDescent="0.25">
      <c r="B21" s="5">
        <v>17</v>
      </c>
      <c r="C21" s="6" t="s">
        <v>144</v>
      </c>
      <c r="D21" s="5" t="s">
        <v>33</v>
      </c>
      <c r="E21" s="5" t="s">
        <v>145</v>
      </c>
      <c r="F21" s="5" t="s">
        <v>146</v>
      </c>
      <c r="G21" s="5" t="s">
        <v>36</v>
      </c>
      <c r="H21" s="15">
        <v>91857.47</v>
      </c>
      <c r="I21" s="5" t="s">
        <v>147</v>
      </c>
      <c r="J21" s="5" t="s">
        <v>95</v>
      </c>
      <c r="K21" s="5" t="s">
        <v>148</v>
      </c>
      <c r="L21" s="9" t="s">
        <v>149</v>
      </c>
      <c r="M21" s="10">
        <v>45301</v>
      </c>
      <c r="N21" s="7" t="s">
        <v>41</v>
      </c>
      <c r="O21" s="7"/>
      <c r="P21" s="7"/>
      <c r="Q21" s="1">
        <v>340</v>
      </c>
      <c r="R21" s="1">
        <v>214</v>
      </c>
      <c r="S21" s="1">
        <v>253</v>
      </c>
      <c r="T21" s="1">
        <v>242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f>COUNT(Q21:AD21)</f>
        <v>4</v>
      </c>
      <c r="AF21" s="1">
        <f t="shared" si="0"/>
        <v>262.25</v>
      </c>
      <c r="AG21" s="11" t="str">
        <f t="shared" si="1"/>
        <v>APROVADO</v>
      </c>
    </row>
    <row r="22" spans="2:33" ht="25.5" hidden="1" x14ac:dyDescent="0.25">
      <c r="B22" s="5">
        <v>18</v>
      </c>
      <c r="C22" s="6" t="s">
        <v>150</v>
      </c>
      <c r="D22" s="5" t="s">
        <v>33</v>
      </c>
      <c r="E22" s="5" t="s">
        <v>151</v>
      </c>
      <c r="F22" s="5" t="s">
        <v>152</v>
      </c>
      <c r="G22" s="5" t="s">
        <v>36</v>
      </c>
      <c r="H22" s="15">
        <v>67100</v>
      </c>
      <c r="I22" s="5" t="s">
        <v>153</v>
      </c>
      <c r="J22" s="5" t="s">
        <v>154</v>
      </c>
      <c r="K22" s="5" t="s">
        <v>155</v>
      </c>
      <c r="L22" s="9" t="s">
        <v>156</v>
      </c>
      <c r="M22" s="10">
        <v>45302</v>
      </c>
      <c r="N22" s="7" t="s">
        <v>67</v>
      </c>
      <c r="O22" s="7" t="s">
        <v>157</v>
      </c>
      <c r="P22" s="7"/>
      <c r="Q22" s="1"/>
      <c r="R22" s="1">
        <v>199</v>
      </c>
      <c r="S22" s="1"/>
      <c r="T22" s="1"/>
      <c r="U22" s="1"/>
      <c r="V22" s="1"/>
      <c r="W22" s="1"/>
      <c r="X22" s="1">
        <v>326</v>
      </c>
      <c r="Y22" s="1">
        <v>323</v>
      </c>
      <c r="Z22" s="1"/>
      <c r="AA22" s="1"/>
      <c r="AB22" s="1"/>
      <c r="AC22" s="1"/>
      <c r="AD22" s="1"/>
      <c r="AE22" s="1">
        <f>COUNT(Q22:AD22)</f>
        <v>3</v>
      </c>
      <c r="AF22" s="1">
        <f t="shared" si="0"/>
        <v>282.66666666666669</v>
      </c>
      <c r="AG22" s="11" t="str">
        <f t="shared" si="1"/>
        <v>APROVADO</v>
      </c>
    </row>
    <row r="23" spans="2:33" hidden="1" x14ac:dyDescent="0.25">
      <c r="B23" s="5">
        <v>19</v>
      </c>
      <c r="C23" s="6" t="s">
        <v>158</v>
      </c>
      <c r="D23" s="5" t="s">
        <v>51</v>
      </c>
      <c r="E23" s="7" t="s">
        <v>159</v>
      </c>
      <c r="F23" s="7" t="s">
        <v>160</v>
      </c>
      <c r="G23" s="7" t="s">
        <v>36</v>
      </c>
      <c r="H23" s="8">
        <v>120000</v>
      </c>
      <c r="I23" s="12" t="s">
        <v>161</v>
      </c>
      <c r="J23" s="7" t="s">
        <v>162</v>
      </c>
      <c r="K23" s="7" t="s">
        <v>163</v>
      </c>
      <c r="L23" s="7" t="s">
        <v>164</v>
      </c>
      <c r="M23" s="10">
        <v>45302</v>
      </c>
      <c r="N23" s="7" t="s">
        <v>41</v>
      </c>
      <c r="O23" s="14"/>
      <c r="P23" s="13"/>
      <c r="Q23" s="1">
        <v>297</v>
      </c>
      <c r="R23" s="1"/>
      <c r="S23" s="1">
        <v>180</v>
      </c>
      <c r="T23" s="1">
        <v>112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>
        <f t="shared" si="0"/>
        <v>196.33333333333334</v>
      </c>
      <c r="AG23" s="11" t="str">
        <f t="shared" si="1"/>
        <v>REPROVADO</v>
      </c>
    </row>
    <row r="24" spans="2:33" ht="38.25" hidden="1" x14ac:dyDescent="0.25">
      <c r="B24" s="5">
        <v>20</v>
      </c>
      <c r="C24" s="6" t="s">
        <v>165</v>
      </c>
      <c r="D24" s="5" t="s">
        <v>51</v>
      </c>
      <c r="E24" s="7" t="s">
        <v>166</v>
      </c>
      <c r="F24" s="7" t="s">
        <v>167</v>
      </c>
      <c r="G24" s="7" t="s">
        <v>36</v>
      </c>
      <c r="H24" s="8">
        <v>267000</v>
      </c>
      <c r="I24" s="12" t="s">
        <v>168</v>
      </c>
      <c r="J24" s="7" t="s">
        <v>64</v>
      </c>
      <c r="K24" s="7" t="s">
        <v>169</v>
      </c>
      <c r="L24" s="13" t="s">
        <v>170</v>
      </c>
      <c r="M24" s="10">
        <v>45302</v>
      </c>
      <c r="N24" s="13" t="s">
        <v>41</v>
      </c>
      <c r="O24" s="14"/>
      <c r="P24" s="13"/>
      <c r="Q24" s="1">
        <v>330</v>
      </c>
      <c r="R24" s="1"/>
      <c r="S24" s="1">
        <v>160</v>
      </c>
      <c r="T24" s="1">
        <v>125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f>COUNT(Q24:AD24)</f>
        <v>3</v>
      </c>
      <c r="AF24" s="1">
        <f t="shared" si="0"/>
        <v>205</v>
      </c>
      <c r="AG24" s="11" t="str">
        <f t="shared" si="1"/>
        <v>APROVADO</v>
      </c>
    </row>
    <row r="25" spans="2:33" ht="26.25" hidden="1" customHeight="1" x14ac:dyDescent="0.25">
      <c r="B25" s="5">
        <v>21</v>
      </c>
      <c r="C25" s="16" t="s">
        <v>171</v>
      </c>
      <c r="D25" s="5" t="s">
        <v>33</v>
      </c>
      <c r="E25" s="5" t="s">
        <v>172</v>
      </c>
      <c r="F25" s="5" t="s">
        <v>173</v>
      </c>
      <c r="G25" s="5" t="s">
        <v>174</v>
      </c>
      <c r="H25" s="15">
        <v>192880.29</v>
      </c>
      <c r="I25" s="5" t="s">
        <v>175</v>
      </c>
      <c r="J25" s="5" t="s">
        <v>123</v>
      </c>
      <c r="K25" s="5" t="s">
        <v>176</v>
      </c>
      <c r="L25" s="9" t="s">
        <v>177</v>
      </c>
      <c r="M25" s="10">
        <v>45302</v>
      </c>
      <c r="N25" s="7" t="s">
        <v>82</v>
      </c>
      <c r="O25" s="7" t="s">
        <v>83</v>
      </c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e">
        <f t="shared" si="0"/>
        <v>#DIV/0!</v>
      </c>
      <c r="AG25" s="11" t="e">
        <f t="shared" si="1"/>
        <v>#DIV/0!</v>
      </c>
    </row>
    <row r="26" spans="2:33" ht="38.25" hidden="1" x14ac:dyDescent="0.25">
      <c r="B26" s="5">
        <v>22</v>
      </c>
      <c r="C26" s="6" t="s">
        <v>178</v>
      </c>
      <c r="D26" s="5" t="s">
        <v>33</v>
      </c>
      <c r="E26" s="5" t="s">
        <v>172</v>
      </c>
      <c r="F26" s="5" t="s">
        <v>179</v>
      </c>
      <c r="G26" s="7" t="s">
        <v>36</v>
      </c>
      <c r="H26" s="15">
        <v>50000</v>
      </c>
      <c r="I26" s="7" t="s">
        <v>180</v>
      </c>
      <c r="J26" s="7" t="s">
        <v>181</v>
      </c>
      <c r="K26" s="7" t="s">
        <v>182</v>
      </c>
      <c r="L26" s="9" t="s">
        <v>183</v>
      </c>
      <c r="M26" s="10">
        <v>45302</v>
      </c>
      <c r="N26" s="7" t="s">
        <v>67</v>
      </c>
      <c r="O26" s="7" t="s">
        <v>89</v>
      </c>
      <c r="P26" s="7" t="s">
        <v>184</v>
      </c>
      <c r="Q26" s="1">
        <v>340</v>
      </c>
      <c r="R26" s="1">
        <v>178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340</v>
      </c>
      <c r="AE26" s="1">
        <f>COUNT(Q26:AD26)</f>
        <v>3</v>
      </c>
      <c r="AF26" s="1">
        <f t="shared" si="0"/>
        <v>286</v>
      </c>
      <c r="AG26" s="11" t="str">
        <f t="shared" si="1"/>
        <v>APROVADO</v>
      </c>
    </row>
    <row r="27" spans="2:33" ht="63.75" hidden="1" x14ac:dyDescent="0.25">
      <c r="B27" s="5">
        <v>23</v>
      </c>
      <c r="C27" s="6" t="s">
        <v>185</v>
      </c>
      <c r="D27" s="5" t="s">
        <v>51</v>
      </c>
      <c r="E27" s="7" t="s">
        <v>186</v>
      </c>
      <c r="F27" s="7" t="s">
        <v>187</v>
      </c>
      <c r="G27" s="7" t="s">
        <v>107</v>
      </c>
      <c r="H27" s="8">
        <v>414308.85</v>
      </c>
      <c r="I27" s="12" t="s">
        <v>188</v>
      </c>
      <c r="J27" s="7" t="s">
        <v>189</v>
      </c>
      <c r="K27" s="7" t="s">
        <v>190</v>
      </c>
      <c r="L27" s="13" t="s">
        <v>191</v>
      </c>
      <c r="M27" s="10">
        <v>45302</v>
      </c>
      <c r="N27" s="13" t="s">
        <v>41</v>
      </c>
      <c r="O27" s="13"/>
      <c r="P27" s="13"/>
      <c r="Q27" s="1">
        <v>297</v>
      </c>
      <c r="R27" s="1">
        <v>247</v>
      </c>
      <c r="S27" s="1">
        <v>249</v>
      </c>
      <c r="T27" s="1">
        <v>246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>
        <f>COUNT(Q27:AD27)</f>
        <v>4</v>
      </c>
      <c r="AF27" s="1">
        <f t="shared" si="0"/>
        <v>259.75</v>
      </c>
      <c r="AG27" s="11" t="str">
        <f t="shared" si="1"/>
        <v>APROVADO</v>
      </c>
    </row>
    <row r="28" spans="2:33" ht="38.25" hidden="1" x14ac:dyDescent="0.25">
      <c r="B28" s="5">
        <v>24</v>
      </c>
      <c r="C28" s="6" t="s">
        <v>192</v>
      </c>
      <c r="D28" s="5" t="s">
        <v>33</v>
      </c>
      <c r="E28" s="7" t="s">
        <v>193</v>
      </c>
      <c r="F28" s="7" t="s">
        <v>194</v>
      </c>
      <c r="G28" s="7" t="s">
        <v>36</v>
      </c>
      <c r="H28" s="8">
        <v>267766.51</v>
      </c>
      <c r="I28" s="7" t="s">
        <v>195</v>
      </c>
      <c r="J28" s="7" t="s">
        <v>64</v>
      </c>
      <c r="K28" s="7" t="s">
        <v>196</v>
      </c>
      <c r="L28" s="9" t="s">
        <v>197</v>
      </c>
      <c r="M28" s="10">
        <v>45302</v>
      </c>
      <c r="N28" s="7" t="s">
        <v>41</v>
      </c>
      <c r="O28" s="7"/>
      <c r="P28" s="7"/>
      <c r="Q28" s="1">
        <v>331</v>
      </c>
      <c r="R28" s="1">
        <v>139</v>
      </c>
      <c r="S28" s="1">
        <v>178</v>
      </c>
      <c r="T28" s="1">
        <v>248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f>COUNT(Q28:AD28)</f>
        <v>4</v>
      </c>
      <c r="AF28" s="1">
        <f t="shared" si="0"/>
        <v>224</v>
      </c>
      <c r="AG28" s="11" t="str">
        <f t="shared" si="1"/>
        <v>APROVADO</v>
      </c>
    </row>
    <row r="29" spans="2:33" ht="38.25" hidden="1" x14ac:dyDescent="0.25">
      <c r="B29" s="5">
        <v>25</v>
      </c>
      <c r="C29" s="6" t="s">
        <v>198</v>
      </c>
      <c r="D29" s="5" t="s">
        <v>33</v>
      </c>
      <c r="E29" s="5" t="s">
        <v>199</v>
      </c>
      <c r="F29" s="5" t="s">
        <v>200</v>
      </c>
      <c r="G29" s="5" t="s">
        <v>36</v>
      </c>
      <c r="H29" s="15">
        <v>261777</v>
      </c>
      <c r="I29" s="5" t="s">
        <v>201</v>
      </c>
      <c r="J29" s="5" t="s">
        <v>202</v>
      </c>
      <c r="K29" s="5" t="s">
        <v>203</v>
      </c>
      <c r="L29" s="9" t="s">
        <v>204</v>
      </c>
      <c r="M29" s="10">
        <v>45302</v>
      </c>
      <c r="N29" s="7" t="s">
        <v>41</v>
      </c>
      <c r="O29" s="7"/>
      <c r="P29" s="7"/>
      <c r="Q29" s="1">
        <v>340</v>
      </c>
      <c r="R29" s="1">
        <v>256</v>
      </c>
      <c r="S29" s="1">
        <v>262</v>
      </c>
      <c r="T29" s="1">
        <v>302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>
        <f>COUNT(Q29:AD29)</f>
        <v>4</v>
      </c>
      <c r="AF29" s="1">
        <f t="shared" si="0"/>
        <v>290</v>
      </c>
      <c r="AG29" s="11" t="str">
        <f t="shared" si="1"/>
        <v>APROVADO</v>
      </c>
    </row>
    <row r="30" spans="2:33" ht="38.25" hidden="1" x14ac:dyDescent="0.25">
      <c r="B30" s="5">
        <v>26</v>
      </c>
      <c r="C30" s="6" t="s">
        <v>205</v>
      </c>
      <c r="D30" s="5" t="s">
        <v>33</v>
      </c>
      <c r="E30" s="7" t="s">
        <v>199</v>
      </c>
      <c r="F30" s="7" t="s">
        <v>206</v>
      </c>
      <c r="G30" s="7" t="s">
        <v>107</v>
      </c>
      <c r="H30" s="8">
        <v>207810</v>
      </c>
      <c r="I30" s="7" t="s">
        <v>201</v>
      </c>
      <c r="J30" s="5" t="s">
        <v>202</v>
      </c>
      <c r="K30" s="7" t="s">
        <v>207</v>
      </c>
      <c r="L30" s="9" t="s">
        <v>208</v>
      </c>
      <c r="M30" s="10">
        <v>45321</v>
      </c>
      <c r="N30" s="7" t="s">
        <v>67</v>
      </c>
      <c r="O30" s="7" t="s">
        <v>68</v>
      </c>
      <c r="P30" s="7"/>
      <c r="Q30" s="1">
        <v>340</v>
      </c>
      <c r="R30" s="1">
        <v>254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340</v>
      </c>
      <c r="AE30" s="1">
        <f>COUNT(Q30:AD30)</f>
        <v>3</v>
      </c>
      <c r="AF30" s="1">
        <f t="shared" si="0"/>
        <v>311.33333333333331</v>
      </c>
      <c r="AG30" s="11" t="str">
        <f t="shared" si="1"/>
        <v>APROVADO</v>
      </c>
    </row>
    <row r="31" spans="2:33" ht="25.5" hidden="1" x14ac:dyDescent="0.25">
      <c r="B31" s="5">
        <v>27</v>
      </c>
      <c r="C31" s="6" t="s">
        <v>209</v>
      </c>
      <c r="D31" s="5" t="s">
        <v>33</v>
      </c>
      <c r="E31" s="7" t="s">
        <v>210</v>
      </c>
      <c r="F31" s="7" t="s">
        <v>211</v>
      </c>
      <c r="G31" s="7" t="s">
        <v>174</v>
      </c>
      <c r="H31" s="8">
        <v>150000</v>
      </c>
      <c r="I31" s="7" t="s">
        <v>212</v>
      </c>
      <c r="J31" s="7" t="s">
        <v>123</v>
      </c>
      <c r="K31" s="7" t="s">
        <v>213</v>
      </c>
      <c r="L31" s="9" t="s">
        <v>214</v>
      </c>
      <c r="M31" s="10">
        <v>45303</v>
      </c>
      <c r="N31" s="7" t="s">
        <v>41</v>
      </c>
      <c r="O31" s="7"/>
      <c r="P31" s="7"/>
      <c r="Q31" s="1">
        <v>306</v>
      </c>
      <c r="R31" s="1">
        <v>55</v>
      </c>
      <c r="S31" s="1"/>
      <c r="T31" s="1">
        <v>66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>
        <f t="shared" si="0"/>
        <v>142.33333333333334</v>
      </c>
      <c r="AG31" s="11" t="str">
        <f t="shared" si="1"/>
        <v>REPROVADO</v>
      </c>
    </row>
    <row r="32" spans="2:33" ht="25.5" hidden="1" x14ac:dyDescent="0.25">
      <c r="B32" s="5">
        <v>28</v>
      </c>
      <c r="C32" s="6" t="s">
        <v>215</v>
      </c>
      <c r="D32" s="5" t="s">
        <v>33</v>
      </c>
      <c r="E32" s="7" t="s">
        <v>210</v>
      </c>
      <c r="F32" s="7" t="s">
        <v>216</v>
      </c>
      <c r="G32" s="7" t="s">
        <v>36</v>
      </c>
      <c r="H32" s="8">
        <v>120000</v>
      </c>
      <c r="I32" s="7" t="s">
        <v>212</v>
      </c>
      <c r="J32" s="7" t="s">
        <v>123</v>
      </c>
      <c r="K32" s="7" t="s">
        <v>213</v>
      </c>
      <c r="L32" s="9" t="s">
        <v>214</v>
      </c>
      <c r="M32" s="10">
        <v>45303</v>
      </c>
      <c r="N32" s="7" t="s">
        <v>41</v>
      </c>
      <c r="O32" s="7"/>
      <c r="P32" s="7"/>
      <c r="Q32" s="1">
        <v>340</v>
      </c>
      <c r="R32" s="1"/>
      <c r="S32" s="1">
        <v>60</v>
      </c>
      <c r="T32" s="1">
        <v>79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>
        <f t="shared" si="0"/>
        <v>159.66666666666666</v>
      </c>
      <c r="AG32" s="11" t="str">
        <f t="shared" si="1"/>
        <v>REPROVADO</v>
      </c>
    </row>
    <row r="33" spans="2:33" ht="25.5" hidden="1" x14ac:dyDescent="0.25">
      <c r="B33" s="5">
        <v>29</v>
      </c>
      <c r="C33" s="6" t="s">
        <v>217</v>
      </c>
      <c r="D33" s="5" t="s">
        <v>33</v>
      </c>
      <c r="E33" s="7" t="s">
        <v>210</v>
      </c>
      <c r="F33" s="7" t="s">
        <v>218</v>
      </c>
      <c r="G33" s="7" t="s">
        <v>174</v>
      </c>
      <c r="H33" s="8">
        <v>70000</v>
      </c>
      <c r="I33" s="7" t="s">
        <v>212</v>
      </c>
      <c r="J33" s="7" t="s">
        <v>123</v>
      </c>
      <c r="K33" s="7" t="s">
        <v>213</v>
      </c>
      <c r="L33" s="9" t="s">
        <v>214</v>
      </c>
      <c r="M33" s="10">
        <v>45303</v>
      </c>
      <c r="N33" s="7" t="s">
        <v>41</v>
      </c>
      <c r="O33" s="7"/>
      <c r="P33" s="7"/>
      <c r="Q33" s="1">
        <v>340</v>
      </c>
      <c r="R33" s="1"/>
      <c r="S33" s="1">
        <v>58</v>
      </c>
      <c r="T33" s="1"/>
      <c r="U33" s="1"/>
      <c r="V33" s="1"/>
      <c r="W33" s="1"/>
      <c r="X33" s="1"/>
      <c r="Y33" s="1"/>
      <c r="Z33" s="1"/>
      <c r="AA33" s="1"/>
      <c r="AB33" s="1">
        <v>295</v>
      </c>
      <c r="AC33" s="1"/>
      <c r="AD33" s="1"/>
      <c r="AE33" s="1">
        <f>COUNT(Q33:AD33)</f>
        <v>3</v>
      </c>
      <c r="AF33" s="1">
        <f t="shared" si="0"/>
        <v>231</v>
      </c>
      <c r="AG33" s="11" t="str">
        <f t="shared" si="1"/>
        <v>APROVADO</v>
      </c>
    </row>
    <row r="34" spans="2:33" hidden="1" x14ac:dyDescent="0.25">
      <c r="B34" s="5">
        <v>30</v>
      </c>
      <c r="C34" s="16" t="s">
        <v>219</v>
      </c>
      <c r="D34" s="5" t="s">
        <v>51</v>
      </c>
      <c r="E34" s="7" t="s">
        <v>220</v>
      </c>
      <c r="F34" s="7" t="s">
        <v>221</v>
      </c>
      <c r="G34" s="7" t="s">
        <v>36</v>
      </c>
      <c r="H34" s="8">
        <v>610060.4</v>
      </c>
      <c r="I34" s="7" t="s">
        <v>222</v>
      </c>
      <c r="J34" s="7" t="s">
        <v>223</v>
      </c>
      <c r="K34" s="7" t="s">
        <v>224</v>
      </c>
      <c r="L34" s="13" t="s">
        <v>225</v>
      </c>
      <c r="M34" s="10">
        <v>45303</v>
      </c>
      <c r="N34" s="13" t="s">
        <v>226</v>
      </c>
      <c r="O34" s="13" t="s">
        <v>227</v>
      </c>
      <c r="P34" s="20"/>
      <c r="Q34" s="1">
        <v>0</v>
      </c>
      <c r="R34" s="1">
        <v>29</v>
      </c>
      <c r="S34" s="1">
        <v>44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>
        <f t="shared" si="0"/>
        <v>24.333333333333332</v>
      </c>
      <c r="AG34" s="11" t="str">
        <f t="shared" si="1"/>
        <v>REPROVADO</v>
      </c>
    </row>
    <row r="35" spans="2:33" hidden="1" x14ac:dyDescent="0.25">
      <c r="B35" s="5">
        <v>31</v>
      </c>
      <c r="C35" s="16" t="s">
        <v>228</v>
      </c>
      <c r="D35" s="5" t="s">
        <v>51</v>
      </c>
      <c r="E35" s="5" t="s">
        <v>220</v>
      </c>
      <c r="F35" s="5" t="s">
        <v>229</v>
      </c>
      <c r="G35" s="5" t="s">
        <v>36</v>
      </c>
      <c r="H35" s="17">
        <v>160528.4</v>
      </c>
      <c r="I35" s="5" t="s">
        <v>222</v>
      </c>
      <c r="J35" s="5" t="s">
        <v>223</v>
      </c>
      <c r="K35" s="5" t="s">
        <v>224</v>
      </c>
      <c r="L35" s="13" t="s">
        <v>230</v>
      </c>
      <c r="M35" s="10">
        <v>45303</v>
      </c>
      <c r="N35" s="13" t="s">
        <v>226</v>
      </c>
      <c r="O35" s="9" t="s">
        <v>227</v>
      </c>
      <c r="P35" s="20"/>
      <c r="Q35" s="1">
        <v>0</v>
      </c>
      <c r="R35" s="1">
        <v>169</v>
      </c>
      <c r="S35" s="1">
        <v>195</v>
      </c>
      <c r="T35" s="1">
        <v>206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>
        <f t="shared" si="0"/>
        <v>142.5</v>
      </c>
      <c r="AG35" s="11" t="str">
        <f t="shared" si="1"/>
        <v>REPROVADO</v>
      </c>
    </row>
    <row r="36" spans="2:33" ht="25.5" hidden="1" x14ac:dyDescent="0.25">
      <c r="B36" s="5">
        <v>32</v>
      </c>
      <c r="C36" s="16" t="s">
        <v>231</v>
      </c>
      <c r="D36" s="5" t="s">
        <v>51</v>
      </c>
      <c r="E36" s="7" t="s">
        <v>232</v>
      </c>
      <c r="F36" s="7" t="s">
        <v>233</v>
      </c>
      <c r="G36" s="7" t="s">
        <v>107</v>
      </c>
      <c r="H36" s="8">
        <v>344990</v>
      </c>
      <c r="I36" s="7" t="s">
        <v>234</v>
      </c>
      <c r="J36" s="7" t="s">
        <v>235</v>
      </c>
      <c r="K36" s="7" t="s">
        <v>236</v>
      </c>
      <c r="L36" s="13" t="s">
        <v>230</v>
      </c>
      <c r="M36" s="10">
        <v>45303</v>
      </c>
      <c r="N36" s="7" t="s">
        <v>82</v>
      </c>
      <c r="O36" s="7" t="s">
        <v>83</v>
      </c>
      <c r="P36" s="2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e">
        <f t="shared" si="0"/>
        <v>#DIV/0!</v>
      </c>
      <c r="AG36" s="11" t="e">
        <f t="shared" si="1"/>
        <v>#DIV/0!</v>
      </c>
    </row>
    <row r="37" spans="2:33" hidden="1" x14ac:dyDescent="0.25">
      <c r="B37" s="5">
        <v>33</v>
      </c>
      <c r="C37" s="6" t="s">
        <v>237</v>
      </c>
      <c r="D37" s="5" t="s">
        <v>33</v>
      </c>
      <c r="E37" s="5" t="s">
        <v>238</v>
      </c>
      <c r="F37" s="5" t="s">
        <v>239</v>
      </c>
      <c r="G37" s="5" t="s">
        <v>36</v>
      </c>
      <c r="H37" s="15">
        <v>641438.57999999996</v>
      </c>
      <c r="I37" s="5" t="s">
        <v>240</v>
      </c>
      <c r="J37" s="5" t="s">
        <v>241</v>
      </c>
      <c r="K37" s="5" t="s">
        <v>242</v>
      </c>
      <c r="L37" s="9" t="s">
        <v>243</v>
      </c>
      <c r="M37" s="10">
        <v>45303</v>
      </c>
      <c r="N37" s="7" t="s">
        <v>67</v>
      </c>
      <c r="O37" s="7"/>
      <c r="P37" s="20"/>
      <c r="Q37" s="1"/>
      <c r="R37" s="1">
        <v>198</v>
      </c>
      <c r="S37" s="1"/>
      <c r="T37" s="1"/>
      <c r="U37" s="1"/>
      <c r="V37" s="1"/>
      <c r="W37" s="1">
        <v>340</v>
      </c>
      <c r="X37" s="1"/>
      <c r="Y37" s="1">
        <v>340</v>
      </c>
      <c r="Z37" s="1"/>
      <c r="AA37" s="1"/>
      <c r="AB37" s="1"/>
      <c r="AC37" s="1"/>
      <c r="AD37" s="1"/>
      <c r="AE37" s="1">
        <f>COUNT(Q37:AD37)</f>
        <v>3</v>
      </c>
      <c r="AF37" s="1">
        <f t="shared" si="0"/>
        <v>292.66666666666669</v>
      </c>
      <c r="AG37" s="11" t="str">
        <f t="shared" si="1"/>
        <v>APROVADO</v>
      </c>
    </row>
    <row r="38" spans="2:33" ht="25.5" hidden="1" x14ac:dyDescent="0.25">
      <c r="B38" s="5">
        <v>34</v>
      </c>
      <c r="C38" s="6" t="s">
        <v>244</v>
      </c>
      <c r="D38" s="5" t="s">
        <v>51</v>
      </c>
      <c r="E38" s="7" t="s">
        <v>245</v>
      </c>
      <c r="F38" s="7" t="s">
        <v>246</v>
      </c>
      <c r="G38" s="7" t="s">
        <v>36</v>
      </c>
      <c r="H38" s="8">
        <v>100000</v>
      </c>
      <c r="I38" s="12" t="s">
        <v>247</v>
      </c>
      <c r="J38" s="7" t="s">
        <v>47</v>
      </c>
      <c r="K38" s="7" t="s">
        <v>248</v>
      </c>
      <c r="L38" s="21" t="s">
        <v>249</v>
      </c>
      <c r="M38" s="10">
        <v>45303</v>
      </c>
      <c r="N38" s="13" t="s">
        <v>41</v>
      </c>
      <c r="O38" s="13"/>
      <c r="P38" s="20"/>
      <c r="Q38" s="1">
        <v>337</v>
      </c>
      <c r="R38" s="1">
        <v>184</v>
      </c>
      <c r="S38" s="1">
        <v>224</v>
      </c>
      <c r="T38" s="1">
        <v>238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f>COUNT(Q38:AD38)</f>
        <v>4</v>
      </c>
      <c r="AF38" s="1">
        <f t="shared" si="0"/>
        <v>245.75</v>
      </c>
      <c r="AG38" s="11" t="str">
        <f t="shared" si="1"/>
        <v>APROVADO</v>
      </c>
    </row>
    <row r="39" spans="2:33" ht="25.5" hidden="1" x14ac:dyDescent="0.25">
      <c r="B39" s="5">
        <v>35</v>
      </c>
      <c r="C39" s="6" t="s">
        <v>250</v>
      </c>
      <c r="D39" s="5" t="s">
        <v>33</v>
      </c>
      <c r="E39" s="7" t="s">
        <v>251</v>
      </c>
      <c r="F39" s="7" t="s">
        <v>252</v>
      </c>
      <c r="G39" s="7" t="s">
        <v>36</v>
      </c>
      <c r="H39" s="8">
        <v>283010</v>
      </c>
      <c r="I39" s="7" t="s">
        <v>253</v>
      </c>
      <c r="J39" s="7" t="s">
        <v>254</v>
      </c>
      <c r="K39" s="7" t="s">
        <v>255</v>
      </c>
      <c r="L39" s="9" t="s">
        <v>256</v>
      </c>
      <c r="M39" s="10">
        <v>45303</v>
      </c>
      <c r="N39" s="7" t="s">
        <v>41</v>
      </c>
      <c r="O39" s="7"/>
      <c r="P39" s="20"/>
      <c r="Q39" s="1">
        <v>312</v>
      </c>
      <c r="R39" s="1">
        <v>121</v>
      </c>
      <c r="S39" s="1">
        <v>222</v>
      </c>
      <c r="T39" s="1">
        <v>161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f>COUNT(Q39:AD39)</f>
        <v>4</v>
      </c>
      <c r="AF39" s="1">
        <f t="shared" si="0"/>
        <v>204</v>
      </c>
      <c r="AG39" s="11" t="str">
        <f t="shared" si="1"/>
        <v>APROVADO</v>
      </c>
    </row>
    <row r="40" spans="2:33" ht="33" hidden="1" customHeight="1" x14ac:dyDescent="0.25">
      <c r="B40" s="5">
        <v>36</v>
      </c>
      <c r="C40" s="6" t="s">
        <v>257</v>
      </c>
      <c r="D40" s="5" t="s">
        <v>33</v>
      </c>
      <c r="E40" s="7" t="s">
        <v>258</v>
      </c>
      <c r="F40" s="7" t="s">
        <v>259</v>
      </c>
      <c r="G40" s="7" t="s">
        <v>260</v>
      </c>
      <c r="H40" s="8">
        <v>53388</v>
      </c>
      <c r="I40" s="7" t="s">
        <v>261</v>
      </c>
      <c r="J40" s="7" t="s">
        <v>141</v>
      </c>
      <c r="K40" s="7" t="s">
        <v>262</v>
      </c>
      <c r="L40" s="9" t="s">
        <v>263</v>
      </c>
      <c r="M40" s="10">
        <v>45303</v>
      </c>
      <c r="N40" s="7" t="s">
        <v>41</v>
      </c>
      <c r="O40" s="20"/>
      <c r="P40" s="20"/>
      <c r="Q40" s="1">
        <v>297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243</v>
      </c>
      <c r="AC40" s="1">
        <v>287</v>
      </c>
      <c r="AD40" s="1"/>
      <c r="AE40" s="1">
        <f>COUNT(Q40:AD40)</f>
        <v>3</v>
      </c>
      <c r="AF40" s="1">
        <f t="shared" si="0"/>
        <v>275.66666666666669</v>
      </c>
      <c r="AG40" s="11" t="str">
        <f t="shared" si="1"/>
        <v>APROVADO</v>
      </c>
    </row>
    <row r="41" spans="2:33" ht="25.5" hidden="1" x14ac:dyDescent="0.25">
      <c r="B41" s="5">
        <v>37</v>
      </c>
      <c r="C41" s="6" t="s">
        <v>264</v>
      </c>
      <c r="D41" s="5" t="s">
        <v>33</v>
      </c>
      <c r="E41" s="7" t="s">
        <v>258</v>
      </c>
      <c r="F41" s="7" t="s">
        <v>265</v>
      </c>
      <c r="G41" s="7" t="s">
        <v>36</v>
      </c>
      <c r="H41" s="8">
        <v>28000</v>
      </c>
      <c r="I41" s="7" t="s">
        <v>261</v>
      </c>
      <c r="J41" s="7" t="s">
        <v>141</v>
      </c>
      <c r="K41" s="7" t="s">
        <v>262</v>
      </c>
      <c r="L41" s="7" t="s">
        <v>263</v>
      </c>
      <c r="M41" s="10">
        <v>45303</v>
      </c>
      <c r="N41" s="7" t="s">
        <v>41</v>
      </c>
      <c r="O41" s="20"/>
      <c r="P41" s="20"/>
      <c r="Q41" s="1">
        <v>340</v>
      </c>
      <c r="R41" s="1"/>
      <c r="S41" s="1"/>
      <c r="T41" s="1"/>
      <c r="U41" s="1"/>
      <c r="V41" s="1"/>
      <c r="W41" s="1"/>
      <c r="X41" s="1"/>
      <c r="Y41" s="1"/>
      <c r="Z41" s="1">
        <v>319</v>
      </c>
      <c r="AA41" s="1"/>
      <c r="AB41" s="1"/>
      <c r="AC41" s="1">
        <v>333</v>
      </c>
      <c r="AD41" s="1"/>
      <c r="AE41" s="1">
        <f>COUNT(Q41:AD41)</f>
        <v>3</v>
      </c>
      <c r="AF41" s="1">
        <f t="shared" si="0"/>
        <v>330.66666666666669</v>
      </c>
      <c r="AG41" s="11" t="str">
        <f t="shared" si="1"/>
        <v>APROVADO</v>
      </c>
    </row>
    <row r="42" spans="2:33" ht="38.25" hidden="1" x14ac:dyDescent="0.25">
      <c r="B42" s="5">
        <v>38</v>
      </c>
      <c r="C42" s="16" t="s">
        <v>266</v>
      </c>
      <c r="D42" s="5" t="s">
        <v>33</v>
      </c>
      <c r="E42" s="5" t="s">
        <v>267</v>
      </c>
      <c r="F42" s="5" t="s">
        <v>268</v>
      </c>
      <c r="G42" s="5" t="s">
        <v>62</v>
      </c>
      <c r="H42" s="8">
        <v>180000</v>
      </c>
      <c r="I42" s="7" t="s">
        <v>269</v>
      </c>
      <c r="J42" s="7" t="s">
        <v>270</v>
      </c>
      <c r="K42" s="7" t="s">
        <v>271</v>
      </c>
      <c r="L42" s="9" t="s">
        <v>272</v>
      </c>
      <c r="M42" s="10">
        <v>45303</v>
      </c>
      <c r="N42" s="5" t="s">
        <v>226</v>
      </c>
      <c r="O42" s="5" t="s">
        <v>273</v>
      </c>
      <c r="P42" s="20"/>
      <c r="Q42" s="1">
        <v>332</v>
      </c>
      <c r="R42" s="1"/>
      <c r="S42" s="1">
        <v>200</v>
      </c>
      <c r="T42" s="1">
        <v>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>
        <f t="shared" si="0"/>
        <v>177.33333333333334</v>
      </c>
      <c r="AG42" s="11" t="str">
        <f t="shared" si="1"/>
        <v>REPROVADO</v>
      </c>
    </row>
    <row r="43" spans="2:33" ht="22.5" hidden="1" customHeight="1" x14ac:dyDescent="0.25">
      <c r="B43" s="5">
        <v>39</v>
      </c>
      <c r="C43" s="6" t="s">
        <v>274</v>
      </c>
      <c r="D43" s="5" t="s">
        <v>33</v>
      </c>
      <c r="E43" s="7" t="s">
        <v>267</v>
      </c>
      <c r="F43" s="7" t="s">
        <v>275</v>
      </c>
      <c r="G43" s="5" t="s">
        <v>62</v>
      </c>
      <c r="H43" s="8">
        <v>220000</v>
      </c>
      <c r="I43" s="7" t="s">
        <v>269</v>
      </c>
      <c r="J43" s="7" t="s">
        <v>270</v>
      </c>
      <c r="K43" s="7" t="s">
        <v>271</v>
      </c>
      <c r="L43" s="9" t="s">
        <v>272</v>
      </c>
      <c r="M43" s="10">
        <v>45303</v>
      </c>
      <c r="N43" s="7" t="s">
        <v>67</v>
      </c>
      <c r="O43" s="7"/>
      <c r="P43" s="20"/>
      <c r="Q43" s="1">
        <v>340</v>
      </c>
      <c r="R43" s="1">
        <v>123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>
        <v>238</v>
      </c>
      <c r="AE43" s="1">
        <f>COUNT(Q43:AD43)</f>
        <v>3</v>
      </c>
      <c r="AF43" s="1">
        <f t="shared" si="0"/>
        <v>233.66666666666666</v>
      </c>
      <c r="AG43" s="11" t="str">
        <f t="shared" si="1"/>
        <v>APROVADO</v>
      </c>
    </row>
    <row r="44" spans="2:33" ht="25.5" hidden="1" x14ac:dyDescent="0.25">
      <c r="B44" s="5">
        <v>40</v>
      </c>
      <c r="C44" s="6" t="s">
        <v>276</v>
      </c>
      <c r="D44" s="5" t="s">
        <v>51</v>
      </c>
      <c r="E44" s="7" t="s">
        <v>277</v>
      </c>
      <c r="F44" s="7" t="s">
        <v>278</v>
      </c>
      <c r="G44" s="7" t="s">
        <v>36</v>
      </c>
      <c r="H44" s="8">
        <v>80000</v>
      </c>
      <c r="I44" s="12" t="s">
        <v>269</v>
      </c>
      <c r="J44" s="7" t="s">
        <v>270</v>
      </c>
      <c r="K44" s="7" t="s">
        <v>279</v>
      </c>
      <c r="L44" s="13" t="s">
        <v>280</v>
      </c>
      <c r="M44" s="10">
        <v>45303</v>
      </c>
      <c r="N44" s="13" t="s">
        <v>57</v>
      </c>
      <c r="O44" s="13"/>
      <c r="P44" s="20"/>
      <c r="Q44" s="1">
        <v>200</v>
      </c>
      <c r="R44" s="1">
        <v>133</v>
      </c>
      <c r="S44" s="1"/>
      <c r="T44" s="1"/>
      <c r="U44" s="1"/>
      <c r="V44" s="1"/>
      <c r="W44" s="1"/>
      <c r="X44" s="1"/>
      <c r="Y44" s="1"/>
      <c r="Z44" s="1"/>
      <c r="AA44" s="1"/>
      <c r="AB44" s="1">
        <v>157</v>
      </c>
      <c r="AC44" s="1"/>
      <c r="AD44" s="1"/>
      <c r="AE44" s="1"/>
      <c r="AF44" s="1">
        <f t="shared" si="0"/>
        <v>163.33333333333334</v>
      </c>
      <c r="AG44" s="11" t="str">
        <f t="shared" si="1"/>
        <v>REPROVADO</v>
      </c>
    </row>
    <row r="45" spans="2:33" hidden="1" x14ac:dyDescent="0.25">
      <c r="B45" s="5">
        <v>41</v>
      </c>
      <c r="C45" s="6" t="s">
        <v>281</v>
      </c>
      <c r="D45" s="5" t="s">
        <v>33</v>
      </c>
      <c r="E45" s="7" t="s">
        <v>267</v>
      </c>
      <c r="F45" s="7" t="s">
        <v>282</v>
      </c>
      <c r="G45" s="7" t="s">
        <v>283</v>
      </c>
      <c r="H45" s="8">
        <v>50000</v>
      </c>
      <c r="I45" s="7" t="s">
        <v>269</v>
      </c>
      <c r="J45" s="7" t="s">
        <v>270</v>
      </c>
      <c r="K45" s="7" t="s">
        <v>271</v>
      </c>
      <c r="L45" s="9" t="s">
        <v>272</v>
      </c>
      <c r="M45" s="10">
        <v>45303</v>
      </c>
      <c r="N45" s="7" t="s">
        <v>67</v>
      </c>
      <c r="O45" s="7"/>
      <c r="P45" s="20"/>
      <c r="Q45" s="1"/>
      <c r="R45" s="1">
        <v>75</v>
      </c>
      <c r="S45" s="1"/>
      <c r="T45" s="1"/>
      <c r="U45" s="1"/>
      <c r="V45" s="1">
        <v>189</v>
      </c>
      <c r="W45" s="1">
        <v>164</v>
      </c>
      <c r="X45" s="1"/>
      <c r="Y45" s="1"/>
      <c r="Z45" s="1"/>
      <c r="AA45" s="1"/>
      <c r="AB45" s="1"/>
      <c r="AC45" s="1"/>
      <c r="AD45" s="1"/>
      <c r="AE45" s="1"/>
      <c r="AF45" s="1">
        <f t="shared" si="0"/>
        <v>142.66666666666666</v>
      </c>
      <c r="AG45" s="11" t="str">
        <f t="shared" si="1"/>
        <v>REPROVADO</v>
      </c>
    </row>
    <row r="46" spans="2:33" ht="25.5" hidden="1" x14ac:dyDescent="0.25">
      <c r="B46" s="5">
        <v>42</v>
      </c>
      <c r="C46" s="6" t="s">
        <v>284</v>
      </c>
      <c r="D46" s="5" t="s">
        <v>51</v>
      </c>
      <c r="E46" s="7" t="s">
        <v>277</v>
      </c>
      <c r="F46" s="7" t="s">
        <v>285</v>
      </c>
      <c r="G46" s="7" t="s">
        <v>36</v>
      </c>
      <c r="H46" s="8">
        <v>400000</v>
      </c>
      <c r="I46" s="12" t="s">
        <v>269</v>
      </c>
      <c r="J46" s="7" t="s">
        <v>270</v>
      </c>
      <c r="K46" s="7" t="s">
        <v>279</v>
      </c>
      <c r="L46" s="13" t="s">
        <v>286</v>
      </c>
      <c r="M46" s="10">
        <v>45303</v>
      </c>
      <c r="N46" s="13" t="s">
        <v>57</v>
      </c>
      <c r="O46" s="13"/>
      <c r="P46" s="20"/>
      <c r="Q46" s="1">
        <v>277</v>
      </c>
      <c r="R46" s="1">
        <v>91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>
        <v>292</v>
      </c>
      <c r="AD46" s="1"/>
      <c r="AE46" s="1">
        <f t="shared" ref="AE46:AE53" si="3">COUNT(Q46:AD46)</f>
        <v>3</v>
      </c>
      <c r="AF46" s="1">
        <f>AVERAGE(Q46:AD46)</f>
        <v>220</v>
      </c>
      <c r="AG46" s="11" t="str">
        <f t="shared" si="1"/>
        <v>APROVADO</v>
      </c>
    </row>
    <row r="47" spans="2:33" ht="25.5" hidden="1" x14ac:dyDescent="0.25">
      <c r="B47" s="5">
        <v>43</v>
      </c>
      <c r="C47" s="6" t="s">
        <v>287</v>
      </c>
      <c r="D47" s="5" t="s">
        <v>33</v>
      </c>
      <c r="E47" s="7" t="s">
        <v>288</v>
      </c>
      <c r="F47" s="7" t="s">
        <v>289</v>
      </c>
      <c r="G47" s="7" t="s">
        <v>36</v>
      </c>
      <c r="H47" s="8">
        <v>270000</v>
      </c>
      <c r="I47" s="7" t="s">
        <v>290</v>
      </c>
      <c r="J47" s="7" t="s">
        <v>154</v>
      </c>
      <c r="K47" s="7" t="s">
        <v>291</v>
      </c>
      <c r="L47" s="9" t="s">
        <v>292</v>
      </c>
      <c r="M47" s="10">
        <v>45303</v>
      </c>
      <c r="N47" s="7" t="s">
        <v>41</v>
      </c>
      <c r="O47" s="7"/>
      <c r="P47" s="20"/>
      <c r="Q47" s="1">
        <v>340</v>
      </c>
      <c r="R47" s="1">
        <v>120</v>
      </c>
      <c r="S47" s="1">
        <v>189</v>
      </c>
      <c r="T47" s="1">
        <v>212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f t="shared" si="3"/>
        <v>4</v>
      </c>
      <c r="AF47" s="1">
        <f t="shared" si="0"/>
        <v>215.25</v>
      </c>
      <c r="AG47" s="11" t="str">
        <f t="shared" si="1"/>
        <v>APROVADO</v>
      </c>
    </row>
    <row r="48" spans="2:33" ht="25.5" hidden="1" x14ac:dyDescent="0.25">
      <c r="B48" s="5">
        <v>44</v>
      </c>
      <c r="C48" s="6" t="s">
        <v>293</v>
      </c>
      <c r="D48" s="5" t="s">
        <v>33</v>
      </c>
      <c r="E48" s="7" t="s">
        <v>288</v>
      </c>
      <c r="F48" s="7" t="s">
        <v>294</v>
      </c>
      <c r="G48" s="5" t="s">
        <v>62</v>
      </c>
      <c r="H48" s="8">
        <v>188640</v>
      </c>
      <c r="I48" s="7" t="s">
        <v>290</v>
      </c>
      <c r="J48" s="7" t="s">
        <v>154</v>
      </c>
      <c r="K48" s="7" t="s">
        <v>291</v>
      </c>
      <c r="L48" s="9" t="s">
        <v>292</v>
      </c>
      <c r="M48" s="10">
        <v>45303</v>
      </c>
      <c r="N48" s="7" t="s">
        <v>41</v>
      </c>
      <c r="O48" s="7"/>
      <c r="P48" s="20"/>
      <c r="Q48" s="1">
        <v>327</v>
      </c>
      <c r="R48" s="1"/>
      <c r="S48" s="1">
        <v>190</v>
      </c>
      <c r="T48" s="1">
        <v>153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f t="shared" si="3"/>
        <v>3</v>
      </c>
      <c r="AF48" s="1">
        <f t="shared" si="0"/>
        <v>223.33333333333334</v>
      </c>
      <c r="AG48" s="11" t="str">
        <f t="shared" si="1"/>
        <v>APROVADO</v>
      </c>
    </row>
    <row r="49" spans="2:33" ht="25.5" hidden="1" x14ac:dyDescent="0.25">
      <c r="B49" s="5">
        <v>45</v>
      </c>
      <c r="C49" s="6" t="s">
        <v>295</v>
      </c>
      <c r="D49" s="5" t="s">
        <v>33</v>
      </c>
      <c r="E49" s="7" t="s">
        <v>288</v>
      </c>
      <c r="F49" s="7" t="s">
        <v>296</v>
      </c>
      <c r="G49" s="7" t="s">
        <v>107</v>
      </c>
      <c r="H49" s="8">
        <v>240000</v>
      </c>
      <c r="I49" s="7" t="s">
        <v>290</v>
      </c>
      <c r="J49" s="7" t="s">
        <v>154</v>
      </c>
      <c r="K49" s="7" t="s">
        <v>291</v>
      </c>
      <c r="L49" s="9" t="s">
        <v>292</v>
      </c>
      <c r="M49" s="10">
        <v>45303</v>
      </c>
      <c r="N49" s="7" t="s">
        <v>41</v>
      </c>
      <c r="O49" s="7"/>
      <c r="P49" s="20"/>
      <c r="Q49" s="1">
        <v>333</v>
      </c>
      <c r="R49" s="1">
        <v>155</v>
      </c>
      <c r="S49" s="1">
        <v>200</v>
      </c>
      <c r="T49" s="1">
        <v>168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f t="shared" si="3"/>
        <v>4</v>
      </c>
      <c r="AF49" s="1">
        <f t="shared" si="0"/>
        <v>214</v>
      </c>
      <c r="AG49" s="11" t="str">
        <f t="shared" si="1"/>
        <v>APROVADO</v>
      </c>
    </row>
    <row r="50" spans="2:33" ht="25.5" hidden="1" x14ac:dyDescent="0.25">
      <c r="B50" s="5">
        <v>46</v>
      </c>
      <c r="C50" s="6" t="s">
        <v>297</v>
      </c>
      <c r="D50" s="5" t="s">
        <v>33</v>
      </c>
      <c r="E50" s="7" t="s">
        <v>298</v>
      </c>
      <c r="F50" s="7" t="s">
        <v>299</v>
      </c>
      <c r="G50" s="7" t="s">
        <v>300</v>
      </c>
      <c r="H50" s="8">
        <v>252000</v>
      </c>
      <c r="I50" s="7" t="s">
        <v>290</v>
      </c>
      <c r="J50" s="7" t="s">
        <v>154</v>
      </c>
      <c r="K50" s="7" t="s">
        <v>301</v>
      </c>
      <c r="L50" s="9" t="s">
        <v>302</v>
      </c>
      <c r="M50" s="10">
        <v>45303</v>
      </c>
      <c r="N50" s="7" t="s">
        <v>41</v>
      </c>
      <c r="O50" s="7"/>
      <c r="P50" s="20"/>
      <c r="Q50" s="1">
        <v>286</v>
      </c>
      <c r="R50" s="1">
        <v>305</v>
      </c>
      <c r="S50" s="1">
        <v>284</v>
      </c>
      <c r="T50" s="1">
        <v>306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f t="shared" si="3"/>
        <v>4</v>
      </c>
      <c r="AF50" s="1">
        <f t="shared" si="0"/>
        <v>295.25</v>
      </c>
      <c r="AG50" s="11" t="str">
        <f t="shared" si="1"/>
        <v>APROVADO</v>
      </c>
    </row>
    <row r="51" spans="2:33" ht="38.25" hidden="1" x14ac:dyDescent="0.25">
      <c r="B51" s="5">
        <v>47</v>
      </c>
      <c r="C51" s="6" t="s">
        <v>303</v>
      </c>
      <c r="D51" s="5" t="s">
        <v>33</v>
      </c>
      <c r="E51" s="7" t="s">
        <v>298</v>
      </c>
      <c r="F51" s="7" t="s">
        <v>304</v>
      </c>
      <c r="G51" s="7" t="s">
        <v>36</v>
      </c>
      <c r="H51" s="8">
        <v>500000</v>
      </c>
      <c r="I51" s="7" t="s">
        <v>290</v>
      </c>
      <c r="J51" s="7" t="s">
        <v>154</v>
      </c>
      <c r="K51" s="7" t="s">
        <v>301</v>
      </c>
      <c r="L51" s="9" t="s">
        <v>302</v>
      </c>
      <c r="M51" s="10">
        <v>45303</v>
      </c>
      <c r="N51" s="7" t="s">
        <v>41</v>
      </c>
      <c r="O51" s="7" t="s">
        <v>305</v>
      </c>
      <c r="P51" s="20"/>
      <c r="Q51" s="1">
        <v>340</v>
      </c>
      <c r="R51" s="1">
        <v>159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>
        <v>333</v>
      </c>
      <c r="AD51" s="1"/>
      <c r="AE51" s="1">
        <f t="shared" si="3"/>
        <v>3</v>
      </c>
      <c r="AF51" s="1">
        <f t="shared" si="0"/>
        <v>277.33333333333331</v>
      </c>
      <c r="AG51" s="11" t="str">
        <f t="shared" si="1"/>
        <v>APROVADO</v>
      </c>
    </row>
    <row r="52" spans="2:33" ht="25.5" hidden="1" x14ac:dyDescent="0.25">
      <c r="B52" s="5">
        <v>48</v>
      </c>
      <c r="C52" s="22" t="s">
        <v>306</v>
      </c>
      <c r="D52" s="5" t="s">
        <v>33</v>
      </c>
      <c r="E52" s="7" t="s">
        <v>307</v>
      </c>
      <c r="F52" s="7" t="s">
        <v>308</v>
      </c>
      <c r="G52" s="7" t="s">
        <v>36</v>
      </c>
      <c r="H52" s="8">
        <v>200000</v>
      </c>
      <c r="I52" s="7" t="s">
        <v>290</v>
      </c>
      <c r="J52" s="7" t="s">
        <v>154</v>
      </c>
      <c r="K52" s="7" t="s">
        <v>309</v>
      </c>
      <c r="L52" s="9" t="s">
        <v>310</v>
      </c>
      <c r="M52" s="10">
        <v>45303</v>
      </c>
      <c r="N52" s="7" t="s">
        <v>41</v>
      </c>
      <c r="O52" s="7"/>
      <c r="P52" s="20"/>
      <c r="Q52" s="1">
        <v>327</v>
      </c>
      <c r="R52" s="1">
        <v>130</v>
      </c>
      <c r="S52" s="1">
        <v>224</v>
      </c>
      <c r="T52" s="1">
        <v>142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>
        <f t="shared" si="3"/>
        <v>4</v>
      </c>
      <c r="AF52" s="1">
        <f t="shared" si="0"/>
        <v>205.75</v>
      </c>
      <c r="AG52" s="11" t="str">
        <f t="shared" si="1"/>
        <v>APROVADO</v>
      </c>
    </row>
    <row r="53" spans="2:33" ht="25.5" hidden="1" x14ac:dyDescent="0.25">
      <c r="B53" s="5">
        <v>49</v>
      </c>
      <c r="C53" s="6" t="s">
        <v>311</v>
      </c>
      <c r="D53" s="5" t="s">
        <v>33</v>
      </c>
      <c r="E53" s="7" t="s">
        <v>312</v>
      </c>
      <c r="F53" s="7" t="s">
        <v>313</v>
      </c>
      <c r="G53" s="7" t="s">
        <v>36</v>
      </c>
      <c r="H53" s="8">
        <v>37863.96</v>
      </c>
      <c r="I53" s="7" t="s">
        <v>290</v>
      </c>
      <c r="J53" s="7" t="s">
        <v>154</v>
      </c>
      <c r="K53" s="7" t="s">
        <v>314</v>
      </c>
      <c r="L53" s="9" t="s">
        <v>315</v>
      </c>
      <c r="M53" s="10">
        <v>45303</v>
      </c>
      <c r="N53" s="7" t="s">
        <v>41</v>
      </c>
      <c r="O53" s="7" t="s">
        <v>316</v>
      </c>
      <c r="P53" s="20"/>
      <c r="Q53" s="1">
        <v>340</v>
      </c>
      <c r="R53" s="1">
        <v>117</v>
      </c>
      <c r="S53" s="1"/>
      <c r="T53" s="1">
        <v>265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>
        <f t="shared" si="3"/>
        <v>3</v>
      </c>
      <c r="AF53" s="1">
        <f t="shared" si="0"/>
        <v>240.66666666666666</v>
      </c>
      <c r="AG53" s="11" t="str">
        <f t="shared" si="1"/>
        <v>APROVADO</v>
      </c>
    </row>
    <row r="54" spans="2:33" ht="38.25" hidden="1" x14ac:dyDescent="0.25">
      <c r="B54" s="5">
        <v>50</v>
      </c>
      <c r="C54" s="16" t="s">
        <v>317</v>
      </c>
      <c r="D54" s="5" t="s">
        <v>51</v>
      </c>
      <c r="E54" s="5" t="s">
        <v>318</v>
      </c>
      <c r="F54" s="5" t="s">
        <v>319</v>
      </c>
      <c r="G54" s="5" t="s">
        <v>36</v>
      </c>
      <c r="H54" s="17">
        <v>331000</v>
      </c>
      <c r="I54" s="7" t="s">
        <v>320</v>
      </c>
      <c r="J54" s="7" t="s">
        <v>64</v>
      </c>
      <c r="K54" s="7" t="s">
        <v>321</v>
      </c>
      <c r="L54" s="13" t="s">
        <v>249</v>
      </c>
      <c r="M54" s="10">
        <v>45303</v>
      </c>
      <c r="N54" s="13" t="s">
        <v>226</v>
      </c>
      <c r="O54" s="5" t="s">
        <v>227</v>
      </c>
      <c r="P54" s="20"/>
      <c r="Q54" s="1">
        <v>0</v>
      </c>
      <c r="R54" s="1">
        <v>188</v>
      </c>
      <c r="S54" s="1">
        <v>243</v>
      </c>
      <c r="T54" s="1">
        <v>0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f t="shared" si="0"/>
        <v>107.75</v>
      </c>
      <c r="AG54" s="11" t="str">
        <f t="shared" si="1"/>
        <v>REPROVADO</v>
      </c>
    </row>
    <row r="55" spans="2:33" ht="38.25" hidden="1" x14ac:dyDescent="0.25">
      <c r="B55" s="5">
        <v>51</v>
      </c>
      <c r="C55" s="6" t="s">
        <v>322</v>
      </c>
      <c r="D55" s="5" t="s">
        <v>33</v>
      </c>
      <c r="E55" s="7" t="s">
        <v>323</v>
      </c>
      <c r="F55" s="7" t="s">
        <v>324</v>
      </c>
      <c r="G55" s="7" t="s">
        <v>36</v>
      </c>
      <c r="H55" s="8">
        <v>345133.32</v>
      </c>
      <c r="I55" s="7" t="s">
        <v>325</v>
      </c>
      <c r="J55" s="7" t="s">
        <v>64</v>
      </c>
      <c r="K55" s="7" t="s">
        <v>326</v>
      </c>
      <c r="L55" s="9" t="s">
        <v>327</v>
      </c>
      <c r="M55" s="10">
        <v>45303</v>
      </c>
      <c r="N55" s="7" t="s">
        <v>67</v>
      </c>
      <c r="O55" s="7" t="s">
        <v>98</v>
      </c>
      <c r="P55" s="7"/>
      <c r="Q55" s="1">
        <v>315</v>
      </c>
      <c r="R55" s="1">
        <v>242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289</v>
      </c>
      <c r="AE55" s="1">
        <f>COUNT(Q55:AD55)</f>
        <v>3</v>
      </c>
      <c r="AF55" s="1">
        <f t="shared" si="0"/>
        <v>282</v>
      </c>
      <c r="AG55" s="11" t="str">
        <f t="shared" si="1"/>
        <v>APROVADO</v>
      </c>
    </row>
    <row r="56" spans="2:33" ht="38.25" hidden="1" x14ac:dyDescent="0.25">
      <c r="B56" s="5">
        <v>52</v>
      </c>
      <c r="C56" s="6" t="s">
        <v>328</v>
      </c>
      <c r="D56" s="5" t="s">
        <v>33</v>
      </c>
      <c r="E56" s="7" t="s">
        <v>329</v>
      </c>
      <c r="F56" s="7" t="s">
        <v>330</v>
      </c>
      <c r="G56" s="5" t="s">
        <v>62</v>
      </c>
      <c r="H56" s="8">
        <v>1431815.84</v>
      </c>
      <c r="I56" s="7" t="s">
        <v>73</v>
      </c>
      <c r="J56" s="7" t="s">
        <v>74</v>
      </c>
      <c r="K56" s="7" t="s">
        <v>331</v>
      </c>
      <c r="L56" s="9" t="s">
        <v>332</v>
      </c>
      <c r="M56" s="10">
        <v>45303</v>
      </c>
      <c r="N56" s="7" t="s">
        <v>41</v>
      </c>
      <c r="O56" s="7"/>
      <c r="P56" s="7"/>
      <c r="Q56" s="1">
        <v>340</v>
      </c>
      <c r="R56" s="1">
        <v>178</v>
      </c>
      <c r="S56" s="1">
        <v>272</v>
      </c>
      <c r="T56" s="1">
        <v>288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f>COUNT(Q56:AD56)</f>
        <v>4</v>
      </c>
      <c r="AF56" s="1">
        <f t="shared" si="0"/>
        <v>269.5</v>
      </c>
      <c r="AG56" s="11" t="str">
        <f t="shared" si="1"/>
        <v>APROVADO</v>
      </c>
    </row>
    <row r="57" spans="2:33" ht="25.5" hidden="1" x14ac:dyDescent="0.25">
      <c r="B57" s="5">
        <v>53</v>
      </c>
      <c r="C57" s="6" t="s">
        <v>333</v>
      </c>
      <c r="D57" s="5" t="s">
        <v>33</v>
      </c>
      <c r="E57" s="5" t="s">
        <v>334</v>
      </c>
      <c r="F57" s="5" t="s">
        <v>335</v>
      </c>
      <c r="G57" s="7" t="s">
        <v>336</v>
      </c>
      <c r="H57" s="8">
        <v>1111410.1299999999</v>
      </c>
      <c r="I57" s="7" t="s">
        <v>73</v>
      </c>
      <c r="J57" s="7" t="s">
        <v>74</v>
      </c>
      <c r="K57" s="7" t="s">
        <v>337</v>
      </c>
      <c r="L57" s="9" t="s">
        <v>338</v>
      </c>
      <c r="M57" s="10">
        <v>45303</v>
      </c>
      <c r="N57" s="5" t="s">
        <v>67</v>
      </c>
      <c r="O57" s="7" t="s">
        <v>68</v>
      </c>
      <c r="P57" s="7"/>
      <c r="Q57" s="1">
        <v>284</v>
      </c>
      <c r="R57" s="1"/>
      <c r="S57" s="1">
        <v>246</v>
      </c>
      <c r="T57" s="1">
        <v>172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>
        <f>COUNT(Q57:AD57)</f>
        <v>3</v>
      </c>
      <c r="AF57" s="1">
        <f t="shared" si="0"/>
        <v>234</v>
      </c>
      <c r="AG57" s="11" t="str">
        <f t="shared" si="1"/>
        <v>APROVADO</v>
      </c>
    </row>
    <row r="58" spans="2:33" ht="25.5" hidden="1" x14ac:dyDescent="0.25">
      <c r="B58" s="5">
        <v>54</v>
      </c>
      <c r="C58" s="6" t="s">
        <v>339</v>
      </c>
      <c r="D58" s="5" t="s">
        <v>33</v>
      </c>
      <c r="E58" s="7" t="s">
        <v>340</v>
      </c>
      <c r="F58" s="7" t="s">
        <v>341</v>
      </c>
      <c r="G58" s="7" t="s">
        <v>36</v>
      </c>
      <c r="H58" s="8">
        <v>88952.51</v>
      </c>
      <c r="I58" s="7" t="s">
        <v>342</v>
      </c>
      <c r="J58" s="7" t="s">
        <v>235</v>
      </c>
      <c r="K58" s="7" t="s">
        <v>343</v>
      </c>
      <c r="L58" s="9" t="s">
        <v>344</v>
      </c>
      <c r="M58" s="10">
        <v>45306</v>
      </c>
      <c r="N58" s="7" t="s">
        <v>41</v>
      </c>
      <c r="O58" s="7"/>
      <c r="P58" s="7"/>
      <c r="Q58" s="1">
        <v>340</v>
      </c>
      <c r="R58" s="1">
        <v>213</v>
      </c>
      <c r="S58" s="1">
        <v>246</v>
      </c>
      <c r="T58" s="1">
        <v>290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>
        <f>COUNT(Q58:AD58)</f>
        <v>4</v>
      </c>
      <c r="AF58" s="1">
        <f t="shared" si="0"/>
        <v>272.25</v>
      </c>
      <c r="AG58" s="11" t="str">
        <f t="shared" si="1"/>
        <v>APROVADO</v>
      </c>
    </row>
    <row r="59" spans="2:33" ht="25.5" hidden="1" x14ac:dyDescent="0.25">
      <c r="B59" s="5">
        <v>55</v>
      </c>
      <c r="C59" s="6" t="s">
        <v>345</v>
      </c>
      <c r="D59" s="5" t="s">
        <v>33</v>
      </c>
      <c r="E59" s="7" t="s">
        <v>172</v>
      </c>
      <c r="F59" s="7" t="s">
        <v>346</v>
      </c>
      <c r="G59" s="7" t="s">
        <v>174</v>
      </c>
      <c r="H59" s="8">
        <v>388555.13</v>
      </c>
      <c r="I59" s="7" t="s">
        <v>347</v>
      </c>
      <c r="J59" s="7" t="s">
        <v>348</v>
      </c>
      <c r="K59" s="7" t="s">
        <v>349</v>
      </c>
      <c r="L59" s="23" t="s">
        <v>350</v>
      </c>
      <c r="M59" s="10">
        <v>45306</v>
      </c>
      <c r="N59" s="7" t="s">
        <v>67</v>
      </c>
      <c r="O59" s="7" t="s">
        <v>98</v>
      </c>
      <c r="P59" s="7"/>
      <c r="Q59" s="1"/>
      <c r="R59" s="1">
        <v>111</v>
      </c>
      <c r="S59" s="1"/>
      <c r="T59" s="1"/>
      <c r="U59" s="1"/>
      <c r="V59" s="1"/>
      <c r="W59" s="1"/>
      <c r="X59" s="1">
        <v>300</v>
      </c>
      <c r="Y59" s="1">
        <v>324</v>
      </c>
      <c r="Z59" s="1"/>
      <c r="AA59" s="1"/>
      <c r="AB59" s="1"/>
      <c r="AC59" s="1"/>
      <c r="AD59" s="1"/>
      <c r="AE59" s="1">
        <f>COUNT(Q59:AD59)</f>
        <v>3</v>
      </c>
      <c r="AF59" s="1">
        <f t="shared" si="0"/>
        <v>245</v>
      </c>
      <c r="AG59" s="11" t="str">
        <f t="shared" si="1"/>
        <v>APROVADO</v>
      </c>
    </row>
    <row r="60" spans="2:33" ht="25.5" hidden="1" x14ac:dyDescent="0.25">
      <c r="B60" s="5">
        <v>56</v>
      </c>
      <c r="C60" s="6" t="s">
        <v>351</v>
      </c>
      <c r="D60" s="5" t="s">
        <v>33</v>
      </c>
      <c r="E60" s="7" t="s">
        <v>172</v>
      </c>
      <c r="F60" s="7" t="s">
        <v>352</v>
      </c>
      <c r="G60" s="7" t="s">
        <v>36</v>
      </c>
      <c r="H60" s="8">
        <v>259202</v>
      </c>
      <c r="I60" s="7" t="s">
        <v>347</v>
      </c>
      <c r="J60" s="7" t="s">
        <v>348</v>
      </c>
      <c r="K60" s="7" t="s">
        <v>349</v>
      </c>
      <c r="L60" s="23" t="s">
        <v>350</v>
      </c>
      <c r="M60" s="10">
        <v>45306</v>
      </c>
      <c r="N60" s="7" t="s">
        <v>67</v>
      </c>
      <c r="O60" s="7" t="s">
        <v>98</v>
      </c>
      <c r="P60" s="7"/>
      <c r="Q60" s="1"/>
      <c r="R60" s="1">
        <v>108</v>
      </c>
      <c r="S60" s="1"/>
      <c r="T60" s="1"/>
      <c r="U60" s="1"/>
      <c r="V60" s="1">
        <v>278</v>
      </c>
      <c r="W60" s="1">
        <v>39</v>
      </c>
      <c r="X60" s="1"/>
      <c r="Y60" s="1"/>
      <c r="Z60" s="1"/>
      <c r="AA60" s="1"/>
      <c r="AB60" s="1"/>
      <c r="AC60" s="1"/>
      <c r="AD60" s="1"/>
      <c r="AE60" s="1"/>
      <c r="AF60" s="1">
        <f t="shared" si="0"/>
        <v>141.66666666666666</v>
      </c>
      <c r="AG60" s="11" t="str">
        <f t="shared" si="1"/>
        <v>REPROVADO</v>
      </c>
    </row>
    <row r="61" spans="2:33" hidden="1" x14ac:dyDescent="0.25">
      <c r="B61" s="5">
        <v>57</v>
      </c>
      <c r="C61" s="6" t="s">
        <v>353</v>
      </c>
      <c r="D61" s="5" t="s">
        <v>51</v>
      </c>
      <c r="E61" s="7" t="s">
        <v>354</v>
      </c>
      <c r="F61" s="7" t="s">
        <v>221</v>
      </c>
      <c r="G61" s="7" t="s">
        <v>107</v>
      </c>
      <c r="H61" s="8">
        <v>473200</v>
      </c>
      <c r="I61" s="12" t="s">
        <v>347</v>
      </c>
      <c r="J61" s="7" t="s">
        <v>348</v>
      </c>
      <c r="K61" s="7" t="s">
        <v>355</v>
      </c>
      <c r="L61" s="7" t="s">
        <v>286</v>
      </c>
      <c r="M61" s="10">
        <v>45306</v>
      </c>
      <c r="N61" s="7" t="s">
        <v>41</v>
      </c>
      <c r="O61" s="7"/>
      <c r="P61" s="13"/>
      <c r="Q61" s="1">
        <v>298</v>
      </c>
      <c r="R61" s="1">
        <v>82</v>
      </c>
      <c r="S61" s="1"/>
      <c r="T61" s="1">
        <v>76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>
        <f t="shared" si="0"/>
        <v>152</v>
      </c>
      <c r="AG61" s="11" t="str">
        <f t="shared" si="1"/>
        <v>REPROVADO</v>
      </c>
    </row>
    <row r="62" spans="2:33" hidden="1" x14ac:dyDescent="0.25">
      <c r="B62" s="5">
        <v>58</v>
      </c>
      <c r="C62" s="24" t="s">
        <v>356</v>
      </c>
      <c r="D62" s="5" t="s">
        <v>51</v>
      </c>
      <c r="E62" s="7" t="s">
        <v>354</v>
      </c>
      <c r="F62" s="7" t="s">
        <v>357</v>
      </c>
      <c r="G62" s="7" t="s">
        <v>62</v>
      </c>
      <c r="H62" s="8">
        <v>39973</v>
      </c>
      <c r="I62" s="12" t="s">
        <v>347</v>
      </c>
      <c r="J62" s="7" t="s">
        <v>348</v>
      </c>
      <c r="K62" s="7" t="s">
        <v>355</v>
      </c>
      <c r="L62" s="7" t="s">
        <v>358</v>
      </c>
      <c r="M62" s="10">
        <v>45306</v>
      </c>
      <c r="N62" s="7" t="s">
        <v>57</v>
      </c>
      <c r="O62" s="7" t="s">
        <v>359</v>
      </c>
      <c r="P62" s="13"/>
      <c r="Q62" s="1">
        <v>340</v>
      </c>
      <c r="R62" s="1">
        <v>103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>
        <v>340</v>
      </c>
      <c r="AD62" s="1"/>
      <c r="AE62" s="1">
        <f t="shared" ref="AE62:AE73" si="4">COUNT(Q62:AD62)</f>
        <v>3</v>
      </c>
      <c r="AF62" s="1">
        <f t="shared" si="0"/>
        <v>261</v>
      </c>
      <c r="AG62" s="11" t="str">
        <f t="shared" si="1"/>
        <v>APROVADO</v>
      </c>
    </row>
    <row r="63" spans="2:33" hidden="1" x14ac:dyDescent="0.25">
      <c r="B63" s="5">
        <v>59</v>
      </c>
      <c r="C63" s="6" t="s">
        <v>360</v>
      </c>
      <c r="D63" s="5" t="s">
        <v>51</v>
      </c>
      <c r="E63" s="7" t="s">
        <v>354</v>
      </c>
      <c r="F63" s="7" t="s">
        <v>361</v>
      </c>
      <c r="G63" s="7" t="s">
        <v>62</v>
      </c>
      <c r="H63" s="8">
        <v>649980</v>
      </c>
      <c r="I63" s="12" t="s">
        <v>347</v>
      </c>
      <c r="J63" s="7" t="s">
        <v>348</v>
      </c>
      <c r="K63" s="7" t="s">
        <v>355</v>
      </c>
      <c r="L63" s="7" t="s">
        <v>358</v>
      </c>
      <c r="M63" s="10">
        <v>45306</v>
      </c>
      <c r="N63" s="7" t="s">
        <v>57</v>
      </c>
      <c r="O63" s="7" t="s">
        <v>359</v>
      </c>
      <c r="P63" s="13"/>
      <c r="Q63" s="1">
        <v>340</v>
      </c>
      <c r="R63" s="1">
        <v>103</v>
      </c>
      <c r="S63" s="1"/>
      <c r="T63" s="1"/>
      <c r="U63" s="1"/>
      <c r="V63" s="1">
        <v>340</v>
      </c>
      <c r="W63" s="1"/>
      <c r="X63" s="1"/>
      <c r="Y63" s="1"/>
      <c r="Z63" s="1"/>
      <c r="AA63" s="1"/>
      <c r="AB63" s="1"/>
      <c r="AC63" s="1"/>
      <c r="AD63" s="1"/>
      <c r="AE63" s="1">
        <f t="shared" si="4"/>
        <v>3</v>
      </c>
      <c r="AF63" s="1">
        <f t="shared" si="0"/>
        <v>261</v>
      </c>
      <c r="AG63" s="11" t="str">
        <f t="shared" si="1"/>
        <v>APROVADO</v>
      </c>
    </row>
    <row r="64" spans="2:33" hidden="1" x14ac:dyDescent="0.25">
      <c r="B64" s="5">
        <v>60</v>
      </c>
      <c r="C64" s="6" t="s">
        <v>362</v>
      </c>
      <c r="D64" s="5" t="s">
        <v>51</v>
      </c>
      <c r="E64" s="7" t="s">
        <v>354</v>
      </c>
      <c r="F64" s="7" t="s">
        <v>363</v>
      </c>
      <c r="G64" s="7" t="s">
        <v>62</v>
      </c>
      <c r="H64" s="8">
        <v>450000</v>
      </c>
      <c r="I64" s="12" t="s">
        <v>347</v>
      </c>
      <c r="J64" s="7" t="s">
        <v>348</v>
      </c>
      <c r="K64" s="7" t="s">
        <v>355</v>
      </c>
      <c r="L64" s="7" t="s">
        <v>358</v>
      </c>
      <c r="M64" s="10">
        <v>45306</v>
      </c>
      <c r="N64" s="7" t="s">
        <v>57</v>
      </c>
      <c r="O64" s="7" t="s">
        <v>359</v>
      </c>
      <c r="P64" s="13"/>
      <c r="Q64" s="1">
        <v>324</v>
      </c>
      <c r="R64" s="1">
        <v>111</v>
      </c>
      <c r="S64" s="1"/>
      <c r="T64" s="1"/>
      <c r="U64" s="1"/>
      <c r="V64" s="1"/>
      <c r="W64" s="1">
        <v>340</v>
      </c>
      <c r="X64" s="1"/>
      <c r="Y64" s="1"/>
      <c r="Z64" s="1"/>
      <c r="AA64" s="1"/>
      <c r="AB64" s="1"/>
      <c r="AC64" s="1"/>
      <c r="AD64" s="1"/>
      <c r="AE64" s="1">
        <f t="shared" si="4"/>
        <v>3</v>
      </c>
      <c r="AF64" s="1">
        <f t="shared" si="0"/>
        <v>258.33333333333331</v>
      </c>
      <c r="AG64" s="11" t="str">
        <f t="shared" si="1"/>
        <v>APROVADO</v>
      </c>
    </row>
    <row r="65" spans="2:33" ht="25.5" hidden="1" x14ac:dyDescent="0.25">
      <c r="B65" s="5">
        <v>61</v>
      </c>
      <c r="C65" s="6" t="s">
        <v>364</v>
      </c>
      <c r="D65" s="5" t="s">
        <v>33</v>
      </c>
      <c r="E65" s="7" t="s">
        <v>172</v>
      </c>
      <c r="F65" s="7" t="s">
        <v>365</v>
      </c>
      <c r="G65" s="7" t="s">
        <v>36</v>
      </c>
      <c r="H65" s="8">
        <v>50000</v>
      </c>
      <c r="I65" s="7" t="s">
        <v>366</v>
      </c>
      <c r="J65" s="7" t="s">
        <v>115</v>
      </c>
      <c r="K65" s="7" t="s">
        <v>367</v>
      </c>
      <c r="L65" s="9" t="s">
        <v>368</v>
      </c>
      <c r="M65" s="10">
        <v>45306</v>
      </c>
      <c r="N65" s="7" t="s">
        <v>67</v>
      </c>
      <c r="O65" s="7" t="s">
        <v>369</v>
      </c>
      <c r="P65" s="7"/>
      <c r="Q65" s="1"/>
      <c r="R65" s="1">
        <v>188</v>
      </c>
      <c r="S65" s="1"/>
      <c r="T65" s="1"/>
      <c r="U65" s="1"/>
      <c r="V65" s="1"/>
      <c r="W65" s="1"/>
      <c r="X65" s="1">
        <v>340</v>
      </c>
      <c r="Y65" s="1">
        <v>340</v>
      </c>
      <c r="Z65" s="1"/>
      <c r="AA65" s="1"/>
      <c r="AB65" s="1"/>
      <c r="AC65" s="1"/>
      <c r="AD65" s="1"/>
      <c r="AE65" s="1">
        <f t="shared" si="4"/>
        <v>3</v>
      </c>
      <c r="AF65" s="1">
        <f t="shared" si="0"/>
        <v>289.33333333333331</v>
      </c>
      <c r="AG65" s="11" t="str">
        <f t="shared" si="1"/>
        <v>APROVADO</v>
      </c>
    </row>
    <row r="66" spans="2:33" ht="25.5" hidden="1" x14ac:dyDescent="0.25">
      <c r="B66" s="5">
        <v>62</v>
      </c>
      <c r="C66" s="6" t="s">
        <v>370</v>
      </c>
      <c r="D66" s="5" t="s">
        <v>33</v>
      </c>
      <c r="E66" s="7" t="s">
        <v>371</v>
      </c>
      <c r="F66" s="7" t="s">
        <v>372</v>
      </c>
      <c r="G66" s="7" t="s">
        <v>36</v>
      </c>
      <c r="H66" s="8">
        <v>34150</v>
      </c>
      <c r="I66" s="7" t="s">
        <v>366</v>
      </c>
      <c r="J66" s="7" t="s">
        <v>115</v>
      </c>
      <c r="K66" s="7" t="s">
        <v>373</v>
      </c>
      <c r="L66" s="9" t="s">
        <v>374</v>
      </c>
      <c r="M66" s="10">
        <v>45306</v>
      </c>
      <c r="N66" s="7" t="s">
        <v>67</v>
      </c>
      <c r="O66" s="7" t="s">
        <v>375</v>
      </c>
      <c r="P66" s="7"/>
      <c r="Q66" s="1">
        <v>340</v>
      </c>
      <c r="R66" s="1">
        <v>207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>
        <v>340</v>
      </c>
      <c r="AE66" s="1">
        <f t="shared" si="4"/>
        <v>3</v>
      </c>
      <c r="AF66" s="1">
        <f t="shared" si="0"/>
        <v>295.66666666666669</v>
      </c>
      <c r="AG66" s="11" t="str">
        <f t="shared" si="1"/>
        <v>APROVADO</v>
      </c>
    </row>
    <row r="67" spans="2:33" ht="25.5" hidden="1" x14ac:dyDescent="0.25">
      <c r="B67" s="5">
        <v>63</v>
      </c>
      <c r="C67" s="6" t="s">
        <v>376</v>
      </c>
      <c r="D67" s="5" t="s">
        <v>33</v>
      </c>
      <c r="E67" s="7" t="s">
        <v>172</v>
      </c>
      <c r="F67" s="7" t="s">
        <v>377</v>
      </c>
      <c r="G67" s="7" t="s">
        <v>36</v>
      </c>
      <c r="H67" s="8">
        <v>67450</v>
      </c>
      <c r="I67" s="7" t="s">
        <v>378</v>
      </c>
      <c r="J67" s="7" t="s">
        <v>115</v>
      </c>
      <c r="K67" s="7" t="s">
        <v>379</v>
      </c>
      <c r="L67" s="9" t="s">
        <v>380</v>
      </c>
      <c r="M67" s="10">
        <v>45306</v>
      </c>
      <c r="N67" s="7" t="s">
        <v>41</v>
      </c>
      <c r="O67" s="7"/>
      <c r="P67" s="7"/>
      <c r="Q67" s="1">
        <v>340</v>
      </c>
      <c r="R67" s="1">
        <v>239</v>
      </c>
      <c r="S67" s="1">
        <v>235</v>
      </c>
      <c r="T67" s="1">
        <v>237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>
        <f t="shared" si="4"/>
        <v>4</v>
      </c>
      <c r="AF67" s="1">
        <f t="shared" si="0"/>
        <v>262.75</v>
      </c>
      <c r="AG67" s="11" t="str">
        <f t="shared" si="1"/>
        <v>APROVADO</v>
      </c>
    </row>
    <row r="68" spans="2:33" hidden="1" x14ac:dyDescent="0.25">
      <c r="B68" s="5">
        <v>64</v>
      </c>
      <c r="C68" s="6" t="s">
        <v>381</v>
      </c>
      <c r="D68" s="5" t="s">
        <v>33</v>
      </c>
      <c r="E68" s="7" t="s">
        <v>382</v>
      </c>
      <c r="F68" s="7" t="s">
        <v>383</v>
      </c>
      <c r="G68" s="7" t="s">
        <v>36</v>
      </c>
      <c r="H68" s="8">
        <v>100000</v>
      </c>
      <c r="I68" s="7" t="s">
        <v>384</v>
      </c>
      <c r="J68" s="7" t="s">
        <v>348</v>
      </c>
      <c r="K68" s="7" t="s">
        <v>385</v>
      </c>
      <c r="L68" s="9" t="s">
        <v>386</v>
      </c>
      <c r="M68" s="10">
        <v>45306</v>
      </c>
      <c r="N68" s="7" t="s">
        <v>41</v>
      </c>
      <c r="O68" s="7"/>
      <c r="P68" s="7"/>
      <c r="Q68" s="1">
        <v>340</v>
      </c>
      <c r="R68" s="1">
        <v>272</v>
      </c>
      <c r="S68" s="1">
        <v>271</v>
      </c>
      <c r="T68" s="1">
        <v>301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>
        <f t="shared" si="4"/>
        <v>4</v>
      </c>
      <c r="AF68" s="1">
        <f t="shared" si="0"/>
        <v>296</v>
      </c>
      <c r="AG68" s="11" t="str">
        <f t="shared" si="1"/>
        <v>APROVADO</v>
      </c>
    </row>
    <row r="69" spans="2:33" ht="25.5" hidden="1" x14ac:dyDescent="0.25">
      <c r="B69" s="5">
        <v>65</v>
      </c>
      <c r="C69" s="6" t="s">
        <v>387</v>
      </c>
      <c r="D69" s="5" t="s">
        <v>33</v>
      </c>
      <c r="E69" s="7" t="s">
        <v>388</v>
      </c>
      <c r="F69" s="7" t="s">
        <v>389</v>
      </c>
      <c r="G69" s="7" t="s">
        <v>107</v>
      </c>
      <c r="H69" s="8">
        <v>208890</v>
      </c>
      <c r="I69" s="7" t="s">
        <v>390</v>
      </c>
      <c r="J69" s="7" t="s">
        <v>391</v>
      </c>
      <c r="K69" s="7" t="s">
        <v>392</v>
      </c>
      <c r="L69" s="9" t="s">
        <v>393</v>
      </c>
      <c r="M69" s="10">
        <v>45306</v>
      </c>
      <c r="N69" s="7" t="s">
        <v>41</v>
      </c>
      <c r="O69" s="7"/>
      <c r="P69" s="7"/>
      <c r="Q69" s="1">
        <v>299</v>
      </c>
      <c r="R69" s="1">
        <v>272</v>
      </c>
      <c r="S69" s="1">
        <v>281</v>
      </c>
      <c r="T69" s="1">
        <v>271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>
        <f t="shared" si="4"/>
        <v>4</v>
      </c>
      <c r="AF69" s="1">
        <f t="shared" ref="AF69:AF132" si="5">AVERAGE(Q69:AD69)</f>
        <v>280.75</v>
      </c>
      <c r="AG69" s="11" t="str">
        <f t="shared" ref="AG69:AG132" si="6">IF(AF69&gt;=$AG$1,"APROVADO","REPROVADO")</f>
        <v>APROVADO</v>
      </c>
    </row>
    <row r="70" spans="2:33" ht="25.5" hidden="1" x14ac:dyDescent="0.25">
      <c r="B70" s="5">
        <v>66</v>
      </c>
      <c r="C70" s="6" t="s">
        <v>394</v>
      </c>
      <c r="D70" s="5" t="s">
        <v>33</v>
      </c>
      <c r="E70" s="7" t="s">
        <v>395</v>
      </c>
      <c r="F70" s="7" t="s">
        <v>396</v>
      </c>
      <c r="G70" s="7" t="s">
        <v>107</v>
      </c>
      <c r="H70" s="8">
        <v>49800</v>
      </c>
      <c r="I70" s="7" t="s">
        <v>397</v>
      </c>
      <c r="J70" s="7" t="s">
        <v>38</v>
      </c>
      <c r="K70" s="7" t="s">
        <v>398</v>
      </c>
      <c r="L70" s="9" t="s">
        <v>399</v>
      </c>
      <c r="M70" s="10">
        <v>45306</v>
      </c>
      <c r="N70" s="7" t="s">
        <v>67</v>
      </c>
      <c r="O70" s="7" t="s">
        <v>98</v>
      </c>
      <c r="P70" s="7"/>
      <c r="Q70" s="1"/>
      <c r="R70" s="1">
        <v>191</v>
      </c>
      <c r="S70" s="1"/>
      <c r="T70" s="1"/>
      <c r="U70" s="1"/>
      <c r="V70" s="1"/>
      <c r="W70" s="1"/>
      <c r="X70" s="1">
        <v>321</v>
      </c>
      <c r="Y70" s="1">
        <v>340</v>
      </c>
      <c r="Z70" s="1"/>
      <c r="AA70" s="1"/>
      <c r="AB70" s="1"/>
      <c r="AC70" s="1"/>
      <c r="AD70" s="1"/>
      <c r="AE70" s="1">
        <f t="shared" si="4"/>
        <v>3</v>
      </c>
      <c r="AF70" s="1">
        <f t="shared" si="5"/>
        <v>284</v>
      </c>
      <c r="AG70" s="11" t="str">
        <f t="shared" si="6"/>
        <v>APROVADO</v>
      </c>
    </row>
    <row r="71" spans="2:33" hidden="1" x14ac:dyDescent="0.25">
      <c r="B71" s="5">
        <v>67</v>
      </c>
      <c r="C71" s="6" t="s">
        <v>400</v>
      </c>
      <c r="D71" s="5" t="s">
        <v>51</v>
      </c>
      <c r="E71" s="7" t="s">
        <v>401</v>
      </c>
      <c r="F71" s="7" t="s">
        <v>402</v>
      </c>
      <c r="G71" s="7" t="s">
        <v>36</v>
      </c>
      <c r="H71" s="8">
        <v>188300</v>
      </c>
      <c r="I71" s="12" t="s">
        <v>403</v>
      </c>
      <c r="J71" s="7" t="s">
        <v>154</v>
      </c>
      <c r="K71" s="7" t="s">
        <v>404</v>
      </c>
      <c r="L71" s="25" t="s">
        <v>358</v>
      </c>
      <c r="M71" s="26">
        <v>45306</v>
      </c>
      <c r="N71" s="13" t="s">
        <v>57</v>
      </c>
      <c r="O71" s="14" t="s">
        <v>89</v>
      </c>
      <c r="P71" s="13"/>
      <c r="Q71" s="1">
        <v>235</v>
      </c>
      <c r="R71" s="1"/>
      <c r="S71" s="1"/>
      <c r="T71" s="1"/>
      <c r="U71" s="1"/>
      <c r="V71" s="1">
        <v>213</v>
      </c>
      <c r="W71" s="1">
        <v>212</v>
      </c>
      <c r="X71" s="1"/>
      <c r="Y71" s="1"/>
      <c r="Z71" s="1"/>
      <c r="AA71" s="1"/>
      <c r="AB71" s="1"/>
      <c r="AC71" s="1"/>
      <c r="AD71" s="1"/>
      <c r="AE71" s="1">
        <f t="shared" si="4"/>
        <v>3</v>
      </c>
      <c r="AF71" s="1">
        <f t="shared" si="5"/>
        <v>220</v>
      </c>
      <c r="AG71" s="11" t="str">
        <f t="shared" si="6"/>
        <v>APROVADO</v>
      </c>
    </row>
    <row r="72" spans="2:33" ht="51" hidden="1" x14ac:dyDescent="0.25">
      <c r="B72" s="5">
        <v>68</v>
      </c>
      <c r="C72" s="27" t="s">
        <v>405</v>
      </c>
      <c r="D72" s="5" t="s">
        <v>33</v>
      </c>
      <c r="E72" s="7" t="s">
        <v>406</v>
      </c>
      <c r="F72" s="7" t="s">
        <v>407</v>
      </c>
      <c r="G72" s="7" t="s">
        <v>107</v>
      </c>
      <c r="H72" s="8">
        <v>68680</v>
      </c>
      <c r="I72" s="7" t="s">
        <v>108</v>
      </c>
      <c r="J72" s="7" t="s">
        <v>95</v>
      </c>
      <c r="K72" s="7" t="s">
        <v>408</v>
      </c>
      <c r="L72" s="9" t="s">
        <v>409</v>
      </c>
      <c r="M72" s="10">
        <v>45306</v>
      </c>
      <c r="N72" s="7" t="s">
        <v>41</v>
      </c>
      <c r="O72" s="7"/>
      <c r="P72" s="7"/>
      <c r="Q72" s="1">
        <v>276</v>
      </c>
      <c r="R72" s="1">
        <v>188</v>
      </c>
      <c r="S72" s="1"/>
      <c r="T72" s="1"/>
      <c r="U72" s="1"/>
      <c r="V72" s="1"/>
      <c r="W72" s="1"/>
      <c r="X72" s="1"/>
      <c r="Y72" s="1"/>
      <c r="Z72" s="1"/>
      <c r="AA72" s="1"/>
      <c r="AB72" s="1">
        <v>269</v>
      </c>
      <c r="AC72" s="1"/>
      <c r="AD72" s="1"/>
      <c r="AE72" s="1">
        <f t="shared" si="4"/>
        <v>3</v>
      </c>
      <c r="AF72" s="1">
        <f t="shared" si="5"/>
        <v>244.33333333333334</v>
      </c>
      <c r="AG72" s="11" t="str">
        <f t="shared" si="6"/>
        <v>APROVADO</v>
      </c>
    </row>
    <row r="73" spans="2:33" ht="25.5" hidden="1" x14ac:dyDescent="0.25">
      <c r="B73" s="5">
        <v>69</v>
      </c>
      <c r="C73" s="6" t="s">
        <v>410</v>
      </c>
      <c r="D73" s="5" t="s">
        <v>33</v>
      </c>
      <c r="E73" s="7" t="s">
        <v>411</v>
      </c>
      <c r="F73" s="7" t="s">
        <v>412</v>
      </c>
      <c r="G73" s="7" t="s">
        <v>36</v>
      </c>
      <c r="H73" s="8">
        <v>44934</v>
      </c>
      <c r="I73" s="7" t="s">
        <v>413</v>
      </c>
      <c r="J73" s="7" t="s">
        <v>47</v>
      </c>
      <c r="K73" s="7" t="s">
        <v>414</v>
      </c>
      <c r="L73" s="23" t="s">
        <v>415</v>
      </c>
      <c r="M73" s="10">
        <v>45306</v>
      </c>
      <c r="N73" s="7" t="s">
        <v>67</v>
      </c>
      <c r="O73" s="7" t="s">
        <v>98</v>
      </c>
      <c r="P73" s="7" t="s">
        <v>416</v>
      </c>
      <c r="Q73" s="1"/>
      <c r="R73" s="1">
        <v>212</v>
      </c>
      <c r="S73" s="1"/>
      <c r="T73" s="1"/>
      <c r="U73" s="1"/>
      <c r="V73" s="1"/>
      <c r="W73" s="1"/>
      <c r="X73" s="1">
        <v>307</v>
      </c>
      <c r="Y73" s="1">
        <v>298</v>
      </c>
      <c r="Z73" s="1"/>
      <c r="AA73" s="1"/>
      <c r="AB73" s="1"/>
      <c r="AC73" s="1"/>
      <c r="AD73" s="1"/>
      <c r="AE73" s="1">
        <f t="shared" si="4"/>
        <v>3</v>
      </c>
      <c r="AF73" s="1">
        <f t="shared" si="5"/>
        <v>272.33333333333331</v>
      </c>
      <c r="AG73" s="11" t="str">
        <f t="shared" si="6"/>
        <v>APROVADO</v>
      </c>
    </row>
    <row r="74" spans="2:33" ht="25.5" hidden="1" x14ac:dyDescent="0.25">
      <c r="B74" s="5">
        <v>70</v>
      </c>
      <c r="C74" s="16" t="s">
        <v>417</v>
      </c>
      <c r="D74" s="5" t="s">
        <v>33</v>
      </c>
      <c r="E74" s="7" t="s">
        <v>411</v>
      </c>
      <c r="F74" s="7" t="s">
        <v>418</v>
      </c>
      <c r="G74" s="7" t="s">
        <v>36</v>
      </c>
      <c r="H74" s="8">
        <v>38337</v>
      </c>
      <c r="I74" s="7" t="s">
        <v>413</v>
      </c>
      <c r="J74" s="7" t="s">
        <v>47</v>
      </c>
      <c r="K74" s="7" t="s">
        <v>414</v>
      </c>
      <c r="L74" s="23" t="s">
        <v>415</v>
      </c>
      <c r="M74" s="10">
        <v>45306</v>
      </c>
      <c r="N74" s="7" t="s">
        <v>82</v>
      </c>
      <c r="O74" s="7" t="s">
        <v>419</v>
      </c>
      <c r="P74" s="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 t="e">
        <f t="shared" si="5"/>
        <v>#DIV/0!</v>
      </c>
      <c r="AG74" s="11" t="e">
        <f t="shared" si="6"/>
        <v>#DIV/0!</v>
      </c>
    </row>
    <row r="75" spans="2:33" ht="25.5" hidden="1" x14ac:dyDescent="0.25">
      <c r="B75" s="5">
        <v>71</v>
      </c>
      <c r="C75" s="16" t="s">
        <v>420</v>
      </c>
      <c r="D75" s="5" t="s">
        <v>33</v>
      </c>
      <c r="E75" s="7" t="s">
        <v>411</v>
      </c>
      <c r="F75" s="7" t="s">
        <v>421</v>
      </c>
      <c r="G75" s="7" t="s">
        <v>36</v>
      </c>
      <c r="H75" s="8">
        <v>78212</v>
      </c>
      <c r="I75" s="7" t="s">
        <v>413</v>
      </c>
      <c r="J75" s="7" t="s">
        <v>47</v>
      </c>
      <c r="K75" s="7" t="s">
        <v>414</v>
      </c>
      <c r="L75" s="23" t="s">
        <v>415</v>
      </c>
      <c r="M75" s="10">
        <v>45306</v>
      </c>
      <c r="N75" s="7" t="s">
        <v>82</v>
      </c>
      <c r="O75" s="7" t="s">
        <v>419</v>
      </c>
      <c r="P75" s="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 t="e">
        <f t="shared" si="5"/>
        <v>#DIV/0!</v>
      </c>
      <c r="AG75" s="11" t="e">
        <f t="shared" si="6"/>
        <v>#DIV/0!</v>
      </c>
    </row>
    <row r="76" spans="2:33" hidden="1" x14ac:dyDescent="0.25">
      <c r="B76" s="5">
        <v>72</v>
      </c>
      <c r="C76" s="27" t="s">
        <v>422</v>
      </c>
      <c r="D76" s="5" t="s">
        <v>33</v>
      </c>
      <c r="E76" s="7" t="s">
        <v>423</v>
      </c>
      <c r="F76" s="7" t="s">
        <v>424</v>
      </c>
      <c r="G76" s="7" t="s">
        <v>36</v>
      </c>
      <c r="H76" s="8">
        <v>360000</v>
      </c>
      <c r="I76" s="7" t="s">
        <v>425</v>
      </c>
      <c r="J76" s="7" t="s">
        <v>348</v>
      </c>
      <c r="K76" s="7" t="s">
        <v>426</v>
      </c>
      <c r="L76" s="9" t="s">
        <v>427</v>
      </c>
      <c r="M76" s="10">
        <v>45306</v>
      </c>
      <c r="N76" s="7" t="s">
        <v>41</v>
      </c>
      <c r="O76" s="7"/>
      <c r="P76" s="7"/>
      <c r="Q76" s="1">
        <v>324</v>
      </c>
      <c r="R76" s="1">
        <v>189</v>
      </c>
      <c r="S76" s="1">
        <v>274</v>
      </c>
      <c r="T76" s="1">
        <v>230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f>COUNT(Q76:AD76)</f>
        <v>4</v>
      </c>
      <c r="AF76" s="1">
        <f t="shared" si="5"/>
        <v>254.25</v>
      </c>
      <c r="AG76" s="11" t="str">
        <f t="shared" si="6"/>
        <v>APROVADO</v>
      </c>
    </row>
    <row r="77" spans="2:33" ht="63.75" hidden="1" x14ac:dyDescent="0.25">
      <c r="B77" s="5">
        <v>73</v>
      </c>
      <c r="C77" s="16" t="s">
        <v>428</v>
      </c>
      <c r="D77" s="5" t="s">
        <v>33</v>
      </c>
      <c r="E77" s="7" t="s">
        <v>429</v>
      </c>
      <c r="F77" s="7" t="s">
        <v>430</v>
      </c>
      <c r="G77" s="7" t="s">
        <v>107</v>
      </c>
      <c r="H77" s="8">
        <v>390000</v>
      </c>
      <c r="I77" s="7" t="s">
        <v>425</v>
      </c>
      <c r="J77" s="7" t="s">
        <v>348</v>
      </c>
      <c r="K77" s="7" t="s">
        <v>431</v>
      </c>
      <c r="L77" s="9" t="s">
        <v>432</v>
      </c>
      <c r="M77" s="10">
        <v>45306</v>
      </c>
      <c r="N77" s="7" t="s">
        <v>226</v>
      </c>
      <c r="O77" s="7" t="s">
        <v>433</v>
      </c>
      <c r="P77" s="7"/>
      <c r="Q77" s="1"/>
      <c r="R77" s="1">
        <v>34</v>
      </c>
      <c r="S77" s="1"/>
      <c r="T77" s="1"/>
      <c r="U77" s="1"/>
      <c r="V77" s="1"/>
      <c r="W77" s="1"/>
      <c r="X77" s="1"/>
      <c r="Y77" s="1"/>
      <c r="Z77" s="1"/>
      <c r="AA77" s="1"/>
      <c r="AB77" s="1">
        <v>0</v>
      </c>
      <c r="AC77" s="1"/>
      <c r="AD77" s="1"/>
      <c r="AE77" s="1"/>
      <c r="AF77" s="1">
        <f t="shared" si="5"/>
        <v>17</v>
      </c>
      <c r="AG77" s="11" t="str">
        <f t="shared" si="6"/>
        <v>REPROVADO</v>
      </c>
    </row>
    <row r="78" spans="2:33" hidden="1" x14ac:dyDescent="0.25">
      <c r="B78" s="5">
        <v>74</v>
      </c>
      <c r="C78" s="24" t="s">
        <v>434</v>
      </c>
      <c r="D78" s="5" t="s">
        <v>51</v>
      </c>
      <c r="E78" s="13" t="s">
        <v>435</v>
      </c>
      <c r="F78" s="13" t="s">
        <v>436</v>
      </c>
      <c r="G78" s="14" t="s">
        <v>36</v>
      </c>
      <c r="H78" s="28">
        <v>133070</v>
      </c>
      <c r="I78" s="29" t="s">
        <v>437</v>
      </c>
      <c r="J78" s="11" t="s">
        <v>47</v>
      </c>
      <c r="K78" s="13" t="s">
        <v>438</v>
      </c>
      <c r="L78" s="30" t="s">
        <v>439</v>
      </c>
      <c r="M78" s="26">
        <v>45306</v>
      </c>
      <c r="N78" s="13" t="s">
        <v>41</v>
      </c>
      <c r="O78" s="14"/>
      <c r="P78" s="13"/>
      <c r="Q78" s="1">
        <v>320</v>
      </c>
      <c r="R78" s="1">
        <v>189</v>
      </c>
      <c r="S78" s="1">
        <v>252</v>
      </c>
      <c r="T78" s="1">
        <v>215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>
        <f t="shared" ref="AE78:AE85" si="7">COUNT(Q78:AD78)</f>
        <v>4</v>
      </c>
      <c r="AF78" s="1">
        <f t="shared" si="5"/>
        <v>244</v>
      </c>
      <c r="AG78" s="11" t="str">
        <f t="shared" si="6"/>
        <v>APROVADO</v>
      </c>
    </row>
    <row r="79" spans="2:33" ht="38.25" hidden="1" x14ac:dyDescent="0.25">
      <c r="B79" s="5">
        <v>75</v>
      </c>
      <c r="C79" s="27" t="s">
        <v>440</v>
      </c>
      <c r="D79" s="5" t="s">
        <v>33</v>
      </c>
      <c r="E79" s="5" t="s">
        <v>441</v>
      </c>
      <c r="F79" s="5" t="s">
        <v>442</v>
      </c>
      <c r="G79" s="5" t="s">
        <v>443</v>
      </c>
      <c r="H79" s="17">
        <v>620100</v>
      </c>
      <c r="I79" s="5" t="s">
        <v>444</v>
      </c>
      <c r="J79" s="5" t="s">
        <v>445</v>
      </c>
      <c r="K79" s="5" t="s">
        <v>446</v>
      </c>
      <c r="L79" s="9" t="s">
        <v>447</v>
      </c>
      <c r="M79" s="10">
        <v>45306</v>
      </c>
      <c r="N79" s="5" t="s">
        <v>41</v>
      </c>
      <c r="O79" s="5"/>
      <c r="P79" s="5" t="s">
        <v>448</v>
      </c>
      <c r="Q79" s="1">
        <v>330</v>
      </c>
      <c r="R79" s="1">
        <v>187</v>
      </c>
      <c r="S79" s="1">
        <v>281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>
        <f t="shared" si="7"/>
        <v>3</v>
      </c>
      <c r="AF79" s="1">
        <f t="shared" si="5"/>
        <v>266</v>
      </c>
      <c r="AG79" s="11" t="str">
        <f t="shared" si="6"/>
        <v>APROVADO</v>
      </c>
    </row>
    <row r="80" spans="2:33" ht="38.25" hidden="1" x14ac:dyDescent="0.25">
      <c r="B80" s="5">
        <v>76</v>
      </c>
      <c r="C80" s="6" t="s">
        <v>449</v>
      </c>
      <c r="D80" s="5" t="s">
        <v>33</v>
      </c>
      <c r="E80" s="7" t="s">
        <v>450</v>
      </c>
      <c r="F80" s="7" t="s">
        <v>451</v>
      </c>
      <c r="G80" s="7" t="s">
        <v>36</v>
      </c>
      <c r="H80" s="8">
        <v>14757</v>
      </c>
      <c r="I80" s="7" t="s">
        <v>452</v>
      </c>
      <c r="J80" s="7" t="s">
        <v>453</v>
      </c>
      <c r="K80" s="7" t="s">
        <v>454</v>
      </c>
      <c r="L80" s="31" t="s">
        <v>455</v>
      </c>
      <c r="M80" s="10">
        <v>45307</v>
      </c>
      <c r="N80" s="7" t="s">
        <v>67</v>
      </c>
      <c r="O80" s="7" t="s">
        <v>184</v>
      </c>
      <c r="P80" s="20"/>
      <c r="Q80" s="1">
        <v>340</v>
      </c>
      <c r="R80" s="1">
        <v>245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>
        <v>340</v>
      </c>
      <c r="AE80" s="1">
        <f t="shared" si="7"/>
        <v>3</v>
      </c>
      <c r="AF80" s="1">
        <f t="shared" si="5"/>
        <v>308.33333333333331</v>
      </c>
      <c r="AG80" s="11" t="str">
        <f t="shared" si="6"/>
        <v>APROVADO</v>
      </c>
    </row>
    <row r="81" spans="2:33" ht="25.5" hidden="1" x14ac:dyDescent="0.25">
      <c r="B81" s="5">
        <v>77</v>
      </c>
      <c r="C81" s="27" t="s">
        <v>456</v>
      </c>
      <c r="D81" s="5" t="s">
        <v>33</v>
      </c>
      <c r="E81" s="7" t="s">
        <v>457</v>
      </c>
      <c r="F81" s="7" t="s">
        <v>458</v>
      </c>
      <c r="G81" s="7" t="s">
        <v>36</v>
      </c>
      <c r="H81" s="8">
        <v>240000</v>
      </c>
      <c r="I81" s="7" t="s">
        <v>452</v>
      </c>
      <c r="J81" s="7" t="s">
        <v>453</v>
      </c>
      <c r="K81" s="7" t="s">
        <v>459</v>
      </c>
      <c r="L81" s="9" t="s">
        <v>460</v>
      </c>
      <c r="M81" s="10">
        <v>45307</v>
      </c>
      <c r="N81" s="7" t="s">
        <v>41</v>
      </c>
      <c r="O81" s="7"/>
      <c r="P81" s="7"/>
      <c r="Q81" s="1">
        <v>325</v>
      </c>
      <c r="R81" s="1">
        <v>184</v>
      </c>
      <c r="S81" s="1">
        <v>260</v>
      </c>
      <c r="T81" s="1">
        <v>263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>
        <f t="shared" si="7"/>
        <v>4</v>
      </c>
      <c r="AF81" s="1">
        <f t="shared" si="5"/>
        <v>258</v>
      </c>
      <c r="AG81" s="11" t="str">
        <f t="shared" si="6"/>
        <v>APROVADO</v>
      </c>
    </row>
    <row r="82" spans="2:33" ht="25.5" hidden="1" x14ac:dyDescent="0.25">
      <c r="B82" s="5">
        <v>78</v>
      </c>
      <c r="C82" s="6" t="s">
        <v>461</v>
      </c>
      <c r="D82" s="5" t="s">
        <v>33</v>
      </c>
      <c r="E82" s="7" t="s">
        <v>462</v>
      </c>
      <c r="F82" s="7" t="s">
        <v>463</v>
      </c>
      <c r="G82" s="7" t="s">
        <v>107</v>
      </c>
      <c r="H82" s="8">
        <v>764968.68</v>
      </c>
      <c r="I82" s="7" t="s">
        <v>73</v>
      </c>
      <c r="J82" s="5" t="s">
        <v>74</v>
      </c>
      <c r="K82" s="7" t="s">
        <v>464</v>
      </c>
      <c r="L82" s="9" t="s">
        <v>465</v>
      </c>
      <c r="M82" s="10">
        <v>45307</v>
      </c>
      <c r="N82" s="7" t="s">
        <v>67</v>
      </c>
      <c r="O82" s="7" t="s">
        <v>466</v>
      </c>
      <c r="P82" s="7"/>
      <c r="Q82" s="1">
        <v>324</v>
      </c>
      <c r="R82" s="1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>
        <v>340</v>
      </c>
      <c r="AE82" s="1">
        <f t="shared" si="7"/>
        <v>3</v>
      </c>
      <c r="AF82" s="1">
        <f t="shared" si="5"/>
        <v>306.66666666666669</v>
      </c>
      <c r="AG82" s="11" t="str">
        <f t="shared" si="6"/>
        <v>APROVADO</v>
      </c>
    </row>
    <row r="83" spans="2:33" ht="38.25" hidden="1" x14ac:dyDescent="0.25">
      <c r="B83" s="5">
        <v>79</v>
      </c>
      <c r="C83" s="6" t="s">
        <v>467</v>
      </c>
      <c r="D83" s="5" t="s">
        <v>33</v>
      </c>
      <c r="E83" s="7" t="s">
        <v>462</v>
      </c>
      <c r="F83" s="7" t="s">
        <v>468</v>
      </c>
      <c r="G83" s="7" t="s">
        <v>107</v>
      </c>
      <c r="H83" s="8">
        <v>396760.14</v>
      </c>
      <c r="I83" s="7" t="s">
        <v>469</v>
      </c>
      <c r="J83" s="7" t="s">
        <v>95</v>
      </c>
      <c r="K83" s="7" t="s">
        <v>464</v>
      </c>
      <c r="L83" s="9" t="s">
        <v>465</v>
      </c>
      <c r="M83" s="10">
        <v>45307</v>
      </c>
      <c r="N83" s="7" t="s">
        <v>67</v>
      </c>
      <c r="O83" s="7" t="s">
        <v>466</v>
      </c>
      <c r="P83" s="7"/>
      <c r="Q83" s="1">
        <v>308</v>
      </c>
      <c r="R83" s="1">
        <v>256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273</v>
      </c>
      <c r="AE83" s="1">
        <f t="shared" si="7"/>
        <v>3</v>
      </c>
      <c r="AF83" s="1">
        <f t="shared" si="5"/>
        <v>279</v>
      </c>
      <c r="AG83" s="11" t="str">
        <f t="shared" si="6"/>
        <v>APROVADO</v>
      </c>
    </row>
    <row r="84" spans="2:33" ht="38.25" hidden="1" x14ac:dyDescent="0.25">
      <c r="B84" s="5">
        <v>80</v>
      </c>
      <c r="C84" s="6" t="s">
        <v>470</v>
      </c>
      <c r="D84" s="5" t="s">
        <v>33</v>
      </c>
      <c r="E84" s="7" t="s">
        <v>462</v>
      </c>
      <c r="F84" s="7" t="s">
        <v>471</v>
      </c>
      <c r="G84" s="7" t="s">
        <v>107</v>
      </c>
      <c r="H84" s="8">
        <v>579789.01</v>
      </c>
      <c r="I84" s="7" t="s">
        <v>469</v>
      </c>
      <c r="J84" s="7" t="s">
        <v>95</v>
      </c>
      <c r="K84" s="7" t="s">
        <v>464</v>
      </c>
      <c r="L84" s="9" t="s">
        <v>465</v>
      </c>
      <c r="M84" s="10">
        <v>45307</v>
      </c>
      <c r="N84" s="7" t="s">
        <v>67</v>
      </c>
      <c r="O84" s="7" t="s">
        <v>466</v>
      </c>
      <c r="P84" s="7"/>
      <c r="Q84" s="1">
        <v>315</v>
      </c>
      <c r="R84" s="1">
        <v>225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>
        <v>340</v>
      </c>
      <c r="AE84" s="1">
        <f t="shared" si="7"/>
        <v>3</v>
      </c>
      <c r="AF84" s="1">
        <f t="shared" si="5"/>
        <v>293.33333333333331</v>
      </c>
      <c r="AG84" s="11" t="str">
        <f t="shared" si="6"/>
        <v>APROVADO</v>
      </c>
    </row>
    <row r="85" spans="2:33" ht="25.5" hidden="1" x14ac:dyDescent="0.25">
      <c r="B85" s="5">
        <v>81</v>
      </c>
      <c r="C85" s="27" t="s">
        <v>472</v>
      </c>
      <c r="D85" s="5" t="s">
        <v>33</v>
      </c>
      <c r="E85" s="7" t="s">
        <v>473</v>
      </c>
      <c r="F85" s="7" t="s">
        <v>474</v>
      </c>
      <c r="G85" s="7" t="s">
        <v>36</v>
      </c>
      <c r="H85" s="8">
        <v>10000</v>
      </c>
      <c r="I85" s="7" t="s">
        <v>475</v>
      </c>
      <c r="J85" s="7" t="s">
        <v>241</v>
      </c>
      <c r="K85" s="7" t="s">
        <v>476</v>
      </c>
      <c r="L85" s="9" t="s">
        <v>477</v>
      </c>
      <c r="M85" s="10">
        <v>45307</v>
      </c>
      <c r="N85" s="7" t="s">
        <v>41</v>
      </c>
      <c r="O85" s="7"/>
      <c r="P85" s="7" t="s">
        <v>478</v>
      </c>
      <c r="Q85" s="1">
        <v>340</v>
      </c>
      <c r="R85" s="1"/>
      <c r="S85" s="1">
        <v>274</v>
      </c>
      <c r="T85" s="1">
        <v>287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>
        <f t="shared" si="7"/>
        <v>3</v>
      </c>
      <c r="AF85" s="1">
        <f t="shared" si="5"/>
        <v>300.33333333333331</v>
      </c>
      <c r="AG85" s="11" t="str">
        <f t="shared" si="6"/>
        <v>APROVADO</v>
      </c>
    </row>
    <row r="86" spans="2:33" ht="25.5" hidden="1" x14ac:dyDescent="0.25">
      <c r="B86" s="5">
        <v>82</v>
      </c>
      <c r="C86" s="16" t="s">
        <v>479</v>
      </c>
      <c r="D86" s="5" t="s">
        <v>33</v>
      </c>
      <c r="E86" s="7" t="s">
        <v>473</v>
      </c>
      <c r="F86" s="7" t="s">
        <v>480</v>
      </c>
      <c r="G86" s="7" t="s">
        <v>36</v>
      </c>
      <c r="H86" s="8">
        <v>10000</v>
      </c>
      <c r="I86" s="7" t="s">
        <v>475</v>
      </c>
      <c r="J86" s="7" t="s">
        <v>241</v>
      </c>
      <c r="K86" s="7" t="s">
        <v>476</v>
      </c>
      <c r="L86" s="9" t="s">
        <v>477</v>
      </c>
      <c r="M86" s="10">
        <v>45307</v>
      </c>
      <c r="N86" s="7" t="s">
        <v>82</v>
      </c>
      <c r="O86" s="7" t="s">
        <v>419</v>
      </c>
      <c r="P86" s="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 t="e">
        <f t="shared" si="5"/>
        <v>#DIV/0!</v>
      </c>
      <c r="AG86" s="11" t="e">
        <f t="shared" si="6"/>
        <v>#DIV/0!</v>
      </c>
    </row>
    <row r="87" spans="2:33" ht="25.5" hidden="1" x14ac:dyDescent="0.25">
      <c r="B87" s="5">
        <v>83</v>
      </c>
      <c r="C87" s="16" t="s">
        <v>481</v>
      </c>
      <c r="D87" s="5" t="s">
        <v>33</v>
      </c>
      <c r="E87" s="7" t="s">
        <v>473</v>
      </c>
      <c r="F87" s="7" t="s">
        <v>482</v>
      </c>
      <c r="G87" s="7" t="s">
        <v>36</v>
      </c>
      <c r="H87" s="8">
        <v>10000</v>
      </c>
      <c r="I87" s="7" t="s">
        <v>475</v>
      </c>
      <c r="J87" s="7" t="s">
        <v>241</v>
      </c>
      <c r="K87" s="7" t="s">
        <v>476</v>
      </c>
      <c r="L87" s="9" t="s">
        <v>477</v>
      </c>
      <c r="M87" s="10">
        <v>45307</v>
      </c>
      <c r="N87" s="7" t="s">
        <v>82</v>
      </c>
      <c r="O87" s="7" t="s">
        <v>419</v>
      </c>
      <c r="P87" s="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 t="e">
        <f t="shared" si="5"/>
        <v>#DIV/0!</v>
      </c>
      <c r="AG87" s="11" t="e">
        <f t="shared" si="6"/>
        <v>#DIV/0!</v>
      </c>
    </row>
    <row r="88" spans="2:33" hidden="1" x14ac:dyDescent="0.25">
      <c r="B88" s="5">
        <v>84</v>
      </c>
      <c r="C88" s="6" t="s">
        <v>483</v>
      </c>
      <c r="D88" s="5" t="s">
        <v>33</v>
      </c>
      <c r="E88" s="7" t="s">
        <v>484</v>
      </c>
      <c r="F88" s="7" t="s">
        <v>485</v>
      </c>
      <c r="G88" s="7" t="s">
        <v>336</v>
      </c>
      <c r="H88" s="8">
        <v>180000</v>
      </c>
      <c r="I88" s="7" t="s">
        <v>486</v>
      </c>
      <c r="J88" s="7" t="s">
        <v>348</v>
      </c>
      <c r="K88" s="7" t="s">
        <v>487</v>
      </c>
      <c r="L88" s="9" t="s">
        <v>488</v>
      </c>
      <c r="M88" s="10">
        <v>45307</v>
      </c>
      <c r="N88" s="7" t="s">
        <v>67</v>
      </c>
      <c r="O88" s="7" t="s">
        <v>98</v>
      </c>
      <c r="P88" s="7"/>
      <c r="Q88" s="1"/>
      <c r="R88" s="1">
        <v>175</v>
      </c>
      <c r="S88" s="1"/>
      <c r="T88" s="1"/>
      <c r="U88" s="1"/>
      <c r="V88" s="1"/>
      <c r="W88" s="1"/>
      <c r="X88" s="1">
        <v>297</v>
      </c>
      <c r="Y88" s="1">
        <v>297</v>
      </c>
      <c r="Z88" s="1"/>
      <c r="AA88" s="1"/>
      <c r="AB88" s="1"/>
      <c r="AC88" s="1"/>
      <c r="AD88" s="1"/>
      <c r="AE88" s="1">
        <f>COUNT(Q88:AD88)</f>
        <v>3</v>
      </c>
      <c r="AF88" s="1">
        <f t="shared" si="5"/>
        <v>256.33333333333331</v>
      </c>
      <c r="AG88" s="11" t="str">
        <f t="shared" si="6"/>
        <v>APROVADO</v>
      </c>
    </row>
    <row r="89" spans="2:33" ht="25.5" hidden="1" x14ac:dyDescent="0.25">
      <c r="B89" s="5">
        <v>85</v>
      </c>
      <c r="C89" s="6" t="s">
        <v>489</v>
      </c>
      <c r="D89" s="5" t="s">
        <v>33</v>
      </c>
      <c r="E89" s="5" t="s">
        <v>490</v>
      </c>
      <c r="F89" s="5" t="s">
        <v>491</v>
      </c>
      <c r="G89" s="7" t="s">
        <v>36</v>
      </c>
      <c r="H89" s="8">
        <v>1111410.1299999999</v>
      </c>
      <c r="I89" s="7" t="s">
        <v>73</v>
      </c>
      <c r="J89" s="7" t="s">
        <v>74</v>
      </c>
      <c r="K89" s="7" t="s">
        <v>492</v>
      </c>
      <c r="L89" s="9" t="s">
        <v>493</v>
      </c>
      <c r="M89" s="10">
        <v>45307</v>
      </c>
      <c r="N89" s="5" t="s">
        <v>67</v>
      </c>
      <c r="O89" s="7" t="s">
        <v>89</v>
      </c>
      <c r="P89" s="7" t="s">
        <v>68</v>
      </c>
      <c r="Q89" s="1">
        <v>317</v>
      </c>
      <c r="R89" s="1"/>
      <c r="S89" s="1">
        <v>239</v>
      </c>
      <c r="T89" s="1">
        <v>266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>
        <f>COUNT(Q89:AD89)</f>
        <v>3</v>
      </c>
      <c r="AF89" s="1">
        <f t="shared" si="5"/>
        <v>274</v>
      </c>
      <c r="AG89" s="11" t="str">
        <f t="shared" si="6"/>
        <v>APROVADO</v>
      </c>
    </row>
    <row r="90" spans="2:33" ht="25.5" hidden="1" x14ac:dyDescent="0.25">
      <c r="B90" s="5">
        <v>86</v>
      </c>
      <c r="C90" s="27" t="s">
        <v>494</v>
      </c>
      <c r="D90" s="5" t="s">
        <v>33</v>
      </c>
      <c r="E90" s="7" t="s">
        <v>495</v>
      </c>
      <c r="F90" s="7" t="s">
        <v>496</v>
      </c>
      <c r="G90" s="7" t="s">
        <v>36</v>
      </c>
      <c r="H90" s="8">
        <v>102600</v>
      </c>
      <c r="I90" s="7" t="s">
        <v>497</v>
      </c>
      <c r="J90" s="7" t="s">
        <v>141</v>
      </c>
      <c r="K90" s="7" t="s">
        <v>498</v>
      </c>
      <c r="L90" s="9" t="s">
        <v>499</v>
      </c>
      <c r="M90" s="10">
        <v>45307</v>
      </c>
      <c r="N90" s="7" t="s">
        <v>41</v>
      </c>
      <c r="O90" s="7"/>
      <c r="P90" s="7"/>
      <c r="Q90" s="1">
        <v>309</v>
      </c>
      <c r="R90" s="1">
        <v>203</v>
      </c>
      <c r="S90" s="1">
        <v>242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f>COUNT(Q90:AD90)</f>
        <v>3</v>
      </c>
      <c r="AF90" s="1">
        <f t="shared" si="5"/>
        <v>251.33333333333334</v>
      </c>
      <c r="AG90" s="11" t="str">
        <f t="shared" si="6"/>
        <v>APROVADO</v>
      </c>
    </row>
    <row r="91" spans="2:33" ht="38.25" hidden="1" x14ac:dyDescent="0.25">
      <c r="B91" s="5">
        <v>87</v>
      </c>
      <c r="C91" s="6" t="s">
        <v>500</v>
      </c>
      <c r="D91" s="5" t="s">
        <v>33</v>
      </c>
      <c r="E91" s="7" t="s">
        <v>501</v>
      </c>
      <c r="F91" s="7" t="s">
        <v>502</v>
      </c>
      <c r="G91" s="7" t="s">
        <v>36</v>
      </c>
      <c r="H91" s="8">
        <v>48136.800000000003</v>
      </c>
      <c r="I91" s="7" t="s">
        <v>503</v>
      </c>
      <c r="J91" s="7" t="s">
        <v>154</v>
      </c>
      <c r="K91" s="7" t="s">
        <v>504</v>
      </c>
      <c r="L91" s="9" t="s">
        <v>505</v>
      </c>
      <c r="M91" s="10">
        <v>45307</v>
      </c>
      <c r="N91" s="7" t="s">
        <v>67</v>
      </c>
      <c r="O91" s="7" t="s">
        <v>89</v>
      </c>
      <c r="P91" s="7" t="s">
        <v>506</v>
      </c>
      <c r="Q91" s="1">
        <v>305</v>
      </c>
      <c r="R91" s="1">
        <v>191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>
        <v>340</v>
      </c>
      <c r="AE91" s="1">
        <f>COUNT(Q91:AD91)</f>
        <v>3</v>
      </c>
      <c r="AF91" s="1">
        <f t="shared" si="5"/>
        <v>278.66666666666669</v>
      </c>
      <c r="AG91" s="11" t="str">
        <f t="shared" si="6"/>
        <v>APROVADO</v>
      </c>
    </row>
    <row r="92" spans="2:33" ht="26.25" hidden="1" x14ac:dyDescent="0.25">
      <c r="B92" s="5">
        <v>88</v>
      </c>
      <c r="C92" s="32" t="s">
        <v>507</v>
      </c>
      <c r="D92" s="5" t="s">
        <v>51</v>
      </c>
      <c r="E92" s="13" t="s">
        <v>508</v>
      </c>
      <c r="F92" s="14" t="s">
        <v>509</v>
      </c>
      <c r="G92" s="5" t="s">
        <v>45</v>
      </c>
      <c r="H92" s="33">
        <v>394820</v>
      </c>
      <c r="I92" s="29" t="s">
        <v>510</v>
      </c>
      <c r="J92" s="11" t="s">
        <v>453</v>
      </c>
      <c r="K92" s="13" t="s">
        <v>511</v>
      </c>
      <c r="L92" s="13" t="s">
        <v>439</v>
      </c>
      <c r="M92" s="26">
        <v>45307</v>
      </c>
      <c r="N92" s="13" t="s">
        <v>226</v>
      </c>
      <c r="O92" s="13" t="s">
        <v>227</v>
      </c>
      <c r="P92" s="1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 t="e">
        <f t="shared" si="5"/>
        <v>#DIV/0!</v>
      </c>
      <c r="AG92" s="11" t="e">
        <f t="shared" si="6"/>
        <v>#DIV/0!</v>
      </c>
    </row>
    <row r="93" spans="2:33" hidden="1" x14ac:dyDescent="0.25">
      <c r="B93" s="5">
        <v>89</v>
      </c>
      <c r="C93" s="24" t="s">
        <v>512</v>
      </c>
      <c r="D93" s="5" t="s">
        <v>51</v>
      </c>
      <c r="E93" s="13" t="s">
        <v>513</v>
      </c>
      <c r="F93" s="13" t="s">
        <v>514</v>
      </c>
      <c r="G93" s="14" t="s">
        <v>107</v>
      </c>
      <c r="H93" s="28">
        <v>434000</v>
      </c>
      <c r="I93" s="29" t="s">
        <v>515</v>
      </c>
      <c r="J93" s="11" t="s">
        <v>154</v>
      </c>
      <c r="K93" s="13" t="s">
        <v>516</v>
      </c>
      <c r="L93" s="13" t="s">
        <v>517</v>
      </c>
      <c r="M93" s="26">
        <v>45307</v>
      </c>
      <c r="N93" s="13" t="s">
        <v>57</v>
      </c>
      <c r="O93" s="14" t="s">
        <v>518</v>
      </c>
      <c r="P93" s="13"/>
      <c r="Q93" s="1">
        <v>259</v>
      </c>
      <c r="R93" s="1"/>
      <c r="S93" s="1"/>
      <c r="T93" s="1"/>
      <c r="U93" s="1"/>
      <c r="V93" s="1">
        <v>258</v>
      </c>
      <c r="W93" s="1">
        <v>220</v>
      </c>
      <c r="X93" s="1"/>
      <c r="Y93" s="1"/>
      <c r="Z93" s="1"/>
      <c r="AA93" s="1"/>
      <c r="AB93" s="1"/>
      <c r="AC93" s="1"/>
      <c r="AD93" s="1"/>
      <c r="AE93" s="1">
        <f>COUNT(Q93:AD93)</f>
        <v>3</v>
      </c>
      <c r="AF93" s="1">
        <f t="shared" si="5"/>
        <v>245.66666666666666</v>
      </c>
      <c r="AG93" s="11" t="str">
        <f t="shared" si="6"/>
        <v>APROVADO</v>
      </c>
    </row>
    <row r="94" spans="2:33" ht="25.5" hidden="1" x14ac:dyDescent="0.25">
      <c r="B94" s="5">
        <v>90</v>
      </c>
      <c r="C94" s="16" t="s">
        <v>519</v>
      </c>
      <c r="D94" s="5" t="s">
        <v>33</v>
      </c>
      <c r="E94" s="7" t="s">
        <v>520</v>
      </c>
      <c r="F94" s="7" t="s">
        <v>521</v>
      </c>
      <c r="G94" s="7" t="s">
        <v>107</v>
      </c>
      <c r="H94" s="8">
        <v>630000</v>
      </c>
      <c r="I94" s="7" t="s">
        <v>73</v>
      </c>
      <c r="J94" s="5" t="s">
        <v>74</v>
      </c>
      <c r="K94" s="7" t="s">
        <v>522</v>
      </c>
      <c r="L94" s="9" t="s">
        <v>523</v>
      </c>
      <c r="M94" s="10">
        <v>45307</v>
      </c>
      <c r="N94" s="7" t="s">
        <v>82</v>
      </c>
      <c r="O94" s="7" t="s">
        <v>83</v>
      </c>
      <c r="P94" s="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 t="e">
        <f t="shared" si="5"/>
        <v>#DIV/0!</v>
      </c>
      <c r="AG94" s="11" t="e">
        <f t="shared" si="6"/>
        <v>#DIV/0!</v>
      </c>
    </row>
    <row r="95" spans="2:33" hidden="1" x14ac:dyDescent="0.25">
      <c r="B95" s="5">
        <v>91</v>
      </c>
      <c r="C95" s="16" t="s">
        <v>524</v>
      </c>
      <c r="D95" s="5" t="s">
        <v>33</v>
      </c>
      <c r="E95" s="7" t="s">
        <v>525</v>
      </c>
      <c r="F95" s="7" t="s">
        <v>526</v>
      </c>
      <c r="G95" s="7" t="s">
        <v>107</v>
      </c>
      <c r="H95" s="8">
        <v>50000</v>
      </c>
      <c r="I95" s="7" t="s">
        <v>527</v>
      </c>
      <c r="J95" s="7" t="s">
        <v>391</v>
      </c>
      <c r="K95" s="7" t="s">
        <v>528</v>
      </c>
      <c r="L95" s="9" t="s">
        <v>529</v>
      </c>
      <c r="M95" s="10">
        <v>45307</v>
      </c>
      <c r="N95" s="7" t="s">
        <v>82</v>
      </c>
      <c r="O95" s="7" t="s">
        <v>83</v>
      </c>
      <c r="P95" s="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 t="e">
        <f t="shared" si="5"/>
        <v>#DIV/0!</v>
      </c>
      <c r="AG95" s="11" t="e">
        <f t="shared" si="6"/>
        <v>#DIV/0!</v>
      </c>
    </row>
    <row r="96" spans="2:33" ht="25.5" hidden="1" x14ac:dyDescent="0.25">
      <c r="B96" s="5">
        <v>92</v>
      </c>
      <c r="C96" s="27" t="s">
        <v>530</v>
      </c>
      <c r="D96" s="5" t="s">
        <v>33</v>
      </c>
      <c r="E96" s="7" t="s">
        <v>531</v>
      </c>
      <c r="F96" s="7" t="s">
        <v>532</v>
      </c>
      <c r="G96" s="7" t="s">
        <v>36</v>
      </c>
      <c r="H96" s="8">
        <v>500000</v>
      </c>
      <c r="I96" s="7" t="s">
        <v>253</v>
      </c>
      <c r="J96" s="7" t="s">
        <v>254</v>
      </c>
      <c r="K96" s="7" t="s">
        <v>533</v>
      </c>
      <c r="L96" s="9" t="s">
        <v>534</v>
      </c>
      <c r="M96" s="10">
        <v>45307</v>
      </c>
      <c r="N96" s="7" t="s">
        <v>41</v>
      </c>
      <c r="O96" s="7"/>
      <c r="P96" s="7"/>
      <c r="Q96" s="1">
        <v>295</v>
      </c>
      <c r="R96" s="1">
        <v>175</v>
      </c>
      <c r="S96" s="1">
        <v>241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f t="shared" ref="AE96:AE105" si="8">COUNT(Q96:AD96)</f>
        <v>3</v>
      </c>
      <c r="AF96" s="1">
        <f t="shared" si="5"/>
        <v>237</v>
      </c>
      <c r="AG96" s="11" t="str">
        <f t="shared" si="6"/>
        <v>APROVADO</v>
      </c>
    </row>
    <row r="97" spans="2:33" ht="25.5" hidden="1" x14ac:dyDescent="0.25">
      <c r="B97" s="5">
        <v>93</v>
      </c>
      <c r="C97" s="6" t="s">
        <v>535</v>
      </c>
      <c r="D97" s="5" t="s">
        <v>33</v>
      </c>
      <c r="E97" s="7" t="s">
        <v>536</v>
      </c>
      <c r="F97" s="7" t="s">
        <v>537</v>
      </c>
      <c r="G97" s="7" t="s">
        <v>107</v>
      </c>
      <c r="H97" s="8">
        <v>88496</v>
      </c>
      <c r="I97" s="7" t="s">
        <v>538</v>
      </c>
      <c r="J97" s="7" t="s">
        <v>115</v>
      </c>
      <c r="K97" s="7" t="s">
        <v>539</v>
      </c>
      <c r="L97" s="9" t="s">
        <v>540</v>
      </c>
      <c r="M97" s="10">
        <v>45307</v>
      </c>
      <c r="N97" s="7" t="s">
        <v>67</v>
      </c>
      <c r="O97" s="7" t="s">
        <v>375</v>
      </c>
      <c r="P97" s="7"/>
      <c r="Q97" s="1">
        <v>313</v>
      </c>
      <c r="R97" s="1">
        <v>239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>
        <v>340</v>
      </c>
      <c r="AE97" s="1">
        <f t="shared" si="8"/>
        <v>3</v>
      </c>
      <c r="AF97" s="1">
        <f t="shared" si="5"/>
        <v>297.33333333333331</v>
      </c>
      <c r="AG97" s="11" t="str">
        <f t="shared" si="6"/>
        <v>APROVADO</v>
      </c>
    </row>
    <row r="98" spans="2:33" hidden="1" x14ac:dyDescent="0.25">
      <c r="B98" s="5">
        <v>94</v>
      </c>
      <c r="C98" s="6" t="s">
        <v>541</v>
      </c>
      <c r="D98" s="5" t="s">
        <v>33</v>
      </c>
      <c r="E98" s="5" t="s">
        <v>542</v>
      </c>
      <c r="F98" s="5" t="s">
        <v>543</v>
      </c>
      <c r="G98" s="7" t="s">
        <v>107</v>
      </c>
      <c r="H98" s="8">
        <v>60000</v>
      </c>
      <c r="I98" s="7" t="s">
        <v>538</v>
      </c>
      <c r="J98" s="7" t="s">
        <v>115</v>
      </c>
      <c r="K98" s="7" t="s">
        <v>544</v>
      </c>
      <c r="L98" s="9" t="s">
        <v>545</v>
      </c>
      <c r="M98" s="10">
        <v>45307</v>
      </c>
      <c r="N98" s="5" t="s">
        <v>67</v>
      </c>
      <c r="O98" s="7" t="s">
        <v>89</v>
      </c>
      <c r="P98" s="7" t="s">
        <v>68</v>
      </c>
      <c r="Q98" s="1">
        <v>310</v>
      </c>
      <c r="R98" s="1"/>
      <c r="S98" s="1">
        <v>248</v>
      </c>
      <c r="T98" s="1">
        <v>262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f t="shared" si="8"/>
        <v>3</v>
      </c>
      <c r="AF98" s="1">
        <f t="shared" si="5"/>
        <v>273.33333333333331</v>
      </c>
      <c r="AG98" s="11" t="str">
        <f t="shared" si="6"/>
        <v>APROVADO</v>
      </c>
    </row>
    <row r="99" spans="2:33" ht="25.5" hidden="1" x14ac:dyDescent="0.25">
      <c r="B99" s="5">
        <v>95</v>
      </c>
      <c r="C99" s="27" t="s">
        <v>546</v>
      </c>
      <c r="D99" s="5" t="s">
        <v>33</v>
      </c>
      <c r="E99" s="7" t="s">
        <v>547</v>
      </c>
      <c r="F99" s="7" t="s">
        <v>548</v>
      </c>
      <c r="G99" s="7" t="s">
        <v>36</v>
      </c>
      <c r="H99" s="8">
        <v>40000</v>
      </c>
      <c r="I99" s="7" t="s">
        <v>538</v>
      </c>
      <c r="J99" s="7" t="s">
        <v>115</v>
      </c>
      <c r="K99" s="7" t="s">
        <v>549</v>
      </c>
      <c r="L99" s="9" t="s">
        <v>550</v>
      </c>
      <c r="M99" s="10">
        <v>45307</v>
      </c>
      <c r="N99" s="7" t="s">
        <v>41</v>
      </c>
      <c r="O99" s="7"/>
      <c r="P99" s="7"/>
      <c r="Q99" s="1">
        <v>273</v>
      </c>
      <c r="R99" s="1">
        <v>275</v>
      </c>
      <c r="S99" s="1">
        <v>270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f t="shared" si="8"/>
        <v>3</v>
      </c>
      <c r="AF99" s="1">
        <f t="shared" si="5"/>
        <v>272.66666666666669</v>
      </c>
      <c r="AG99" s="11" t="str">
        <f t="shared" si="6"/>
        <v>APROVADO</v>
      </c>
    </row>
    <row r="100" spans="2:33" ht="89.25" hidden="1" x14ac:dyDescent="0.25">
      <c r="B100" s="5">
        <v>96</v>
      </c>
      <c r="C100" s="27" t="s">
        <v>551</v>
      </c>
      <c r="D100" s="5" t="s">
        <v>33</v>
      </c>
      <c r="E100" s="7" t="s">
        <v>552</v>
      </c>
      <c r="F100" s="7" t="s">
        <v>553</v>
      </c>
      <c r="G100" s="5" t="s">
        <v>62</v>
      </c>
      <c r="H100" s="8">
        <v>73150</v>
      </c>
      <c r="I100" s="7" t="s">
        <v>554</v>
      </c>
      <c r="J100" s="7" t="s">
        <v>115</v>
      </c>
      <c r="K100" s="7" t="s">
        <v>555</v>
      </c>
      <c r="L100" s="9" t="s">
        <v>556</v>
      </c>
      <c r="M100" s="34">
        <v>45307</v>
      </c>
      <c r="N100" s="7" t="s">
        <v>41</v>
      </c>
      <c r="O100" s="7"/>
      <c r="P100" s="7"/>
      <c r="Q100" s="1">
        <v>340</v>
      </c>
      <c r="R100" s="1">
        <v>265</v>
      </c>
      <c r="S100" s="1">
        <v>264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f t="shared" si="8"/>
        <v>3</v>
      </c>
      <c r="AF100" s="1">
        <f t="shared" si="5"/>
        <v>289.66666666666669</v>
      </c>
      <c r="AG100" s="11" t="str">
        <f t="shared" si="6"/>
        <v>APROVADO</v>
      </c>
    </row>
    <row r="101" spans="2:33" hidden="1" x14ac:dyDescent="0.25">
      <c r="B101" s="5">
        <v>97</v>
      </c>
      <c r="C101" s="24" t="s">
        <v>557</v>
      </c>
      <c r="D101" s="5" t="s">
        <v>51</v>
      </c>
      <c r="E101" s="13" t="s">
        <v>558</v>
      </c>
      <c r="F101" s="13" t="s">
        <v>559</v>
      </c>
      <c r="G101" s="14" t="s">
        <v>107</v>
      </c>
      <c r="H101" s="28">
        <v>400000</v>
      </c>
      <c r="I101" s="29" t="s">
        <v>560</v>
      </c>
      <c r="J101" s="11" t="s">
        <v>391</v>
      </c>
      <c r="K101" s="13" t="s">
        <v>561</v>
      </c>
      <c r="L101" s="13" t="s">
        <v>562</v>
      </c>
      <c r="M101" s="26">
        <v>45307</v>
      </c>
      <c r="N101" s="13" t="s">
        <v>57</v>
      </c>
      <c r="O101" s="14" t="s">
        <v>563</v>
      </c>
      <c r="P101" s="13"/>
      <c r="Q101" s="1">
        <v>236</v>
      </c>
      <c r="R101" s="1"/>
      <c r="S101" s="1"/>
      <c r="T101" s="1"/>
      <c r="U101" s="1"/>
      <c r="V101" s="1">
        <v>260</v>
      </c>
      <c r="W101" s="1">
        <v>246</v>
      </c>
      <c r="X101" s="1"/>
      <c r="Y101" s="1"/>
      <c r="Z101" s="1"/>
      <c r="AA101" s="1"/>
      <c r="AB101" s="1"/>
      <c r="AC101" s="1"/>
      <c r="AD101" s="1"/>
      <c r="AE101" s="1">
        <f t="shared" si="8"/>
        <v>3</v>
      </c>
      <c r="AF101" s="1">
        <f t="shared" si="5"/>
        <v>247.33333333333334</v>
      </c>
      <c r="AG101" s="11" t="str">
        <f t="shared" si="6"/>
        <v>APROVADO</v>
      </c>
    </row>
    <row r="102" spans="2:33" ht="25.5" hidden="1" x14ac:dyDescent="0.25">
      <c r="B102" s="5">
        <v>98</v>
      </c>
      <c r="C102" s="6" t="s">
        <v>564</v>
      </c>
      <c r="D102" s="5" t="s">
        <v>33</v>
      </c>
      <c r="E102" s="7" t="s">
        <v>565</v>
      </c>
      <c r="F102" s="7" t="s">
        <v>566</v>
      </c>
      <c r="G102" s="7" t="s">
        <v>107</v>
      </c>
      <c r="H102" s="8">
        <v>600000</v>
      </c>
      <c r="I102" s="7" t="s">
        <v>73</v>
      </c>
      <c r="J102" s="7" t="s">
        <v>74</v>
      </c>
      <c r="K102" s="7" t="s">
        <v>567</v>
      </c>
      <c r="L102" s="9" t="s">
        <v>568</v>
      </c>
      <c r="M102" s="10">
        <v>45307</v>
      </c>
      <c r="N102" s="7" t="s">
        <v>67</v>
      </c>
      <c r="O102" s="7" t="s">
        <v>375</v>
      </c>
      <c r="P102" s="7"/>
      <c r="Q102" s="1"/>
      <c r="R102" s="1">
        <v>122</v>
      </c>
      <c r="S102" s="1"/>
      <c r="T102" s="1"/>
      <c r="U102" s="1"/>
      <c r="V102" s="1">
        <v>298</v>
      </c>
      <c r="W102" s="1">
        <v>295</v>
      </c>
      <c r="X102" s="1"/>
      <c r="Y102" s="1"/>
      <c r="Z102" s="1"/>
      <c r="AA102" s="1"/>
      <c r="AB102" s="1"/>
      <c r="AC102" s="1"/>
      <c r="AD102" s="1"/>
      <c r="AE102" s="1">
        <f t="shared" si="8"/>
        <v>3</v>
      </c>
      <c r="AF102" s="1">
        <f t="shared" si="5"/>
        <v>238.33333333333334</v>
      </c>
      <c r="AG102" s="11" t="str">
        <f t="shared" si="6"/>
        <v>APROVADO</v>
      </c>
    </row>
    <row r="103" spans="2:33" ht="25.5" hidden="1" x14ac:dyDescent="0.25">
      <c r="B103" s="5">
        <v>99</v>
      </c>
      <c r="C103" s="6" t="s">
        <v>569</v>
      </c>
      <c r="D103" s="5" t="s">
        <v>33</v>
      </c>
      <c r="E103" s="7" t="s">
        <v>565</v>
      </c>
      <c r="F103" s="7" t="s">
        <v>570</v>
      </c>
      <c r="G103" s="7" t="s">
        <v>107</v>
      </c>
      <c r="H103" s="8">
        <v>640000</v>
      </c>
      <c r="I103" s="7" t="s">
        <v>73</v>
      </c>
      <c r="J103" s="7" t="s">
        <v>74</v>
      </c>
      <c r="K103" s="7" t="s">
        <v>567</v>
      </c>
      <c r="L103" s="9" t="s">
        <v>568</v>
      </c>
      <c r="M103" s="10">
        <v>45307</v>
      </c>
      <c r="N103" s="7" t="s">
        <v>67</v>
      </c>
      <c r="O103" s="7" t="s">
        <v>375</v>
      </c>
      <c r="P103" s="7"/>
      <c r="Q103" s="1"/>
      <c r="R103" s="1">
        <v>149</v>
      </c>
      <c r="S103" s="1"/>
      <c r="T103" s="1"/>
      <c r="U103" s="1"/>
      <c r="V103" s="1"/>
      <c r="W103" s="1"/>
      <c r="X103" s="1">
        <v>316</v>
      </c>
      <c r="Y103" s="1">
        <v>340</v>
      </c>
      <c r="Z103" s="1"/>
      <c r="AA103" s="1"/>
      <c r="AB103" s="1"/>
      <c r="AC103" s="1"/>
      <c r="AD103" s="1"/>
      <c r="AE103" s="1">
        <f t="shared" si="8"/>
        <v>3</v>
      </c>
      <c r="AF103" s="1">
        <f t="shared" si="5"/>
        <v>268.33333333333331</v>
      </c>
      <c r="AG103" s="11" t="str">
        <f t="shared" si="6"/>
        <v>APROVADO</v>
      </c>
    </row>
    <row r="104" spans="2:33" ht="25.5" hidden="1" x14ac:dyDescent="0.25">
      <c r="B104" s="5">
        <v>100</v>
      </c>
      <c r="C104" s="6" t="s">
        <v>571</v>
      </c>
      <c r="D104" s="5" t="s">
        <v>33</v>
      </c>
      <c r="E104" s="7" t="s">
        <v>565</v>
      </c>
      <c r="F104" s="7" t="s">
        <v>572</v>
      </c>
      <c r="G104" s="7" t="s">
        <v>300</v>
      </c>
      <c r="H104" s="8">
        <v>1400000</v>
      </c>
      <c r="I104" s="7" t="s">
        <v>73</v>
      </c>
      <c r="J104" s="7" t="s">
        <v>74</v>
      </c>
      <c r="K104" s="7" t="s">
        <v>567</v>
      </c>
      <c r="L104" s="9" t="s">
        <v>568</v>
      </c>
      <c r="M104" s="10">
        <v>45307</v>
      </c>
      <c r="N104" s="7" t="s">
        <v>67</v>
      </c>
      <c r="O104" s="7" t="s">
        <v>375</v>
      </c>
      <c r="P104" s="7"/>
      <c r="Q104" s="1">
        <v>306</v>
      </c>
      <c r="R104" s="1">
        <v>189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>
        <v>340</v>
      </c>
      <c r="AE104" s="1">
        <f t="shared" si="8"/>
        <v>3</v>
      </c>
      <c r="AF104" s="1">
        <f t="shared" si="5"/>
        <v>278.33333333333331</v>
      </c>
      <c r="AG104" s="11" t="str">
        <f t="shared" si="6"/>
        <v>APROVADO</v>
      </c>
    </row>
    <row r="105" spans="2:33" ht="25.5" hidden="1" x14ac:dyDescent="0.25">
      <c r="B105" s="5">
        <v>101</v>
      </c>
      <c r="C105" s="6" t="s">
        <v>573</v>
      </c>
      <c r="D105" s="5" t="s">
        <v>33</v>
      </c>
      <c r="E105" s="7" t="s">
        <v>574</v>
      </c>
      <c r="F105" s="7" t="s">
        <v>575</v>
      </c>
      <c r="G105" s="7" t="s">
        <v>174</v>
      </c>
      <c r="H105" s="8">
        <v>11210</v>
      </c>
      <c r="I105" s="7" t="s">
        <v>425</v>
      </c>
      <c r="J105" s="7" t="s">
        <v>348</v>
      </c>
      <c r="K105" s="7" t="s">
        <v>576</v>
      </c>
      <c r="L105" s="9" t="s">
        <v>577</v>
      </c>
      <c r="M105" s="10">
        <v>45307</v>
      </c>
      <c r="N105" s="7" t="s">
        <v>67</v>
      </c>
      <c r="O105" s="7" t="s">
        <v>578</v>
      </c>
      <c r="P105" s="7" t="s">
        <v>579</v>
      </c>
      <c r="Q105" s="1"/>
      <c r="R105" s="1">
        <v>280</v>
      </c>
      <c r="S105" s="1"/>
      <c r="T105" s="1"/>
      <c r="U105" s="1"/>
      <c r="V105" s="1"/>
      <c r="W105" s="1"/>
      <c r="X105" s="1">
        <v>240</v>
      </c>
      <c r="Y105" s="1">
        <v>340</v>
      </c>
      <c r="Z105" s="1"/>
      <c r="AA105" s="1"/>
      <c r="AB105" s="1"/>
      <c r="AC105" s="1"/>
      <c r="AD105" s="1"/>
      <c r="AE105" s="1">
        <f t="shared" si="8"/>
        <v>3</v>
      </c>
      <c r="AF105" s="1">
        <f t="shared" si="5"/>
        <v>286.66666666666669</v>
      </c>
      <c r="AG105" s="11" t="str">
        <f t="shared" si="6"/>
        <v>APROVADO</v>
      </c>
    </row>
    <row r="106" spans="2:33" ht="25.5" hidden="1" x14ac:dyDescent="0.25">
      <c r="B106" s="5">
        <v>102</v>
      </c>
      <c r="C106" s="16" t="s">
        <v>580</v>
      </c>
      <c r="D106" s="5" t="s">
        <v>33</v>
      </c>
      <c r="E106" s="7" t="s">
        <v>574</v>
      </c>
      <c r="F106" s="7" t="s">
        <v>581</v>
      </c>
      <c r="G106" s="7" t="s">
        <v>36</v>
      </c>
      <c r="H106" s="8">
        <v>120000</v>
      </c>
      <c r="I106" s="7" t="s">
        <v>425</v>
      </c>
      <c r="J106" s="7" t="s">
        <v>348</v>
      </c>
      <c r="K106" s="7" t="s">
        <v>576</v>
      </c>
      <c r="L106" s="9" t="s">
        <v>577</v>
      </c>
      <c r="M106" s="10">
        <v>45307</v>
      </c>
      <c r="N106" s="7" t="s">
        <v>82</v>
      </c>
      <c r="O106" s="7" t="s">
        <v>419</v>
      </c>
      <c r="P106" s="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 t="e">
        <f t="shared" si="5"/>
        <v>#DIV/0!</v>
      </c>
      <c r="AG106" s="11" t="e">
        <f t="shared" si="6"/>
        <v>#DIV/0!</v>
      </c>
    </row>
    <row r="107" spans="2:33" ht="25.5" hidden="1" x14ac:dyDescent="0.25">
      <c r="B107" s="5">
        <v>103</v>
      </c>
      <c r="C107" s="27" t="s">
        <v>582</v>
      </c>
      <c r="D107" s="5" t="s">
        <v>33</v>
      </c>
      <c r="E107" s="7" t="s">
        <v>583</v>
      </c>
      <c r="F107" s="7" t="s">
        <v>584</v>
      </c>
      <c r="G107" s="7" t="s">
        <v>36</v>
      </c>
      <c r="H107" s="8">
        <v>377095.48</v>
      </c>
      <c r="I107" s="7" t="s">
        <v>585</v>
      </c>
      <c r="J107" s="7" t="s">
        <v>38</v>
      </c>
      <c r="K107" s="7" t="s">
        <v>586</v>
      </c>
      <c r="L107" s="9" t="s">
        <v>587</v>
      </c>
      <c r="M107" s="10">
        <v>45307</v>
      </c>
      <c r="N107" s="7" t="s">
        <v>41</v>
      </c>
      <c r="O107" s="7"/>
      <c r="P107" s="7"/>
      <c r="Q107" s="1">
        <v>307</v>
      </c>
      <c r="R107" s="1">
        <v>209</v>
      </c>
      <c r="S107" s="1">
        <v>234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f>COUNT(Q107:AD107)</f>
        <v>3</v>
      </c>
      <c r="AF107" s="1">
        <f t="shared" si="5"/>
        <v>250</v>
      </c>
      <c r="AG107" s="11" t="str">
        <f t="shared" si="6"/>
        <v>APROVADO</v>
      </c>
    </row>
    <row r="108" spans="2:33" ht="25.5" hidden="1" x14ac:dyDescent="0.25">
      <c r="B108" s="5">
        <v>104</v>
      </c>
      <c r="C108" s="6" t="s">
        <v>588</v>
      </c>
      <c r="D108" s="5" t="s">
        <v>33</v>
      </c>
      <c r="E108" s="7" t="s">
        <v>589</v>
      </c>
      <c r="F108" s="7" t="s">
        <v>590</v>
      </c>
      <c r="G108" s="7" t="s">
        <v>107</v>
      </c>
      <c r="H108" s="8">
        <v>332860</v>
      </c>
      <c r="I108" s="7" t="s">
        <v>390</v>
      </c>
      <c r="J108" s="7" t="s">
        <v>391</v>
      </c>
      <c r="K108" s="7" t="s">
        <v>591</v>
      </c>
      <c r="L108" s="9" t="s">
        <v>592</v>
      </c>
      <c r="M108" s="10">
        <v>45307</v>
      </c>
      <c r="N108" s="7" t="s">
        <v>67</v>
      </c>
      <c r="O108" s="7" t="s">
        <v>68</v>
      </c>
      <c r="P108" s="7"/>
      <c r="Q108" s="1">
        <v>263</v>
      </c>
      <c r="R108" s="1"/>
      <c r="S108" s="1"/>
      <c r="T108" s="1"/>
      <c r="U108" s="1"/>
      <c r="V108" s="1">
        <v>296</v>
      </c>
      <c r="W108" s="1"/>
      <c r="X108" s="1"/>
      <c r="Y108" s="1"/>
      <c r="Z108" s="1"/>
      <c r="AA108" s="1"/>
      <c r="AB108" s="1"/>
      <c r="AC108" s="1">
        <v>269</v>
      </c>
      <c r="AD108" s="1"/>
      <c r="AE108" s="1">
        <f>COUNT(Q108:AD108)</f>
        <v>3</v>
      </c>
      <c r="AF108" s="1">
        <f t="shared" si="5"/>
        <v>276</v>
      </c>
      <c r="AG108" s="11" t="str">
        <f t="shared" si="6"/>
        <v>APROVADO</v>
      </c>
    </row>
    <row r="109" spans="2:33" ht="39" hidden="1" x14ac:dyDescent="0.25">
      <c r="B109" s="5">
        <v>105</v>
      </c>
      <c r="C109" s="35" t="s">
        <v>593</v>
      </c>
      <c r="D109" s="5" t="s">
        <v>51</v>
      </c>
      <c r="E109" s="13" t="s">
        <v>594</v>
      </c>
      <c r="F109" s="14" t="s">
        <v>595</v>
      </c>
      <c r="G109" s="14" t="s">
        <v>107</v>
      </c>
      <c r="H109" s="28">
        <v>3700000</v>
      </c>
      <c r="I109" s="29" t="s">
        <v>596</v>
      </c>
      <c r="J109" s="11" t="s">
        <v>597</v>
      </c>
      <c r="K109" s="13" t="s">
        <v>598</v>
      </c>
      <c r="L109" s="13" t="s">
        <v>599</v>
      </c>
      <c r="M109" s="26">
        <v>45307</v>
      </c>
      <c r="N109" s="13" t="s">
        <v>226</v>
      </c>
      <c r="O109" s="14" t="s">
        <v>600</v>
      </c>
      <c r="P109" s="13"/>
      <c r="Q109" s="1">
        <v>0</v>
      </c>
      <c r="R109" s="1">
        <v>146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f t="shared" si="5"/>
        <v>73</v>
      </c>
      <c r="AG109" s="11" t="str">
        <f t="shared" si="6"/>
        <v>REPROVADO</v>
      </c>
    </row>
    <row r="110" spans="2:33" ht="26.25" hidden="1" x14ac:dyDescent="0.25">
      <c r="B110" s="5">
        <v>106</v>
      </c>
      <c r="C110" s="24" t="s">
        <v>601</v>
      </c>
      <c r="D110" s="5" t="s">
        <v>51</v>
      </c>
      <c r="E110" s="13" t="s">
        <v>594</v>
      </c>
      <c r="F110" s="14" t="s">
        <v>602</v>
      </c>
      <c r="G110" s="14" t="s">
        <v>36</v>
      </c>
      <c r="H110" s="28">
        <v>988105.45</v>
      </c>
      <c r="I110" s="29" t="s">
        <v>596</v>
      </c>
      <c r="J110" s="11" t="s">
        <v>597</v>
      </c>
      <c r="K110" s="13" t="s">
        <v>603</v>
      </c>
      <c r="L110" s="13" t="s">
        <v>604</v>
      </c>
      <c r="M110" s="26">
        <v>45307</v>
      </c>
      <c r="N110" s="13" t="s">
        <v>57</v>
      </c>
      <c r="O110" s="14" t="s">
        <v>118</v>
      </c>
      <c r="P110" s="13"/>
      <c r="Q110" s="1">
        <v>293</v>
      </c>
      <c r="R110" s="1">
        <v>142</v>
      </c>
      <c r="S110" s="1"/>
      <c r="T110" s="1"/>
      <c r="U110" s="1"/>
      <c r="V110" s="1"/>
      <c r="W110" s="1"/>
      <c r="X110" s="1"/>
      <c r="Y110" s="1">
        <v>328</v>
      </c>
      <c r="Z110" s="1"/>
      <c r="AA110" s="1"/>
      <c r="AB110" s="1"/>
      <c r="AC110" s="1"/>
      <c r="AD110" s="1"/>
      <c r="AE110" s="1">
        <f>COUNT(Q110:AD110)</f>
        <v>3</v>
      </c>
      <c r="AF110" s="1">
        <f t="shared" si="5"/>
        <v>254.33333333333334</v>
      </c>
      <c r="AG110" s="11" t="str">
        <f t="shared" si="6"/>
        <v>APROVADO</v>
      </c>
    </row>
    <row r="111" spans="2:33" ht="39" hidden="1" x14ac:dyDescent="0.25">
      <c r="B111" s="5">
        <v>107</v>
      </c>
      <c r="C111" s="24" t="s">
        <v>605</v>
      </c>
      <c r="D111" s="5" t="s">
        <v>51</v>
      </c>
      <c r="E111" s="13" t="s">
        <v>594</v>
      </c>
      <c r="F111" s="14" t="s">
        <v>606</v>
      </c>
      <c r="G111" s="14" t="s">
        <v>36</v>
      </c>
      <c r="H111" s="28">
        <v>3270000</v>
      </c>
      <c r="I111" s="29" t="s">
        <v>596</v>
      </c>
      <c r="J111" s="11" t="s">
        <v>597</v>
      </c>
      <c r="K111" s="13" t="s">
        <v>598</v>
      </c>
      <c r="L111" s="13" t="s">
        <v>562</v>
      </c>
      <c r="M111" s="26">
        <v>45307</v>
      </c>
      <c r="N111" s="13" t="s">
        <v>57</v>
      </c>
      <c r="O111" s="14" t="s">
        <v>118</v>
      </c>
      <c r="P111" s="13"/>
      <c r="Q111" s="1">
        <v>306</v>
      </c>
      <c r="R111" s="1">
        <v>120</v>
      </c>
      <c r="S111" s="1"/>
      <c r="T111" s="1"/>
      <c r="U111" s="1"/>
      <c r="V111" s="1"/>
      <c r="W111" s="1">
        <v>308</v>
      </c>
      <c r="X111" s="1"/>
      <c r="Y111" s="1"/>
      <c r="Z111" s="1"/>
      <c r="AA111" s="1"/>
      <c r="AB111" s="1"/>
      <c r="AC111" s="1"/>
      <c r="AD111" s="1"/>
      <c r="AE111" s="1">
        <f>COUNT(Q111:AD111)</f>
        <v>3</v>
      </c>
      <c r="AF111" s="1">
        <f t="shared" si="5"/>
        <v>244.66666666666666</v>
      </c>
      <c r="AG111" s="11" t="str">
        <f t="shared" si="6"/>
        <v>APROVADO</v>
      </c>
    </row>
    <row r="112" spans="2:33" ht="25.5" hidden="1" x14ac:dyDescent="0.25">
      <c r="B112" s="5">
        <v>108</v>
      </c>
      <c r="C112" s="27" t="s">
        <v>607</v>
      </c>
      <c r="D112" s="5" t="s">
        <v>33</v>
      </c>
      <c r="E112" s="5" t="s">
        <v>608</v>
      </c>
      <c r="F112" s="5" t="s">
        <v>609</v>
      </c>
      <c r="G112" s="5" t="s">
        <v>36</v>
      </c>
      <c r="H112" s="17">
        <v>800000</v>
      </c>
      <c r="I112" s="5" t="s">
        <v>596</v>
      </c>
      <c r="J112" s="5" t="s">
        <v>597</v>
      </c>
      <c r="K112" s="5" t="s">
        <v>610</v>
      </c>
      <c r="L112" s="9" t="s">
        <v>611</v>
      </c>
      <c r="M112" s="10">
        <v>45307</v>
      </c>
      <c r="N112" s="5" t="s">
        <v>67</v>
      </c>
      <c r="O112" s="5"/>
      <c r="P112" s="5" t="s">
        <v>612</v>
      </c>
      <c r="Q112" s="1">
        <v>307</v>
      </c>
      <c r="R112" s="1">
        <v>52</v>
      </c>
      <c r="S112" s="1">
        <v>82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f t="shared" si="5"/>
        <v>147</v>
      </c>
      <c r="AG112" s="11" t="str">
        <f t="shared" si="6"/>
        <v>REPROVADO</v>
      </c>
    </row>
    <row r="113" spans="2:33" ht="38.25" hidden="1" x14ac:dyDescent="0.25">
      <c r="B113" s="5">
        <v>109</v>
      </c>
      <c r="C113" s="6" t="s">
        <v>613</v>
      </c>
      <c r="D113" s="5" t="s">
        <v>33</v>
      </c>
      <c r="E113" s="7" t="s">
        <v>614</v>
      </c>
      <c r="F113" s="7" t="s">
        <v>615</v>
      </c>
      <c r="G113" s="7" t="s">
        <v>300</v>
      </c>
      <c r="H113" s="8">
        <v>1074000</v>
      </c>
      <c r="I113" s="7" t="s">
        <v>596</v>
      </c>
      <c r="J113" s="7" t="s">
        <v>597</v>
      </c>
      <c r="K113" s="7" t="s">
        <v>616</v>
      </c>
      <c r="L113" s="9" t="s">
        <v>617</v>
      </c>
      <c r="M113" s="10">
        <v>45307</v>
      </c>
      <c r="N113" s="7" t="s">
        <v>67</v>
      </c>
      <c r="O113" s="7" t="s">
        <v>98</v>
      </c>
      <c r="P113" s="7"/>
      <c r="Q113" s="1">
        <v>247</v>
      </c>
      <c r="R113" s="1">
        <v>266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>
        <v>340</v>
      </c>
      <c r="AE113" s="1">
        <f>COUNT(Q113:AD113)</f>
        <v>3</v>
      </c>
      <c r="AF113" s="1">
        <f t="shared" si="5"/>
        <v>284.33333333333331</v>
      </c>
      <c r="AG113" s="11" t="str">
        <f t="shared" si="6"/>
        <v>APROVADO</v>
      </c>
    </row>
    <row r="114" spans="2:33" ht="25.5" hidden="1" x14ac:dyDescent="0.25">
      <c r="B114" s="5">
        <v>110</v>
      </c>
      <c r="C114" s="16" t="s">
        <v>618</v>
      </c>
      <c r="D114" s="5" t="s">
        <v>33</v>
      </c>
      <c r="E114" s="7" t="s">
        <v>614</v>
      </c>
      <c r="F114" s="7" t="s">
        <v>619</v>
      </c>
      <c r="G114" s="7" t="s">
        <v>36</v>
      </c>
      <c r="H114" s="8">
        <v>2596552.2200000002</v>
      </c>
      <c r="I114" s="7" t="s">
        <v>596</v>
      </c>
      <c r="J114" s="7" t="s">
        <v>597</v>
      </c>
      <c r="K114" s="7" t="s">
        <v>616</v>
      </c>
      <c r="L114" s="9" t="s">
        <v>617</v>
      </c>
      <c r="M114" s="10">
        <v>45307</v>
      </c>
      <c r="N114" s="7" t="s">
        <v>226</v>
      </c>
      <c r="O114" s="7" t="s">
        <v>227</v>
      </c>
      <c r="P114" s="7" t="s">
        <v>98</v>
      </c>
      <c r="Q114" s="1">
        <v>0</v>
      </c>
      <c r="R114" s="1">
        <v>120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f t="shared" si="5"/>
        <v>60</v>
      </c>
      <c r="AG114" s="11" t="str">
        <f t="shared" si="6"/>
        <v>REPROVADO</v>
      </c>
    </row>
    <row r="115" spans="2:33" ht="51" hidden="1" x14ac:dyDescent="0.25">
      <c r="B115" s="5">
        <v>111</v>
      </c>
      <c r="C115" s="6" t="s">
        <v>620</v>
      </c>
      <c r="D115" s="5" t="s">
        <v>33</v>
      </c>
      <c r="E115" s="7" t="s">
        <v>614</v>
      </c>
      <c r="F115" s="7" t="s">
        <v>621</v>
      </c>
      <c r="G115" s="7" t="s">
        <v>36</v>
      </c>
      <c r="H115" s="8">
        <v>1919116.46</v>
      </c>
      <c r="I115" s="7" t="s">
        <v>596</v>
      </c>
      <c r="J115" s="7" t="s">
        <v>597</v>
      </c>
      <c r="K115" s="7" t="s">
        <v>616</v>
      </c>
      <c r="L115" s="9" t="s">
        <v>617</v>
      </c>
      <c r="M115" s="10">
        <v>45307</v>
      </c>
      <c r="N115" s="7" t="s">
        <v>67</v>
      </c>
      <c r="O115" s="7" t="s">
        <v>98</v>
      </c>
      <c r="P115" s="7"/>
      <c r="Q115" s="1"/>
      <c r="R115" s="1">
        <v>120</v>
      </c>
      <c r="S115" s="1"/>
      <c r="T115" s="1"/>
      <c r="U115" s="1"/>
      <c r="V115" s="1"/>
      <c r="W115" s="1"/>
      <c r="X115" s="1">
        <v>340</v>
      </c>
      <c r="Y115" s="1">
        <v>340</v>
      </c>
      <c r="Z115" s="1"/>
      <c r="AA115" s="1"/>
      <c r="AB115" s="1"/>
      <c r="AC115" s="1"/>
      <c r="AD115" s="1"/>
      <c r="AE115" s="1">
        <f t="shared" ref="AE115:AE125" si="9">COUNT(Q115:AD115)</f>
        <v>3</v>
      </c>
      <c r="AF115" s="1">
        <f t="shared" si="5"/>
        <v>266.66666666666669</v>
      </c>
      <c r="AG115" s="11" t="str">
        <f t="shared" si="6"/>
        <v>APROVADO</v>
      </c>
    </row>
    <row r="116" spans="2:33" ht="38.25" hidden="1" x14ac:dyDescent="0.25">
      <c r="B116" s="5">
        <v>112</v>
      </c>
      <c r="C116" s="6" t="s">
        <v>622</v>
      </c>
      <c r="D116" s="5" t="s">
        <v>33</v>
      </c>
      <c r="E116" s="7" t="s">
        <v>623</v>
      </c>
      <c r="F116" s="7" t="s">
        <v>624</v>
      </c>
      <c r="G116" s="7" t="s">
        <v>36</v>
      </c>
      <c r="H116" s="8">
        <v>0</v>
      </c>
      <c r="I116" s="7" t="s">
        <v>596</v>
      </c>
      <c r="J116" s="7" t="s">
        <v>597</v>
      </c>
      <c r="K116" s="7" t="s">
        <v>598</v>
      </c>
      <c r="L116" s="9" t="s">
        <v>625</v>
      </c>
      <c r="M116" s="10">
        <v>45307</v>
      </c>
      <c r="N116" s="7" t="s">
        <v>67</v>
      </c>
      <c r="O116" s="7" t="s">
        <v>98</v>
      </c>
      <c r="P116" s="7" t="s">
        <v>626</v>
      </c>
      <c r="Q116" s="1"/>
      <c r="R116" s="1">
        <v>69</v>
      </c>
      <c r="S116" s="1"/>
      <c r="T116" s="1"/>
      <c r="U116" s="1"/>
      <c r="V116" s="1">
        <v>340</v>
      </c>
      <c r="W116" s="1">
        <v>340</v>
      </c>
      <c r="X116" s="1"/>
      <c r="Y116" s="1"/>
      <c r="Z116" s="1"/>
      <c r="AA116" s="1"/>
      <c r="AB116" s="1"/>
      <c r="AC116" s="1"/>
      <c r="AD116" s="1"/>
      <c r="AE116" s="1">
        <f t="shared" si="9"/>
        <v>3</v>
      </c>
      <c r="AF116" s="1">
        <f>AVERAGE(Q116:AD116)</f>
        <v>249.66666666666666</v>
      </c>
      <c r="AG116" s="11" t="str">
        <f t="shared" si="6"/>
        <v>APROVADO</v>
      </c>
    </row>
    <row r="117" spans="2:33" ht="25.5" hidden="1" x14ac:dyDescent="0.25">
      <c r="B117" s="5">
        <v>113</v>
      </c>
      <c r="C117" s="6" t="s">
        <v>627</v>
      </c>
      <c r="D117" s="5" t="s">
        <v>33</v>
      </c>
      <c r="E117" s="5" t="s">
        <v>628</v>
      </c>
      <c r="F117" s="5" t="s">
        <v>629</v>
      </c>
      <c r="G117" s="7" t="s">
        <v>36</v>
      </c>
      <c r="H117" s="8">
        <v>532258</v>
      </c>
      <c r="I117" s="7" t="s">
        <v>630</v>
      </c>
      <c r="J117" s="7" t="s">
        <v>453</v>
      </c>
      <c r="K117" s="7" t="s">
        <v>631</v>
      </c>
      <c r="L117" s="9" t="s">
        <v>632</v>
      </c>
      <c r="M117" s="10">
        <v>45307</v>
      </c>
      <c r="N117" s="5" t="s">
        <v>67</v>
      </c>
      <c r="O117" s="7" t="s">
        <v>375</v>
      </c>
      <c r="P117" s="7"/>
      <c r="Q117" s="1">
        <v>244</v>
      </c>
      <c r="R117" s="1">
        <v>252</v>
      </c>
      <c r="S117" s="1">
        <v>241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>
        <f t="shared" si="9"/>
        <v>3</v>
      </c>
      <c r="AF117" s="1">
        <f t="shared" si="5"/>
        <v>245.66666666666666</v>
      </c>
      <c r="AG117" s="11" t="str">
        <f t="shared" si="6"/>
        <v>APROVADO</v>
      </c>
    </row>
    <row r="118" spans="2:33" ht="25.5" hidden="1" x14ac:dyDescent="0.25">
      <c r="B118" s="5">
        <v>114</v>
      </c>
      <c r="C118" s="6" t="s">
        <v>633</v>
      </c>
      <c r="D118" s="5" t="s">
        <v>33</v>
      </c>
      <c r="E118" s="5" t="s">
        <v>628</v>
      </c>
      <c r="F118" s="5" t="s">
        <v>634</v>
      </c>
      <c r="G118" s="7" t="s">
        <v>36</v>
      </c>
      <c r="H118" s="8">
        <v>200000</v>
      </c>
      <c r="I118" s="7" t="s">
        <v>630</v>
      </c>
      <c r="J118" s="7" t="s">
        <v>453</v>
      </c>
      <c r="K118" s="7" t="s">
        <v>635</v>
      </c>
      <c r="L118" s="9" t="s">
        <v>632</v>
      </c>
      <c r="M118" s="10">
        <v>45307</v>
      </c>
      <c r="N118" s="5" t="s">
        <v>67</v>
      </c>
      <c r="O118" s="7" t="s">
        <v>375</v>
      </c>
      <c r="P118" s="7"/>
      <c r="Q118" s="1">
        <v>298</v>
      </c>
      <c r="R118" s="1">
        <v>265</v>
      </c>
      <c r="S118" s="1">
        <v>239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f t="shared" si="9"/>
        <v>3</v>
      </c>
      <c r="AF118" s="1">
        <f t="shared" si="5"/>
        <v>267.33333333333331</v>
      </c>
      <c r="AG118" s="11" t="str">
        <f t="shared" si="6"/>
        <v>APROVADO</v>
      </c>
    </row>
    <row r="119" spans="2:33" ht="25.5" hidden="1" x14ac:dyDescent="0.25">
      <c r="B119" s="5">
        <v>115</v>
      </c>
      <c r="C119" s="6" t="s">
        <v>636</v>
      </c>
      <c r="D119" s="5" t="s">
        <v>33</v>
      </c>
      <c r="E119" s="7" t="s">
        <v>637</v>
      </c>
      <c r="F119" s="7" t="s">
        <v>638</v>
      </c>
      <c r="G119" s="7" t="s">
        <v>107</v>
      </c>
      <c r="H119" s="8">
        <v>627681.1</v>
      </c>
      <c r="I119" s="7" t="s">
        <v>73</v>
      </c>
      <c r="J119" s="7" t="s">
        <v>74</v>
      </c>
      <c r="K119" s="7" t="s">
        <v>639</v>
      </c>
      <c r="L119" s="9" t="s">
        <v>640</v>
      </c>
      <c r="M119" s="10">
        <v>45307</v>
      </c>
      <c r="N119" s="7" t="s">
        <v>67</v>
      </c>
      <c r="O119" s="7" t="s">
        <v>68</v>
      </c>
      <c r="P119" s="7"/>
      <c r="Q119" s="1">
        <v>306</v>
      </c>
      <c r="R119" s="1"/>
      <c r="S119" s="1"/>
      <c r="T119" s="1"/>
      <c r="U119" s="1"/>
      <c r="V119" s="1"/>
      <c r="W119" s="1"/>
      <c r="X119" s="1"/>
      <c r="Y119" s="1"/>
      <c r="Z119" s="1">
        <v>257</v>
      </c>
      <c r="AA119" s="1">
        <v>257</v>
      </c>
      <c r="AB119" s="1"/>
      <c r="AC119" s="1"/>
      <c r="AD119" s="1"/>
      <c r="AE119" s="1">
        <f t="shared" si="9"/>
        <v>3</v>
      </c>
      <c r="AF119" s="1">
        <f t="shared" si="5"/>
        <v>273.33333333333331</v>
      </c>
      <c r="AG119" s="11" t="str">
        <f t="shared" si="6"/>
        <v>APROVADO</v>
      </c>
    </row>
    <row r="120" spans="2:33" ht="25.5" hidden="1" x14ac:dyDescent="0.25">
      <c r="B120" s="5">
        <v>116</v>
      </c>
      <c r="C120" s="6" t="s">
        <v>641</v>
      </c>
      <c r="D120" s="5" t="s">
        <v>33</v>
      </c>
      <c r="E120" s="7" t="s">
        <v>637</v>
      </c>
      <c r="F120" s="7" t="s">
        <v>642</v>
      </c>
      <c r="G120" s="7" t="s">
        <v>107</v>
      </c>
      <c r="H120" s="8">
        <v>565125</v>
      </c>
      <c r="I120" s="7" t="s">
        <v>73</v>
      </c>
      <c r="J120" s="7" t="s">
        <v>74</v>
      </c>
      <c r="K120" s="7" t="s">
        <v>639</v>
      </c>
      <c r="L120" s="9" t="s">
        <v>640</v>
      </c>
      <c r="M120" s="10">
        <v>45307</v>
      </c>
      <c r="N120" s="7" t="s">
        <v>67</v>
      </c>
      <c r="O120" s="7" t="s">
        <v>68</v>
      </c>
      <c r="P120" s="7"/>
      <c r="Q120" s="1">
        <v>286</v>
      </c>
      <c r="R120" s="1"/>
      <c r="S120" s="1"/>
      <c r="T120" s="1"/>
      <c r="U120" s="1"/>
      <c r="V120" s="1"/>
      <c r="W120" s="1"/>
      <c r="X120" s="1"/>
      <c r="Y120" s="1">
        <v>249</v>
      </c>
      <c r="Z120" s="1"/>
      <c r="AA120" s="1">
        <v>249</v>
      </c>
      <c r="AB120" s="1"/>
      <c r="AC120" s="1"/>
      <c r="AD120" s="1"/>
      <c r="AE120" s="1">
        <f t="shared" si="9"/>
        <v>3</v>
      </c>
      <c r="AF120" s="1">
        <f t="shared" si="5"/>
        <v>261.33333333333331</v>
      </c>
      <c r="AG120" s="11" t="str">
        <f t="shared" si="6"/>
        <v>APROVADO</v>
      </c>
    </row>
    <row r="121" spans="2:33" ht="25.5" hidden="1" x14ac:dyDescent="0.25">
      <c r="B121" s="5">
        <v>117</v>
      </c>
      <c r="C121" s="27" t="s">
        <v>643</v>
      </c>
      <c r="D121" s="5" t="s">
        <v>33</v>
      </c>
      <c r="E121" s="7" t="s">
        <v>637</v>
      </c>
      <c r="F121" s="7" t="s">
        <v>644</v>
      </c>
      <c r="G121" s="7" t="s">
        <v>107</v>
      </c>
      <c r="H121" s="8">
        <v>428436</v>
      </c>
      <c r="I121" s="7" t="s">
        <v>73</v>
      </c>
      <c r="J121" s="7" t="s">
        <v>74</v>
      </c>
      <c r="K121" s="7" t="s">
        <v>639</v>
      </c>
      <c r="L121" s="9" t="s">
        <v>640</v>
      </c>
      <c r="M121" s="10">
        <v>45307</v>
      </c>
      <c r="N121" s="7" t="s">
        <v>41</v>
      </c>
      <c r="O121" s="7"/>
      <c r="P121" s="7"/>
      <c r="Q121" s="1">
        <v>313</v>
      </c>
      <c r="R121" s="1">
        <v>267</v>
      </c>
      <c r="S121" s="1">
        <v>273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f t="shared" si="9"/>
        <v>3</v>
      </c>
      <c r="AF121" s="1">
        <f t="shared" si="5"/>
        <v>284.33333333333331</v>
      </c>
      <c r="AG121" s="11" t="str">
        <f t="shared" si="6"/>
        <v>APROVADO</v>
      </c>
    </row>
    <row r="122" spans="2:33" ht="25.5" hidden="1" x14ac:dyDescent="0.25">
      <c r="B122" s="5">
        <v>118</v>
      </c>
      <c r="C122" s="6" t="s">
        <v>645</v>
      </c>
      <c r="D122" s="5" t="s">
        <v>33</v>
      </c>
      <c r="E122" s="7" t="s">
        <v>646</v>
      </c>
      <c r="F122" s="7" t="s">
        <v>647</v>
      </c>
      <c r="G122" s="7" t="s">
        <v>36</v>
      </c>
      <c r="H122" s="17">
        <v>1704249.92</v>
      </c>
      <c r="I122" s="7" t="s">
        <v>648</v>
      </c>
      <c r="J122" s="7" t="s">
        <v>254</v>
      </c>
      <c r="K122" s="7" t="s">
        <v>649</v>
      </c>
      <c r="L122" s="23" t="s">
        <v>650</v>
      </c>
      <c r="M122" s="10">
        <v>45308</v>
      </c>
      <c r="N122" s="7" t="s">
        <v>67</v>
      </c>
      <c r="O122" s="7" t="s">
        <v>375</v>
      </c>
      <c r="P122" s="20"/>
      <c r="Q122" s="1">
        <v>205</v>
      </c>
      <c r="R122" s="1"/>
      <c r="S122" s="1"/>
      <c r="T122" s="1"/>
      <c r="U122" s="1"/>
      <c r="V122" s="1">
        <v>225</v>
      </c>
      <c r="W122" s="1">
        <v>234</v>
      </c>
      <c r="X122" s="1"/>
      <c r="Y122" s="1"/>
      <c r="Z122" s="1"/>
      <c r="AA122" s="1"/>
      <c r="AB122" s="1"/>
      <c r="AC122" s="1"/>
      <c r="AD122" s="1"/>
      <c r="AE122" s="1">
        <f t="shared" si="9"/>
        <v>3</v>
      </c>
      <c r="AF122" s="1">
        <f t="shared" si="5"/>
        <v>221.33333333333334</v>
      </c>
      <c r="AG122" s="11" t="str">
        <f t="shared" si="6"/>
        <v>APROVADO</v>
      </c>
    </row>
    <row r="123" spans="2:33" ht="25.5" hidden="1" x14ac:dyDescent="0.25">
      <c r="B123" s="5">
        <v>119</v>
      </c>
      <c r="C123" s="27" t="s">
        <v>651</v>
      </c>
      <c r="D123" s="5" t="s">
        <v>33</v>
      </c>
      <c r="E123" s="7" t="s">
        <v>652</v>
      </c>
      <c r="F123" s="7" t="s">
        <v>653</v>
      </c>
      <c r="G123" s="5" t="s">
        <v>62</v>
      </c>
      <c r="H123" s="8">
        <v>199191.12</v>
      </c>
      <c r="I123" s="7" t="s">
        <v>654</v>
      </c>
      <c r="J123" s="7" t="s">
        <v>453</v>
      </c>
      <c r="K123" s="7" t="s">
        <v>655</v>
      </c>
      <c r="L123" s="9" t="s">
        <v>656</v>
      </c>
      <c r="M123" s="10">
        <v>45308</v>
      </c>
      <c r="N123" s="7" t="s">
        <v>41</v>
      </c>
      <c r="O123" s="7"/>
      <c r="P123" s="7"/>
      <c r="Q123" s="1">
        <v>340</v>
      </c>
      <c r="R123" s="1">
        <v>240</v>
      </c>
      <c r="S123" s="1">
        <v>266</v>
      </c>
      <c r="T123" s="1"/>
      <c r="U123" s="1"/>
      <c r="V123" s="1"/>
      <c r="W123" s="1"/>
      <c r="X123" s="1"/>
      <c r="Y123" s="1"/>
      <c r="Z123" s="1"/>
      <c r="AA123" s="1"/>
      <c r="AB123" s="1">
        <v>340</v>
      </c>
      <c r="AC123" s="1"/>
      <c r="AD123" s="1"/>
      <c r="AE123" s="1">
        <f t="shared" si="9"/>
        <v>4</v>
      </c>
      <c r="AF123" s="1">
        <f t="shared" si="5"/>
        <v>296.5</v>
      </c>
      <c r="AG123" s="11" t="str">
        <f t="shared" si="6"/>
        <v>APROVADO</v>
      </c>
    </row>
    <row r="124" spans="2:33" ht="25.5" hidden="1" x14ac:dyDescent="0.25">
      <c r="B124" s="5">
        <v>120</v>
      </c>
      <c r="C124" s="27" t="s">
        <v>657</v>
      </c>
      <c r="D124" s="5" t="s">
        <v>33</v>
      </c>
      <c r="E124" s="7" t="s">
        <v>658</v>
      </c>
      <c r="F124" s="7" t="s">
        <v>659</v>
      </c>
      <c r="G124" s="7" t="s">
        <v>36</v>
      </c>
      <c r="H124" s="8">
        <v>821650</v>
      </c>
      <c r="I124" s="7" t="s">
        <v>73</v>
      </c>
      <c r="J124" s="7" t="s">
        <v>74</v>
      </c>
      <c r="K124" s="7" t="s">
        <v>660</v>
      </c>
      <c r="L124" s="9" t="s">
        <v>661</v>
      </c>
      <c r="M124" s="10">
        <v>45308</v>
      </c>
      <c r="N124" s="7" t="s">
        <v>41</v>
      </c>
      <c r="O124" s="7"/>
      <c r="P124" s="7"/>
      <c r="Q124" s="1">
        <v>335</v>
      </c>
      <c r="R124" s="1">
        <v>112</v>
      </c>
      <c r="S124" s="1"/>
      <c r="T124" s="1"/>
      <c r="U124" s="1">
        <v>193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f t="shared" si="9"/>
        <v>3</v>
      </c>
      <c r="AF124" s="1">
        <f t="shared" si="5"/>
        <v>213.33333333333334</v>
      </c>
      <c r="AG124" s="11" t="str">
        <f t="shared" si="6"/>
        <v>APROVADO</v>
      </c>
    </row>
    <row r="125" spans="2:33" ht="25.5" hidden="1" x14ac:dyDescent="0.25">
      <c r="B125" s="5">
        <v>121</v>
      </c>
      <c r="C125" s="27" t="s">
        <v>662</v>
      </c>
      <c r="D125" s="5" t="s">
        <v>33</v>
      </c>
      <c r="E125" s="7" t="s">
        <v>658</v>
      </c>
      <c r="F125" s="7" t="s">
        <v>663</v>
      </c>
      <c r="G125" s="7" t="s">
        <v>107</v>
      </c>
      <c r="H125" s="8">
        <v>368150</v>
      </c>
      <c r="I125" s="7" t="s">
        <v>73</v>
      </c>
      <c r="J125" s="7" t="s">
        <v>74</v>
      </c>
      <c r="K125" s="7" t="s">
        <v>660</v>
      </c>
      <c r="L125" s="9" t="s">
        <v>661</v>
      </c>
      <c r="M125" s="10">
        <v>45308</v>
      </c>
      <c r="N125" s="7" t="s">
        <v>41</v>
      </c>
      <c r="O125" s="7"/>
      <c r="P125" s="7"/>
      <c r="Q125" s="1">
        <v>327</v>
      </c>
      <c r="R125" s="1">
        <v>187</v>
      </c>
      <c r="S125" s="1"/>
      <c r="T125" s="1"/>
      <c r="U125" s="1">
        <v>193</v>
      </c>
      <c r="V125" s="1"/>
      <c r="W125" s="1"/>
      <c r="X125" s="1"/>
      <c r="Y125" s="1"/>
      <c r="Z125" s="1"/>
      <c r="AA125" s="1"/>
      <c r="AB125" s="1"/>
      <c r="AC125" s="1"/>
      <c r="AD125" s="1"/>
      <c r="AE125" s="1">
        <f t="shared" si="9"/>
        <v>3</v>
      </c>
      <c r="AF125" s="1">
        <f t="shared" si="5"/>
        <v>235.66666666666666</v>
      </c>
      <c r="AG125" s="11" t="str">
        <f t="shared" si="6"/>
        <v>APROVADO</v>
      </c>
    </row>
    <row r="126" spans="2:33" ht="38.25" hidden="1" x14ac:dyDescent="0.25">
      <c r="B126" s="5">
        <v>122</v>
      </c>
      <c r="C126" s="36" t="s">
        <v>664</v>
      </c>
      <c r="D126" s="5" t="s">
        <v>33</v>
      </c>
      <c r="E126" s="5" t="s">
        <v>658</v>
      </c>
      <c r="F126" s="5" t="s">
        <v>665</v>
      </c>
      <c r="G126" s="5" t="s">
        <v>174</v>
      </c>
      <c r="H126" s="17">
        <v>752776.94</v>
      </c>
      <c r="I126" s="7" t="s">
        <v>73</v>
      </c>
      <c r="J126" s="7" t="s">
        <v>74</v>
      </c>
      <c r="K126" s="7" t="s">
        <v>660</v>
      </c>
      <c r="L126" s="9" t="s">
        <v>661</v>
      </c>
      <c r="M126" s="10">
        <v>45308</v>
      </c>
      <c r="N126" s="13" t="s">
        <v>226</v>
      </c>
      <c r="O126" s="5" t="s">
        <v>666</v>
      </c>
      <c r="P126" s="5"/>
      <c r="Q126" s="1">
        <v>0</v>
      </c>
      <c r="R126" s="1">
        <v>187</v>
      </c>
      <c r="S126" s="1"/>
      <c r="T126" s="1"/>
      <c r="U126" s="1"/>
      <c r="V126" s="1"/>
      <c r="W126" s="1"/>
      <c r="X126" s="1"/>
      <c r="Y126" s="1"/>
      <c r="Z126" s="1"/>
      <c r="AA126" s="1"/>
      <c r="AB126" s="1">
        <v>0</v>
      </c>
      <c r="AC126" s="1"/>
      <c r="AD126" s="1"/>
      <c r="AE126" s="1"/>
      <c r="AF126" s="1">
        <f t="shared" si="5"/>
        <v>62.333333333333336</v>
      </c>
      <c r="AG126" s="11" t="str">
        <f t="shared" si="6"/>
        <v>REPROVADO</v>
      </c>
    </row>
    <row r="127" spans="2:33" ht="38.25" hidden="1" x14ac:dyDescent="0.25">
      <c r="B127" s="5">
        <v>123</v>
      </c>
      <c r="C127" s="16" t="s">
        <v>667</v>
      </c>
      <c r="D127" s="5" t="s">
        <v>33</v>
      </c>
      <c r="E127" s="7" t="s">
        <v>668</v>
      </c>
      <c r="F127" s="7" t="s">
        <v>669</v>
      </c>
      <c r="G127" s="7" t="s">
        <v>36</v>
      </c>
      <c r="H127" s="8">
        <v>2241682.9500000002</v>
      </c>
      <c r="I127" s="7" t="s">
        <v>670</v>
      </c>
      <c r="J127" s="7" t="s">
        <v>254</v>
      </c>
      <c r="K127" s="7" t="s">
        <v>671</v>
      </c>
      <c r="L127" s="9" t="s">
        <v>672</v>
      </c>
      <c r="M127" s="10">
        <v>45308</v>
      </c>
      <c r="N127" s="7" t="s">
        <v>82</v>
      </c>
      <c r="O127" s="7" t="s">
        <v>419</v>
      </c>
      <c r="P127" s="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 t="e">
        <f t="shared" si="5"/>
        <v>#DIV/0!</v>
      </c>
      <c r="AG127" s="11" t="e">
        <f t="shared" si="6"/>
        <v>#DIV/0!</v>
      </c>
    </row>
    <row r="128" spans="2:33" ht="25.5" hidden="1" x14ac:dyDescent="0.25">
      <c r="B128" s="5">
        <v>124</v>
      </c>
      <c r="C128" s="16" t="s">
        <v>673</v>
      </c>
      <c r="D128" s="5" t="s">
        <v>33</v>
      </c>
      <c r="E128" s="7" t="s">
        <v>674</v>
      </c>
      <c r="F128" s="7" t="s">
        <v>675</v>
      </c>
      <c r="G128" s="7" t="s">
        <v>36</v>
      </c>
      <c r="H128" s="8">
        <v>373709.52</v>
      </c>
      <c r="I128" s="7" t="s">
        <v>676</v>
      </c>
      <c r="J128" s="7" t="s">
        <v>677</v>
      </c>
      <c r="K128" s="7" t="s">
        <v>678</v>
      </c>
      <c r="L128" s="9" t="s">
        <v>679</v>
      </c>
      <c r="M128" s="10">
        <v>45308</v>
      </c>
      <c r="N128" s="7" t="s">
        <v>82</v>
      </c>
      <c r="O128" s="7" t="s">
        <v>83</v>
      </c>
      <c r="P128" s="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 t="e">
        <f t="shared" si="5"/>
        <v>#DIV/0!</v>
      </c>
      <c r="AG128" s="11" t="e">
        <f t="shared" si="6"/>
        <v>#DIV/0!</v>
      </c>
    </row>
    <row r="129" spans="2:33" hidden="1" x14ac:dyDescent="0.25">
      <c r="B129" s="5">
        <v>125</v>
      </c>
      <c r="C129" s="16" t="s">
        <v>680</v>
      </c>
      <c r="D129" s="5" t="s">
        <v>33</v>
      </c>
      <c r="E129" s="7" t="s">
        <v>681</v>
      </c>
      <c r="F129" s="7" t="s">
        <v>682</v>
      </c>
      <c r="G129" s="7" t="s">
        <v>36</v>
      </c>
      <c r="H129" s="8">
        <v>283360</v>
      </c>
      <c r="I129" s="7" t="s">
        <v>486</v>
      </c>
      <c r="J129" s="7" t="s">
        <v>348</v>
      </c>
      <c r="K129" s="7" t="s">
        <v>683</v>
      </c>
      <c r="L129" s="9" t="s">
        <v>684</v>
      </c>
      <c r="M129" s="10">
        <v>45308</v>
      </c>
      <c r="N129" s="7" t="s">
        <v>82</v>
      </c>
      <c r="O129" s="7" t="s">
        <v>83</v>
      </c>
      <c r="P129" s="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 t="e">
        <f t="shared" si="5"/>
        <v>#DIV/0!</v>
      </c>
      <c r="AG129" s="11" t="e">
        <f t="shared" si="6"/>
        <v>#DIV/0!</v>
      </c>
    </row>
    <row r="130" spans="2:33" ht="25.5" hidden="1" x14ac:dyDescent="0.25">
      <c r="B130" s="5">
        <v>126</v>
      </c>
      <c r="C130" s="6" t="s">
        <v>685</v>
      </c>
      <c r="D130" s="5" t="s">
        <v>33</v>
      </c>
      <c r="E130" s="7" t="s">
        <v>686</v>
      </c>
      <c r="F130" s="7" t="s">
        <v>687</v>
      </c>
      <c r="G130" s="7" t="s">
        <v>36</v>
      </c>
      <c r="H130" s="8">
        <v>78244</v>
      </c>
      <c r="I130" s="7" t="s">
        <v>688</v>
      </c>
      <c r="J130" s="7" t="s">
        <v>445</v>
      </c>
      <c r="K130" s="7" t="s">
        <v>689</v>
      </c>
      <c r="L130" s="31" t="s">
        <v>690</v>
      </c>
      <c r="M130" s="10">
        <v>45308</v>
      </c>
      <c r="N130" s="7" t="s">
        <v>67</v>
      </c>
      <c r="O130" s="7" t="s">
        <v>89</v>
      </c>
      <c r="P130" s="7"/>
      <c r="Q130" s="1">
        <v>340</v>
      </c>
      <c r="R130" s="1">
        <v>284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>
        <v>310</v>
      </c>
      <c r="AE130" s="1">
        <f>COUNT(Q130:AD130)</f>
        <v>3</v>
      </c>
      <c r="AF130" s="1">
        <f t="shared" si="5"/>
        <v>311.33333333333331</v>
      </c>
      <c r="AG130" s="11" t="str">
        <f t="shared" si="6"/>
        <v>APROVADO</v>
      </c>
    </row>
    <row r="131" spans="2:33" ht="25.5" hidden="1" x14ac:dyDescent="0.25">
      <c r="B131" s="5">
        <v>127</v>
      </c>
      <c r="C131" s="27" t="s">
        <v>691</v>
      </c>
      <c r="D131" s="5" t="s">
        <v>33</v>
      </c>
      <c r="E131" s="7" t="s">
        <v>692</v>
      </c>
      <c r="F131" s="7" t="s">
        <v>693</v>
      </c>
      <c r="G131" s="7" t="s">
        <v>36</v>
      </c>
      <c r="H131" s="8">
        <v>1212370</v>
      </c>
      <c r="I131" s="7" t="s">
        <v>73</v>
      </c>
      <c r="J131" s="7" t="s">
        <v>74</v>
      </c>
      <c r="K131" s="7" t="s">
        <v>694</v>
      </c>
      <c r="L131" s="9" t="s">
        <v>695</v>
      </c>
      <c r="M131" s="10">
        <v>45308</v>
      </c>
      <c r="N131" s="7" t="s">
        <v>41</v>
      </c>
      <c r="O131" s="7"/>
      <c r="P131" s="7"/>
      <c r="Q131" s="1">
        <v>302</v>
      </c>
      <c r="R131" s="1">
        <v>103</v>
      </c>
      <c r="S131" s="1"/>
      <c r="T131" s="1"/>
      <c r="U131" s="1">
        <v>99</v>
      </c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>
        <f t="shared" si="5"/>
        <v>168</v>
      </c>
      <c r="AG131" s="11" t="str">
        <f t="shared" si="6"/>
        <v>REPROVADO</v>
      </c>
    </row>
    <row r="132" spans="2:33" ht="25.5" hidden="1" x14ac:dyDescent="0.25">
      <c r="B132" s="5">
        <v>128</v>
      </c>
      <c r="C132" s="27" t="s">
        <v>696</v>
      </c>
      <c r="D132" s="5" t="s">
        <v>33</v>
      </c>
      <c r="E132" s="7" t="s">
        <v>692</v>
      </c>
      <c r="F132" s="7" t="s">
        <v>697</v>
      </c>
      <c r="G132" s="7" t="s">
        <v>36</v>
      </c>
      <c r="H132" s="8">
        <v>738607</v>
      </c>
      <c r="I132" s="7" t="s">
        <v>73</v>
      </c>
      <c r="J132" s="7" t="s">
        <v>74</v>
      </c>
      <c r="K132" s="7" t="s">
        <v>694</v>
      </c>
      <c r="L132" s="9" t="s">
        <v>695</v>
      </c>
      <c r="M132" s="10">
        <v>45308</v>
      </c>
      <c r="N132" s="7" t="s">
        <v>41</v>
      </c>
      <c r="O132" s="7"/>
      <c r="P132" s="7"/>
      <c r="Q132" s="1">
        <v>314</v>
      </c>
      <c r="R132" s="1">
        <v>164</v>
      </c>
      <c r="S132" s="1"/>
      <c r="T132" s="1"/>
      <c r="U132" s="1">
        <v>187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f>COUNT(Q132:AD132)</f>
        <v>3</v>
      </c>
      <c r="AF132" s="1">
        <f t="shared" si="5"/>
        <v>221.66666666666666</v>
      </c>
      <c r="AG132" s="11" t="str">
        <f t="shared" si="6"/>
        <v>APROVADO</v>
      </c>
    </row>
    <row r="133" spans="2:33" ht="38.25" hidden="1" x14ac:dyDescent="0.25">
      <c r="B133" s="5">
        <v>129</v>
      </c>
      <c r="C133" s="27" t="s">
        <v>698</v>
      </c>
      <c r="D133" s="5" t="s">
        <v>33</v>
      </c>
      <c r="E133" s="7" t="s">
        <v>699</v>
      </c>
      <c r="F133" s="7" t="s">
        <v>700</v>
      </c>
      <c r="G133" s="7" t="s">
        <v>36</v>
      </c>
      <c r="H133" s="8">
        <v>49990</v>
      </c>
      <c r="I133" s="7" t="s">
        <v>701</v>
      </c>
      <c r="J133" s="7" t="s">
        <v>95</v>
      </c>
      <c r="K133" s="7" t="s">
        <v>702</v>
      </c>
      <c r="L133" s="9" t="s">
        <v>703</v>
      </c>
      <c r="M133" s="10">
        <v>45308</v>
      </c>
      <c r="N133" s="7" t="s">
        <v>41</v>
      </c>
      <c r="O133" s="7"/>
      <c r="P133" s="7"/>
      <c r="Q133" s="1">
        <v>254</v>
      </c>
      <c r="R133" s="1">
        <v>144</v>
      </c>
      <c r="S133" s="1"/>
      <c r="T133" s="1"/>
      <c r="U133" s="1">
        <v>151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>
        <f t="shared" ref="AF133:AF196" si="10">AVERAGE(Q133:AD133)</f>
        <v>183</v>
      </c>
      <c r="AG133" s="11" t="str">
        <f t="shared" ref="AG133:AG196" si="11">IF(AF133&gt;=$AG$1,"APROVADO","REPROVADO")</f>
        <v>REPROVADO</v>
      </c>
    </row>
    <row r="134" spans="2:33" ht="38.25" hidden="1" x14ac:dyDescent="0.25">
      <c r="B134" s="5">
        <v>130</v>
      </c>
      <c r="C134" s="27" t="s">
        <v>704</v>
      </c>
      <c r="D134" s="5" t="s">
        <v>33</v>
      </c>
      <c r="E134" s="7" t="s">
        <v>699</v>
      </c>
      <c r="F134" s="7" t="s">
        <v>705</v>
      </c>
      <c r="G134" s="7" t="s">
        <v>36</v>
      </c>
      <c r="H134" s="8">
        <v>91188.36</v>
      </c>
      <c r="I134" s="7" t="s">
        <v>701</v>
      </c>
      <c r="J134" s="7" t="s">
        <v>95</v>
      </c>
      <c r="K134" s="7" t="s">
        <v>702</v>
      </c>
      <c r="L134" s="9" t="s">
        <v>703</v>
      </c>
      <c r="M134" s="10">
        <v>45308</v>
      </c>
      <c r="N134" s="7" t="s">
        <v>41</v>
      </c>
      <c r="O134" s="7"/>
      <c r="P134" s="7"/>
      <c r="Q134" s="1">
        <v>340</v>
      </c>
      <c r="R134" s="1">
        <v>240</v>
      </c>
      <c r="S134" s="1"/>
      <c r="T134" s="1"/>
      <c r="U134" s="1">
        <v>249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f t="shared" ref="AE134:AE141" si="12">COUNT(Q134:AD134)</f>
        <v>3</v>
      </c>
      <c r="AF134" s="1">
        <f t="shared" si="10"/>
        <v>276.33333333333331</v>
      </c>
      <c r="AG134" s="11" t="str">
        <f t="shared" si="11"/>
        <v>APROVADO</v>
      </c>
    </row>
    <row r="135" spans="2:33" ht="38.25" hidden="1" x14ac:dyDescent="0.25">
      <c r="B135" s="5">
        <v>131</v>
      </c>
      <c r="C135" s="27" t="s">
        <v>706</v>
      </c>
      <c r="D135" s="5" t="s">
        <v>33</v>
      </c>
      <c r="E135" s="7" t="s">
        <v>707</v>
      </c>
      <c r="F135" s="7" t="s">
        <v>708</v>
      </c>
      <c r="G135" s="7" t="s">
        <v>36</v>
      </c>
      <c r="H135" s="8">
        <v>711386.16</v>
      </c>
      <c r="I135" s="7" t="s">
        <v>701</v>
      </c>
      <c r="J135" s="7" t="s">
        <v>95</v>
      </c>
      <c r="K135" s="7" t="s">
        <v>709</v>
      </c>
      <c r="L135" s="9" t="s">
        <v>710</v>
      </c>
      <c r="M135" s="10">
        <v>45308</v>
      </c>
      <c r="N135" s="7" t="s">
        <v>41</v>
      </c>
      <c r="O135" s="7"/>
      <c r="P135" s="7"/>
      <c r="Q135" s="1">
        <v>316</v>
      </c>
      <c r="R135" s="1">
        <v>227</v>
      </c>
      <c r="S135" s="1"/>
      <c r="T135" s="1"/>
      <c r="U135" s="1">
        <v>232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f t="shared" si="12"/>
        <v>3</v>
      </c>
      <c r="AF135" s="1">
        <f t="shared" si="10"/>
        <v>258.33333333333331</v>
      </c>
      <c r="AG135" s="11" t="str">
        <f t="shared" si="11"/>
        <v>APROVADO</v>
      </c>
    </row>
    <row r="136" spans="2:33" ht="38.25" hidden="1" x14ac:dyDescent="0.25">
      <c r="B136" s="5">
        <v>132</v>
      </c>
      <c r="C136" s="24" t="s">
        <v>711</v>
      </c>
      <c r="D136" s="5" t="s">
        <v>51</v>
      </c>
      <c r="E136" s="13" t="s">
        <v>712</v>
      </c>
      <c r="F136" s="13" t="s">
        <v>713</v>
      </c>
      <c r="G136" s="14" t="s">
        <v>107</v>
      </c>
      <c r="H136" s="28">
        <v>174295.5</v>
      </c>
      <c r="I136" s="29" t="s">
        <v>701</v>
      </c>
      <c r="J136" s="11" t="s">
        <v>95</v>
      </c>
      <c r="K136" s="13" t="s">
        <v>714</v>
      </c>
      <c r="L136" s="13" t="s">
        <v>715</v>
      </c>
      <c r="M136" s="26">
        <v>45308</v>
      </c>
      <c r="N136" s="13" t="s">
        <v>41</v>
      </c>
      <c r="O136" s="14"/>
      <c r="P136" s="13"/>
      <c r="Q136" s="1">
        <v>339</v>
      </c>
      <c r="R136" s="1">
        <v>271</v>
      </c>
      <c r="S136" s="1"/>
      <c r="T136" s="1"/>
      <c r="U136" s="1">
        <v>261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f t="shared" si="12"/>
        <v>3</v>
      </c>
      <c r="AF136" s="1">
        <f t="shared" si="10"/>
        <v>290.33333333333331</v>
      </c>
      <c r="AG136" s="11" t="str">
        <f t="shared" si="11"/>
        <v>APROVADO</v>
      </c>
    </row>
    <row r="137" spans="2:33" ht="38.25" hidden="1" x14ac:dyDescent="0.25">
      <c r="B137" s="5">
        <v>133</v>
      </c>
      <c r="C137" s="24" t="s">
        <v>716</v>
      </c>
      <c r="D137" s="5" t="s">
        <v>51</v>
      </c>
      <c r="E137" s="13" t="s">
        <v>712</v>
      </c>
      <c r="F137" s="13" t="s">
        <v>717</v>
      </c>
      <c r="G137" s="14" t="s">
        <v>72</v>
      </c>
      <c r="H137" s="28">
        <v>324000</v>
      </c>
      <c r="I137" s="29" t="s">
        <v>701</v>
      </c>
      <c r="J137" s="11" t="s">
        <v>95</v>
      </c>
      <c r="K137" s="13" t="s">
        <v>718</v>
      </c>
      <c r="L137" s="13" t="s">
        <v>719</v>
      </c>
      <c r="M137" s="26">
        <v>45308</v>
      </c>
      <c r="N137" s="13" t="s">
        <v>41</v>
      </c>
      <c r="O137" s="13"/>
      <c r="P137" s="13"/>
      <c r="Q137" s="1">
        <v>285</v>
      </c>
      <c r="R137" s="1">
        <v>268</v>
      </c>
      <c r="S137" s="1"/>
      <c r="T137" s="1"/>
      <c r="U137" s="1">
        <v>260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f t="shared" si="12"/>
        <v>3</v>
      </c>
      <c r="AF137" s="1">
        <f t="shared" si="10"/>
        <v>271</v>
      </c>
      <c r="AG137" s="11" t="str">
        <f t="shared" si="11"/>
        <v>APROVADO</v>
      </c>
    </row>
    <row r="138" spans="2:33" ht="39" hidden="1" x14ac:dyDescent="0.25">
      <c r="B138" s="5">
        <v>134</v>
      </c>
      <c r="C138" s="22" t="s">
        <v>720</v>
      </c>
      <c r="D138" s="5" t="s">
        <v>51</v>
      </c>
      <c r="E138" s="13" t="s">
        <v>712</v>
      </c>
      <c r="F138" s="14" t="s">
        <v>721</v>
      </c>
      <c r="G138" s="14" t="s">
        <v>62</v>
      </c>
      <c r="H138" s="28">
        <v>600000</v>
      </c>
      <c r="I138" s="29" t="s">
        <v>701</v>
      </c>
      <c r="J138" s="11" t="s">
        <v>95</v>
      </c>
      <c r="K138" s="13" t="s">
        <v>722</v>
      </c>
      <c r="L138" s="13" t="s">
        <v>723</v>
      </c>
      <c r="M138" s="26">
        <v>45308</v>
      </c>
      <c r="N138" s="13" t="s">
        <v>57</v>
      </c>
      <c r="O138" s="14" t="s">
        <v>724</v>
      </c>
      <c r="P138" s="13"/>
      <c r="Q138" s="1">
        <v>305</v>
      </c>
      <c r="R138" s="1">
        <v>249</v>
      </c>
      <c r="S138" s="1"/>
      <c r="T138" s="1"/>
      <c r="U138" s="1"/>
      <c r="V138" s="1"/>
      <c r="W138" s="1"/>
      <c r="X138" s="1"/>
      <c r="Y138" s="1">
        <v>340</v>
      </c>
      <c r="Z138" s="1"/>
      <c r="AA138" s="1"/>
      <c r="AB138" s="1"/>
      <c r="AC138" s="1"/>
      <c r="AD138" s="1"/>
      <c r="AE138" s="1">
        <f t="shared" si="12"/>
        <v>3</v>
      </c>
      <c r="AF138" s="1">
        <f t="shared" si="10"/>
        <v>298</v>
      </c>
      <c r="AG138" s="11" t="str">
        <f t="shared" si="11"/>
        <v>APROVADO</v>
      </c>
    </row>
    <row r="139" spans="2:33" hidden="1" x14ac:dyDescent="0.25">
      <c r="B139" s="5">
        <v>135</v>
      </c>
      <c r="C139" s="6" t="s">
        <v>725</v>
      </c>
      <c r="D139" s="5" t="s">
        <v>51</v>
      </c>
      <c r="E139" s="7" t="s">
        <v>726</v>
      </c>
      <c r="F139" s="7" t="s">
        <v>727</v>
      </c>
      <c r="G139" s="7" t="s">
        <v>62</v>
      </c>
      <c r="H139" s="28">
        <v>465571.15</v>
      </c>
      <c r="I139" s="7" t="s">
        <v>728</v>
      </c>
      <c r="J139" s="11" t="s">
        <v>123</v>
      </c>
      <c r="K139" s="7" t="s">
        <v>729</v>
      </c>
      <c r="L139" s="7" t="s">
        <v>730</v>
      </c>
      <c r="M139" s="10">
        <v>45308</v>
      </c>
      <c r="N139" s="7" t="s">
        <v>57</v>
      </c>
      <c r="O139" s="7" t="s">
        <v>518</v>
      </c>
      <c r="P139" s="13"/>
      <c r="Q139" s="1">
        <v>340</v>
      </c>
      <c r="R139" s="1"/>
      <c r="S139" s="1"/>
      <c r="T139" s="1"/>
      <c r="U139" s="1"/>
      <c r="V139" s="1">
        <v>340</v>
      </c>
      <c r="W139" s="1">
        <v>340</v>
      </c>
      <c r="X139" s="1"/>
      <c r="Y139" s="1"/>
      <c r="Z139" s="1"/>
      <c r="AA139" s="1"/>
      <c r="AB139" s="1"/>
      <c r="AC139" s="1"/>
      <c r="AD139" s="1"/>
      <c r="AE139" s="1">
        <f t="shared" si="12"/>
        <v>3</v>
      </c>
      <c r="AF139" s="1">
        <f t="shared" si="10"/>
        <v>340</v>
      </c>
      <c r="AG139" s="11" t="str">
        <f t="shared" si="11"/>
        <v>APROVADO</v>
      </c>
    </row>
    <row r="140" spans="2:33" ht="25.5" hidden="1" x14ac:dyDescent="0.25">
      <c r="B140" s="5">
        <v>136</v>
      </c>
      <c r="C140" s="6" t="s">
        <v>731</v>
      </c>
      <c r="D140" s="5" t="s">
        <v>51</v>
      </c>
      <c r="E140" s="7" t="s">
        <v>726</v>
      </c>
      <c r="F140" s="7" t="s">
        <v>732</v>
      </c>
      <c r="G140" s="7" t="s">
        <v>107</v>
      </c>
      <c r="H140" s="28">
        <v>3287929.33</v>
      </c>
      <c r="I140" s="13" t="s">
        <v>728</v>
      </c>
      <c r="J140" s="11" t="s">
        <v>123</v>
      </c>
      <c r="K140" s="7" t="s">
        <v>729</v>
      </c>
      <c r="L140" s="7" t="s">
        <v>730</v>
      </c>
      <c r="M140" s="26">
        <v>45308</v>
      </c>
      <c r="N140" s="7" t="s">
        <v>57</v>
      </c>
      <c r="O140" s="7" t="s">
        <v>518</v>
      </c>
      <c r="P140" s="13"/>
      <c r="Q140" s="1">
        <v>285</v>
      </c>
      <c r="R140" s="1"/>
      <c r="S140" s="1"/>
      <c r="T140" s="1"/>
      <c r="U140" s="1"/>
      <c r="V140" s="1">
        <v>305</v>
      </c>
      <c r="W140" s="1">
        <v>295</v>
      </c>
      <c r="X140" s="1"/>
      <c r="Y140" s="1"/>
      <c r="Z140" s="1"/>
      <c r="AA140" s="1"/>
      <c r="AB140" s="1"/>
      <c r="AC140" s="1"/>
      <c r="AD140" s="1"/>
      <c r="AE140" s="1">
        <f t="shared" si="12"/>
        <v>3</v>
      </c>
      <c r="AF140" s="1">
        <f t="shared" si="10"/>
        <v>295</v>
      </c>
      <c r="AG140" s="11" t="str">
        <f t="shared" si="11"/>
        <v>APROVADO</v>
      </c>
    </row>
    <row r="141" spans="2:33" hidden="1" x14ac:dyDescent="0.25">
      <c r="B141" s="5">
        <v>137</v>
      </c>
      <c r="C141" s="6" t="s">
        <v>733</v>
      </c>
      <c r="D141" s="5" t="s">
        <v>51</v>
      </c>
      <c r="E141" s="7" t="s">
        <v>726</v>
      </c>
      <c r="F141" s="7" t="s">
        <v>734</v>
      </c>
      <c r="G141" s="7" t="s">
        <v>107</v>
      </c>
      <c r="H141" s="28">
        <v>348245</v>
      </c>
      <c r="I141" s="13" t="s">
        <v>728</v>
      </c>
      <c r="J141" s="11" t="s">
        <v>123</v>
      </c>
      <c r="K141" s="7" t="s">
        <v>729</v>
      </c>
      <c r="L141" s="7" t="s">
        <v>730</v>
      </c>
      <c r="M141" s="26">
        <v>45308</v>
      </c>
      <c r="N141" s="13" t="s">
        <v>57</v>
      </c>
      <c r="O141" s="14" t="s">
        <v>735</v>
      </c>
      <c r="P141" s="13"/>
      <c r="Q141" s="1">
        <v>308</v>
      </c>
      <c r="R141" s="1"/>
      <c r="S141" s="1"/>
      <c r="T141" s="1"/>
      <c r="U141" s="1"/>
      <c r="V141" s="1"/>
      <c r="W141" s="1"/>
      <c r="X141" s="1"/>
      <c r="Y141" s="1"/>
      <c r="Z141" s="1">
        <v>303</v>
      </c>
      <c r="AA141" s="1"/>
      <c r="AB141" s="1"/>
      <c r="AC141" s="1">
        <v>336</v>
      </c>
      <c r="AD141" s="1"/>
      <c r="AE141" s="1">
        <f t="shared" si="12"/>
        <v>3</v>
      </c>
      <c r="AF141" s="1">
        <f t="shared" si="10"/>
        <v>315.66666666666669</v>
      </c>
      <c r="AG141" s="11" t="str">
        <f t="shared" si="11"/>
        <v>APROVADO</v>
      </c>
    </row>
    <row r="142" spans="2:33" ht="25.5" hidden="1" x14ac:dyDescent="0.25">
      <c r="B142" s="5">
        <v>138</v>
      </c>
      <c r="C142" s="35" t="s">
        <v>736</v>
      </c>
      <c r="D142" s="5" t="s">
        <v>33</v>
      </c>
      <c r="E142" s="7" t="s">
        <v>737</v>
      </c>
      <c r="F142" s="7" t="s">
        <v>738</v>
      </c>
      <c r="G142" s="7" t="s">
        <v>107</v>
      </c>
      <c r="H142" s="8">
        <v>396180.65</v>
      </c>
      <c r="I142" s="7" t="s">
        <v>73</v>
      </c>
      <c r="J142" s="5" t="s">
        <v>74</v>
      </c>
      <c r="K142" s="7" t="s">
        <v>739</v>
      </c>
      <c r="L142" s="9" t="s">
        <v>740</v>
      </c>
      <c r="M142" s="10">
        <v>45308</v>
      </c>
      <c r="N142" s="7" t="s">
        <v>82</v>
      </c>
      <c r="O142" s="7" t="s">
        <v>83</v>
      </c>
      <c r="P142" s="9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 t="e">
        <f t="shared" si="10"/>
        <v>#DIV/0!</v>
      </c>
      <c r="AG142" s="11" t="e">
        <f t="shared" si="11"/>
        <v>#DIV/0!</v>
      </c>
    </row>
    <row r="143" spans="2:33" ht="25.5" hidden="1" x14ac:dyDescent="0.25">
      <c r="B143" s="5">
        <v>139</v>
      </c>
      <c r="C143" s="6" t="s">
        <v>741</v>
      </c>
      <c r="D143" s="5" t="s">
        <v>33</v>
      </c>
      <c r="E143" s="5" t="s">
        <v>742</v>
      </c>
      <c r="F143" s="5" t="s">
        <v>743</v>
      </c>
      <c r="G143" s="7" t="s">
        <v>107</v>
      </c>
      <c r="H143" s="8">
        <v>195000</v>
      </c>
      <c r="I143" s="7" t="s">
        <v>73</v>
      </c>
      <c r="J143" s="7" t="s">
        <v>74</v>
      </c>
      <c r="K143" s="7" t="s">
        <v>744</v>
      </c>
      <c r="L143" s="9" t="s">
        <v>745</v>
      </c>
      <c r="M143" s="10">
        <v>45308</v>
      </c>
      <c r="N143" s="5" t="s">
        <v>67</v>
      </c>
      <c r="O143" s="7" t="s">
        <v>746</v>
      </c>
      <c r="P143" s="7"/>
      <c r="Q143" s="1">
        <v>223</v>
      </c>
      <c r="R143" s="1">
        <v>242</v>
      </c>
      <c r="S143" s="1">
        <v>170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>
        <f>COUNT(Q143:AD143)</f>
        <v>3</v>
      </c>
      <c r="AF143" s="1">
        <f t="shared" si="10"/>
        <v>211.66666666666666</v>
      </c>
      <c r="AG143" s="11" t="str">
        <f t="shared" si="11"/>
        <v>APROVADO</v>
      </c>
    </row>
    <row r="144" spans="2:33" ht="38.25" hidden="1" x14ac:dyDescent="0.25">
      <c r="B144" s="5">
        <v>140</v>
      </c>
      <c r="C144" s="6" t="s">
        <v>747</v>
      </c>
      <c r="D144" s="5" t="s">
        <v>33</v>
      </c>
      <c r="E144" s="7" t="s">
        <v>748</v>
      </c>
      <c r="F144" s="7" t="s">
        <v>749</v>
      </c>
      <c r="G144" s="7" t="s">
        <v>36</v>
      </c>
      <c r="H144" s="8">
        <v>181500</v>
      </c>
      <c r="I144" s="7" t="s">
        <v>750</v>
      </c>
      <c r="J144" s="7" t="s">
        <v>223</v>
      </c>
      <c r="K144" s="7" t="s">
        <v>751</v>
      </c>
      <c r="L144" s="9" t="s">
        <v>752</v>
      </c>
      <c r="M144" s="10">
        <v>45308</v>
      </c>
      <c r="N144" s="7" t="s">
        <v>67</v>
      </c>
      <c r="O144" s="7" t="s">
        <v>98</v>
      </c>
      <c r="P144" s="7"/>
      <c r="Q144" s="1"/>
      <c r="R144" s="1">
        <v>224</v>
      </c>
      <c r="S144" s="1"/>
      <c r="T144" s="1"/>
      <c r="U144" s="1"/>
      <c r="V144" s="1"/>
      <c r="W144" s="1"/>
      <c r="X144" s="1">
        <v>310</v>
      </c>
      <c r="Y144" s="1">
        <v>334</v>
      </c>
      <c r="Z144" s="1"/>
      <c r="AA144" s="1"/>
      <c r="AB144" s="1"/>
      <c r="AC144" s="1"/>
      <c r="AD144" s="1"/>
      <c r="AE144" s="1">
        <f>COUNT(Q144:AD144)</f>
        <v>3</v>
      </c>
      <c r="AF144" s="1">
        <f t="shared" si="10"/>
        <v>289.33333333333331</v>
      </c>
      <c r="AG144" s="11" t="str">
        <f t="shared" si="11"/>
        <v>APROVADO</v>
      </c>
    </row>
    <row r="145" spans="2:33" ht="26.25" hidden="1" x14ac:dyDescent="0.25">
      <c r="B145" s="5">
        <v>141</v>
      </c>
      <c r="C145" s="24" t="s">
        <v>753</v>
      </c>
      <c r="D145" s="5" t="s">
        <v>51</v>
      </c>
      <c r="E145" s="13" t="s">
        <v>754</v>
      </c>
      <c r="F145" s="14" t="s">
        <v>755</v>
      </c>
      <c r="G145" s="14" t="s">
        <v>36</v>
      </c>
      <c r="H145" s="28">
        <v>50000</v>
      </c>
      <c r="I145" s="29" t="s">
        <v>756</v>
      </c>
      <c r="J145" s="11" t="s">
        <v>47</v>
      </c>
      <c r="K145" s="13" t="s">
        <v>757</v>
      </c>
      <c r="L145" s="13" t="s">
        <v>719</v>
      </c>
      <c r="M145" s="26">
        <v>45308</v>
      </c>
      <c r="N145" s="13" t="s">
        <v>41</v>
      </c>
      <c r="O145" s="14"/>
      <c r="P145" s="13"/>
      <c r="Q145" s="1">
        <v>323</v>
      </c>
      <c r="R145" s="1">
        <v>248</v>
      </c>
      <c r="S145" s="1"/>
      <c r="T145" s="1"/>
      <c r="U145" s="1">
        <v>239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f>COUNT(Q145:AD145)</f>
        <v>3</v>
      </c>
      <c r="AF145" s="1">
        <f t="shared" si="10"/>
        <v>270</v>
      </c>
      <c r="AG145" s="11" t="str">
        <f t="shared" si="11"/>
        <v>APROVADO</v>
      </c>
    </row>
    <row r="146" spans="2:33" ht="25.5" hidden="1" x14ac:dyDescent="0.25">
      <c r="B146" s="5">
        <v>142</v>
      </c>
      <c r="C146" s="27" t="s">
        <v>758</v>
      </c>
      <c r="D146" s="5" t="s">
        <v>33</v>
      </c>
      <c r="E146" s="7" t="s">
        <v>759</v>
      </c>
      <c r="F146" s="7" t="s">
        <v>760</v>
      </c>
      <c r="G146" s="5" t="s">
        <v>62</v>
      </c>
      <c r="H146" s="8">
        <v>442329.56</v>
      </c>
      <c r="I146" s="7" t="s">
        <v>73</v>
      </c>
      <c r="J146" s="7" t="s">
        <v>74</v>
      </c>
      <c r="K146" s="7" t="s">
        <v>761</v>
      </c>
      <c r="L146" s="9" t="s">
        <v>762</v>
      </c>
      <c r="M146" s="10">
        <v>45308</v>
      </c>
      <c r="N146" s="7" t="s">
        <v>41</v>
      </c>
      <c r="O146" s="7"/>
      <c r="P146" s="7"/>
      <c r="Q146" s="1">
        <v>340</v>
      </c>
      <c r="R146" s="1">
        <v>252</v>
      </c>
      <c r="S146" s="1"/>
      <c r="T146" s="1"/>
      <c r="U146" s="1"/>
      <c r="V146" s="1"/>
      <c r="W146" s="1"/>
      <c r="X146" s="1"/>
      <c r="Y146" s="1"/>
      <c r="Z146" s="1"/>
      <c r="AA146" s="1"/>
      <c r="AB146" s="1">
        <v>324</v>
      </c>
      <c r="AC146" s="1"/>
      <c r="AD146" s="1"/>
      <c r="AE146" s="1">
        <f>COUNT(Q146:AD146)</f>
        <v>3</v>
      </c>
      <c r="AF146" s="1">
        <f t="shared" si="10"/>
        <v>305.33333333333331</v>
      </c>
      <c r="AG146" s="11" t="str">
        <f t="shared" si="11"/>
        <v>APROVADO</v>
      </c>
    </row>
    <row r="147" spans="2:33" ht="25.5" hidden="1" x14ac:dyDescent="0.25">
      <c r="B147" s="5">
        <v>143</v>
      </c>
      <c r="C147" s="27" t="s">
        <v>763</v>
      </c>
      <c r="D147" s="5" t="s">
        <v>33</v>
      </c>
      <c r="E147" s="7" t="s">
        <v>764</v>
      </c>
      <c r="F147" s="7" t="s">
        <v>765</v>
      </c>
      <c r="G147" s="7" t="s">
        <v>107</v>
      </c>
      <c r="H147" s="8">
        <v>290550.48</v>
      </c>
      <c r="I147" s="7" t="s">
        <v>73</v>
      </c>
      <c r="J147" s="7" t="s">
        <v>74</v>
      </c>
      <c r="K147" s="7" t="s">
        <v>766</v>
      </c>
      <c r="L147" s="9" t="s">
        <v>767</v>
      </c>
      <c r="M147" s="10">
        <v>45308</v>
      </c>
      <c r="N147" s="7" t="s">
        <v>41</v>
      </c>
      <c r="O147" s="7"/>
      <c r="P147" s="7"/>
      <c r="Q147" s="1">
        <v>324</v>
      </c>
      <c r="R147" s="1">
        <v>179</v>
      </c>
      <c r="S147" s="1"/>
      <c r="T147" s="1"/>
      <c r="U147" s="1">
        <v>177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f>COUNT(Q147:AD147)</f>
        <v>3</v>
      </c>
      <c r="AF147" s="1">
        <f t="shared" si="10"/>
        <v>226.66666666666666</v>
      </c>
      <c r="AG147" s="11" t="str">
        <f t="shared" si="11"/>
        <v>APROVADO</v>
      </c>
    </row>
    <row r="148" spans="2:33" ht="25.5" hidden="1" x14ac:dyDescent="0.25">
      <c r="B148" s="5">
        <v>144</v>
      </c>
      <c r="C148" s="24" t="s">
        <v>768</v>
      </c>
      <c r="D148" s="5" t="s">
        <v>51</v>
      </c>
      <c r="E148" s="13" t="s">
        <v>769</v>
      </c>
      <c r="F148" s="13" t="s">
        <v>770</v>
      </c>
      <c r="G148" s="14" t="s">
        <v>107</v>
      </c>
      <c r="H148" s="28">
        <v>137325.73000000001</v>
      </c>
      <c r="I148" s="13" t="s">
        <v>771</v>
      </c>
      <c r="J148" s="11" t="s">
        <v>202</v>
      </c>
      <c r="K148" s="13" t="s">
        <v>772</v>
      </c>
      <c r="L148" s="13" t="s">
        <v>773</v>
      </c>
      <c r="M148" s="26">
        <v>45308</v>
      </c>
      <c r="N148" s="13" t="s">
        <v>41</v>
      </c>
      <c r="O148" s="14"/>
      <c r="P148" s="13"/>
      <c r="Q148" s="1">
        <v>324</v>
      </c>
      <c r="R148" s="1">
        <v>123</v>
      </c>
      <c r="S148" s="1"/>
      <c r="T148" s="1"/>
      <c r="U148" s="1">
        <v>128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>
        <f t="shared" si="10"/>
        <v>191.66666666666666</v>
      </c>
      <c r="AG148" s="11" t="str">
        <f t="shared" si="11"/>
        <v>REPROVADO</v>
      </c>
    </row>
    <row r="149" spans="2:33" ht="25.5" hidden="1" x14ac:dyDescent="0.25">
      <c r="B149" s="5">
        <v>145</v>
      </c>
      <c r="C149" s="24" t="s">
        <v>774</v>
      </c>
      <c r="D149" s="5" t="s">
        <v>51</v>
      </c>
      <c r="E149" s="9" t="s">
        <v>769</v>
      </c>
      <c r="F149" s="13" t="s">
        <v>775</v>
      </c>
      <c r="G149" s="14" t="s">
        <v>776</v>
      </c>
      <c r="H149" s="33">
        <v>212700.49</v>
      </c>
      <c r="I149" s="13" t="s">
        <v>771</v>
      </c>
      <c r="J149" s="11" t="s">
        <v>202</v>
      </c>
      <c r="K149" s="13" t="s">
        <v>772</v>
      </c>
      <c r="L149" s="13" t="s">
        <v>777</v>
      </c>
      <c r="M149" s="26">
        <v>45308</v>
      </c>
      <c r="N149" s="13" t="s">
        <v>41</v>
      </c>
      <c r="O149" s="14"/>
      <c r="P149" s="13" t="s">
        <v>778</v>
      </c>
      <c r="Q149" s="1">
        <v>253</v>
      </c>
      <c r="R149" s="1">
        <v>268</v>
      </c>
      <c r="S149" s="1"/>
      <c r="T149" s="1"/>
      <c r="U149" s="1">
        <v>177</v>
      </c>
      <c r="V149" s="1"/>
      <c r="W149" s="1"/>
      <c r="X149" s="1"/>
      <c r="Y149" s="1"/>
      <c r="Z149" s="1"/>
      <c r="AA149" s="1"/>
      <c r="AB149" s="1"/>
      <c r="AC149" s="1"/>
      <c r="AD149" s="1"/>
      <c r="AE149" s="1">
        <f>COUNT(Q149:AD149)</f>
        <v>3</v>
      </c>
      <c r="AF149" s="1">
        <f t="shared" si="10"/>
        <v>232.66666666666666</v>
      </c>
      <c r="AG149" s="11" t="str">
        <f t="shared" si="11"/>
        <v>APROVADO</v>
      </c>
    </row>
    <row r="150" spans="2:33" ht="25.5" hidden="1" x14ac:dyDescent="0.25">
      <c r="B150" s="5">
        <v>146</v>
      </c>
      <c r="C150" s="6" t="s">
        <v>779</v>
      </c>
      <c r="D150" s="5" t="s">
        <v>33</v>
      </c>
      <c r="E150" s="7" t="s">
        <v>780</v>
      </c>
      <c r="F150" s="7" t="s">
        <v>781</v>
      </c>
      <c r="G150" s="7" t="s">
        <v>107</v>
      </c>
      <c r="H150" s="8">
        <v>0</v>
      </c>
      <c r="I150" s="7" t="s">
        <v>73</v>
      </c>
      <c r="J150" s="7" t="s">
        <v>74</v>
      </c>
      <c r="K150" s="7" t="s">
        <v>782</v>
      </c>
      <c r="L150" s="9" t="s">
        <v>783</v>
      </c>
      <c r="M150" s="10">
        <v>45308</v>
      </c>
      <c r="N150" s="7" t="s">
        <v>67</v>
      </c>
      <c r="O150" s="7" t="s">
        <v>375</v>
      </c>
      <c r="P150" s="7" t="s">
        <v>784</v>
      </c>
      <c r="Q150" s="1">
        <v>269</v>
      </c>
      <c r="R150" s="1">
        <v>86</v>
      </c>
      <c r="S150" s="1"/>
      <c r="T150" s="1"/>
      <c r="U150" s="1"/>
      <c r="V150" s="1"/>
      <c r="W150" s="1"/>
      <c r="X150" s="1"/>
      <c r="Y150" s="1">
        <v>285</v>
      </c>
      <c r="Z150" s="1"/>
      <c r="AA150" s="1"/>
      <c r="AB150" s="1"/>
      <c r="AC150" s="1"/>
      <c r="AD150" s="1"/>
      <c r="AE150" s="1">
        <f>COUNT(Q150:AD150)</f>
        <v>3</v>
      </c>
      <c r="AF150" s="1">
        <f t="shared" si="10"/>
        <v>213.33333333333334</v>
      </c>
      <c r="AG150" s="11" t="str">
        <f t="shared" si="11"/>
        <v>APROVADO</v>
      </c>
    </row>
    <row r="151" spans="2:33" ht="25.5" hidden="1" x14ac:dyDescent="0.25">
      <c r="B151" s="5">
        <v>147</v>
      </c>
      <c r="C151" s="6" t="s">
        <v>785</v>
      </c>
      <c r="D151" s="5" t="s">
        <v>33</v>
      </c>
      <c r="E151" s="7" t="s">
        <v>786</v>
      </c>
      <c r="F151" s="7" t="s">
        <v>787</v>
      </c>
      <c r="G151" s="7" t="s">
        <v>107</v>
      </c>
      <c r="H151" s="8">
        <v>698651</v>
      </c>
      <c r="I151" s="7" t="s">
        <v>73</v>
      </c>
      <c r="J151" s="7" t="s">
        <v>74</v>
      </c>
      <c r="K151" s="7" t="s">
        <v>788</v>
      </c>
      <c r="L151" s="9" t="s">
        <v>789</v>
      </c>
      <c r="M151" s="10">
        <v>45308</v>
      </c>
      <c r="N151" s="7" t="s">
        <v>67</v>
      </c>
      <c r="O151" s="7" t="s">
        <v>68</v>
      </c>
      <c r="P151" s="7"/>
      <c r="Q151" s="1"/>
      <c r="R151" s="1">
        <v>82</v>
      </c>
      <c r="S151" s="1"/>
      <c r="T151" s="1"/>
      <c r="U151" s="1"/>
      <c r="V151" s="1">
        <v>296</v>
      </c>
      <c r="W151" s="1">
        <v>237</v>
      </c>
      <c r="X151" s="1"/>
      <c r="Y151" s="1"/>
      <c r="Z151" s="1"/>
      <c r="AA151" s="1"/>
      <c r="AB151" s="1"/>
      <c r="AC151" s="1"/>
      <c r="AD151" s="1"/>
      <c r="AE151" s="1">
        <f>COUNT(Q151:AD151)</f>
        <v>3</v>
      </c>
      <c r="AF151" s="1">
        <f t="shared" si="10"/>
        <v>205</v>
      </c>
      <c r="AG151" s="11" t="str">
        <f t="shared" si="11"/>
        <v>APROVADO</v>
      </c>
    </row>
    <row r="152" spans="2:33" ht="25.5" hidden="1" x14ac:dyDescent="0.25">
      <c r="B152" s="5">
        <v>148</v>
      </c>
      <c r="C152" s="6" t="s">
        <v>790</v>
      </c>
      <c r="D152" s="5" t="s">
        <v>33</v>
      </c>
      <c r="E152" s="7" t="s">
        <v>791</v>
      </c>
      <c r="F152" s="7" t="s">
        <v>792</v>
      </c>
      <c r="G152" s="7" t="s">
        <v>793</v>
      </c>
      <c r="H152" s="8">
        <v>3027360</v>
      </c>
      <c r="I152" s="7" t="s">
        <v>794</v>
      </c>
      <c r="J152" s="7" t="s">
        <v>795</v>
      </c>
      <c r="K152" s="7" t="s">
        <v>796</v>
      </c>
      <c r="L152" s="9" t="s">
        <v>797</v>
      </c>
      <c r="M152" s="10">
        <v>45308</v>
      </c>
      <c r="N152" s="7" t="s">
        <v>41</v>
      </c>
      <c r="O152" s="7"/>
      <c r="P152" s="7"/>
      <c r="Q152" s="1">
        <v>179</v>
      </c>
      <c r="R152" s="1"/>
      <c r="S152" s="1"/>
      <c r="T152" s="1"/>
      <c r="U152" s="1"/>
      <c r="V152" s="1"/>
      <c r="W152" s="1"/>
      <c r="X152" s="1"/>
      <c r="Y152" s="1"/>
      <c r="Z152" s="1">
        <v>174</v>
      </c>
      <c r="AA152" s="1">
        <v>217</v>
      </c>
      <c r="AB152" s="1"/>
      <c r="AC152" s="1"/>
      <c r="AD152" s="1"/>
      <c r="AE152" s="1"/>
      <c r="AF152" s="1">
        <f t="shared" si="10"/>
        <v>190</v>
      </c>
      <c r="AG152" s="11" t="str">
        <f t="shared" si="11"/>
        <v>REPROVADO</v>
      </c>
    </row>
    <row r="153" spans="2:33" ht="25.5" hidden="1" x14ac:dyDescent="0.25">
      <c r="B153" s="5">
        <v>149</v>
      </c>
      <c r="C153" s="27" t="s">
        <v>798</v>
      </c>
      <c r="D153" s="5" t="s">
        <v>33</v>
      </c>
      <c r="E153" s="7" t="s">
        <v>799</v>
      </c>
      <c r="F153" s="7" t="s">
        <v>800</v>
      </c>
      <c r="G153" s="7" t="s">
        <v>36</v>
      </c>
      <c r="H153" s="8">
        <v>212001.12</v>
      </c>
      <c r="I153" s="7" t="s">
        <v>73</v>
      </c>
      <c r="J153" s="7" t="s">
        <v>74</v>
      </c>
      <c r="K153" s="7" t="s">
        <v>801</v>
      </c>
      <c r="L153" s="9" t="s">
        <v>802</v>
      </c>
      <c r="M153" s="10">
        <v>45308</v>
      </c>
      <c r="N153" s="7" t="s">
        <v>41</v>
      </c>
      <c r="O153" s="7"/>
      <c r="P153" s="7"/>
      <c r="Q153" s="1">
        <v>322</v>
      </c>
      <c r="R153" s="1">
        <v>174</v>
      </c>
      <c r="S153" s="1"/>
      <c r="T153" s="1"/>
      <c r="U153" s="1">
        <v>164</v>
      </c>
      <c r="V153" s="1"/>
      <c r="W153" s="1"/>
      <c r="X153" s="1"/>
      <c r="Y153" s="1"/>
      <c r="Z153" s="1"/>
      <c r="AA153" s="1"/>
      <c r="AB153" s="1"/>
      <c r="AC153" s="1"/>
      <c r="AD153" s="1"/>
      <c r="AE153" s="1">
        <f>COUNT(Q153:AD153)</f>
        <v>3</v>
      </c>
      <c r="AF153" s="1">
        <f t="shared" si="10"/>
        <v>220</v>
      </c>
      <c r="AG153" s="11" t="str">
        <f t="shared" si="11"/>
        <v>APROVADO</v>
      </c>
    </row>
    <row r="154" spans="2:33" ht="25.5" hidden="1" x14ac:dyDescent="0.25">
      <c r="B154" s="5">
        <v>150</v>
      </c>
      <c r="C154" s="27" t="s">
        <v>803</v>
      </c>
      <c r="D154" s="5" t="s">
        <v>33</v>
      </c>
      <c r="E154" s="7" t="s">
        <v>799</v>
      </c>
      <c r="F154" s="7" t="s">
        <v>804</v>
      </c>
      <c r="G154" s="7" t="s">
        <v>300</v>
      </c>
      <c r="H154" s="8">
        <v>997772.88</v>
      </c>
      <c r="I154" s="7" t="s">
        <v>73</v>
      </c>
      <c r="J154" s="7" t="s">
        <v>74</v>
      </c>
      <c r="K154" s="7" t="s">
        <v>801</v>
      </c>
      <c r="L154" s="9" t="s">
        <v>802</v>
      </c>
      <c r="M154" s="10">
        <v>45308</v>
      </c>
      <c r="N154" s="7" t="s">
        <v>41</v>
      </c>
      <c r="O154" s="7"/>
      <c r="P154" s="7"/>
      <c r="Q154" s="1">
        <v>286</v>
      </c>
      <c r="R154" s="1">
        <v>255</v>
      </c>
      <c r="S154" s="1"/>
      <c r="T154" s="1"/>
      <c r="U154" s="1">
        <v>231</v>
      </c>
      <c r="V154" s="1"/>
      <c r="W154" s="1"/>
      <c r="X154" s="1"/>
      <c r="Y154" s="1"/>
      <c r="Z154" s="1"/>
      <c r="AA154" s="1"/>
      <c r="AB154" s="1"/>
      <c r="AC154" s="1"/>
      <c r="AD154" s="1"/>
      <c r="AE154" s="1">
        <f>COUNT(Q154:AD154)</f>
        <v>3</v>
      </c>
      <c r="AF154" s="1">
        <f t="shared" si="10"/>
        <v>257.33333333333331</v>
      </c>
      <c r="AG154" s="11" t="str">
        <f t="shared" si="11"/>
        <v>APROVADO</v>
      </c>
    </row>
    <row r="155" spans="2:33" ht="25.5" hidden="1" x14ac:dyDescent="0.25">
      <c r="B155" s="5">
        <v>151</v>
      </c>
      <c r="C155" s="27" t="s">
        <v>805</v>
      </c>
      <c r="D155" s="5" t="s">
        <v>33</v>
      </c>
      <c r="E155" s="7" t="s">
        <v>799</v>
      </c>
      <c r="F155" s="7" t="s">
        <v>806</v>
      </c>
      <c r="G155" s="7" t="s">
        <v>36</v>
      </c>
      <c r="H155" s="8">
        <v>482556.27</v>
      </c>
      <c r="I155" s="7" t="s">
        <v>73</v>
      </c>
      <c r="J155" s="7" t="s">
        <v>74</v>
      </c>
      <c r="K155" s="7" t="s">
        <v>801</v>
      </c>
      <c r="L155" s="9" t="s">
        <v>802</v>
      </c>
      <c r="M155" s="10">
        <v>45308</v>
      </c>
      <c r="N155" s="7" t="s">
        <v>41</v>
      </c>
      <c r="O155" s="7"/>
      <c r="P155" s="7"/>
      <c r="Q155" s="1">
        <v>327</v>
      </c>
      <c r="R155" s="1">
        <v>152</v>
      </c>
      <c r="S155" s="1"/>
      <c r="T155" s="1"/>
      <c r="U155" s="1"/>
      <c r="V155" s="1"/>
      <c r="W155" s="1"/>
      <c r="X155" s="1"/>
      <c r="Y155" s="1"/>
      <c r="Z155" s="1">
        <v>173</v>
      </c>
      <c r="AA155" s="1"/>
      <c r="AB155" s="1"/>
      <c r="AC155" s="1"/>
      <c r="AD155" s="1"/>
      <c r="AE155" s="1">
        <f>COUNT(Q155:AD155)</f>
        <v>3</v>
      </c>
      <c r="AF155" s="1">
        <f t="shared" si="10"/>
        <v>217.33333333333334</v>
      </c>
      <c r="AG155" s="11" t="str">
        <f t="shared" si="11"/>
        <v>APROVADO</v>
      </c>
    </row>
    <row r="156" spans="2:33" ht="38.25" hidden="1" x14ac:dyDescent="0.25">
      <c r="B156" s="5">
        <v>152</v>
      </c>
      <c r="C156" s="22" t="s">
        <v>807</v>
      </c>
      <c r="D156" s="5" t="s">
        <v>51</v>
      </c>
      <c r="E156" s="13" t="s">
        <v>808</v>
      </c>
      <c r="F156" s="13" t="s">
        <v>809</v>
      </c>
      <c r="G156" s="14" t="s">
        <v>36</v>
      </c>
      <c r="H156" s="28">
        <v>72659.16</v>
      </c>
      <c r="I156" s="29" t="s">
        <v>810</v>
      </c>
      <c r="J156" s="11" t="s">
        <v>95</v>
      </c>
      <c r="K156" s="13" t="s">
        <v>811</v>
      </c>
      <c r="L156" s="13" t="s">
        <v>812</v>
      </c>
      <c r="M156" s="26">
        <v>45308</v>
      </c>
      <c r="N156" s="7" t="s">
        <v>41</v>
      </c>
      <c r="O156" s="14" t="s">
        <v>813</v>
      </c>
      <c r="P156" s="13" t="s">
        <v>814</v>
      </c>
      <c r="Q156" s="1">
        <v>322</v>
      </c>
      <c r="R156" s="1"/>
      <c r="S156" s="1">
        <v>216</v>
      </c>
      <c r="T156" s="1"/>
      <c r="U156" s="1"/>
      <c r="V156" s="1"/>
      <c r="W156" s="1"/>
      <c r="X156" s="1"/>
      <c r="Y156" s="1"/>
      <c r="Z156" s="1"/>
      <c r="AA156" s="1"/>
      <c r="AB156" s="1">
        <v>222</v>
      </c>
      <c r="AC156" s="1"/>
      <c r="AD156" s="1"/>
      <c r="AE156" s="1">
        <f>COUNT(Q156:AD156)</f>
        <v>3</v>
      </c>
      <c r="AF156" s="1">
        <f t="shared" si="10"/>
        <v>253.33333333333334</v>
      </c>
      <c r="AG156" s="11" t="str">
        <f t="shared" si="11"/>
        <v>APROVADO</v>
      </c>
    </row>
    <row r="157" spans="2:33" ht="38.25" hidden="1" x14ac:dyDescent="0.25">
      <c r="B157" s="5">
        <v>153</v>
      </c>
      <c r="C157" s="22" t="s">
        <v>815</v>
      </c>
      <c r="D157" s="5" t="s">
        <v>51</v>
      </c>
      <c r="E157" s="13" t="s">
        <v>808</v>
      </c>
      <c r="F157" s="14" t="s">
        <v>816</v>
      </c>
      <c r="G157" s="14" t="s">
        <v>36</v>
      </c>
      <c r="H157" s="28">
        <v>360000</v>
      </c>
      <c r="I157" s="29" t="s">
        <v>810</v>
      </c>
      <c r="J157" s="11" t="s">
        <v>95</v>
      </c>
      <c r="K157" s="13" t="s">
        <v>811</v>
      </c>
      <c r="L157" s="13" t="s">
        <v>777</v>
      </c>
      <c r="M157" s="26">
        <v>45308</v>
      </c>
      <c r="N157" s="7" t="s">
        <v>41</v>
      </c>
      <c r="O157" s="14" t="s">
        <v>813</v>
      </c>
      <c r="P157" s="13" t="s">
        <v>817</v>
      </c>
      <c r="Q157" s="1">
        <v>224</v>
      </c>
      <c r="R157" s="1"/>
      <c r="S157" s="1">
        <v>223</v>
      </c>
      <c r="T157" s="1"/>
      <c r="U157" s="1"/>
      <c r="V157" s="1"/>
      <c r="W157" s="1"/>
      <c r="X157" s="1"/>
      <c r="Y157" s="1"/>
      <c r="Z157" s="1"/>
      <c r="AA157" s="1"/>
      <c r="AB157" s="1">
        <v>217</v>
      </c>
      <c r="AC157" s="1"/>
      <c r="AD157" s="1"/>
      <c r="AE157" s="1">
        <f>COUNT(Q157:AD157)</f>
        <v>3</v>
      </c>
      <c r="AF157" s="1">
        <f t="shared" si="10"/>
        <v>221.33333333333334</v>
      </c>
      <c r="AG157" s="11" t="str">
        <f t="shared" si="11"/>
        <v>APROVADO</v>
      </c>
    </row>
    <row r="158" spans="2:33" hidden="1" x14ac:dyDescent="0.25">
      <c r="B158" s="5">
        <v>154</v>
      </c>
      <c r="C158" s="16" t="s">
        <v>818</v>
      </c>
      <c r="D158" s="5" t="s">
        <v>33</v>
      </c>
      <c r="E158" s="7" t="s">
        <v>819</v>
      </c>
      <c r="F158" s="7" t="s">
        <v>820</v>
      </c>
      <c r="G158" s="7" t="s">
        <v>36</v>
      </c>
      <c r="H158" s="8">
        <v>629084.76</v>
      </c>
      <c r="I158" s="7" t="s">
        <v>37</v>
      </c>
      <c r="J158" s="7" t="s">
        <v>38</v>
      </c>
      <c r="K158" s="7" t="s">
        <v>821</v>
      </c>
      <c r="L158" s="9" t="s">
        <v>822</v>
      </c>
      <c r="M158" s="10">
        <v>45308</v>
      </c>
      <c r="N158" s="7" t="s">
        <v>82</v>
      </c>
      <c r="O158" s="7" t="s">
        <v>419</v>
      </c>
      <c r="P158" s="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 t="e">
        <f t="shared" si="10"/>
        <v>#DIV/0!</v>
      </c>
      <c r="AG158" s="11" t="e">
        <f t="shared" si="11"/>
        <v>#DIV/0!</v>
      </c>
    </row>
    <row r="159" spans="2:33" ht="38.25" hidden="1" x14ac:dyDescent="0.25">
      <c r="B159" s="5">
        <v>155</v>
      </c>
      <c r="C159" s="6" t="s">
        <v>823</v>
      </c>
      <c r="D159" s="5" t="s">
        <v>33</v>
      </c>
      <c r="E159" s="7" t="s">
        <v>824</v>
      </c>
      <c r="F159" s="7" t="s">
        <v>825</v>
      </c>
      <c r="G159" s="7" t="s">
        <v>36</v>
      </c>
      <c r="H159" s="8">
        <v>54100</v>
      </c>
      <c r="I159" s="7" t="s">
        <v>469</v>
      </c>
      <c r="J159" s="7" t="s">
        <v>95</v>
      </c>
      <c r="K159" s="7" t="s">
        <v>826</v>
      </c>
      <c r="L159" s="9" t="s">
        <v>827</v>
      </c>
      <c r="M159" s="10">
        <v>45308</v>
      </c>
      <c r="N159" s="7" t="s">
        <v>67</v>
      </c>
      <c r="O159" s="7" t="s">
        <v>68</v>
      </c>
      <c r="P159" s="7"/>
      <c r="Q159" s="1"/>
      <c r="R159" s="1">
        <v>155</v>
      </c>
      <c r="S159" s="1"/>
      <c r="T159" s="1"/>
      <c r="U159" s="1"/>
      <c r="V159" s="1"/>
      <c r="W159" s="1"/>
      <c r="X159" s="1">
        <v>299</v>
      </c>
      <c r="Y159" s="1">
        <v>272</v>
      </c>
      <c r="Z159" s="1"/>
      <c r="AA159" s="1"/>
      <c r="AB159" s="1"/>
      <c r="AC159" s="1"/>
      <c r="AD159" s="1"/>
      <c r="AE159" s="1">
        <f>COUNT(Q159:AD159)</f>
        <v>3</v>
      </c>
      <c r="AF159" s="1">
        <f t="shared" si="10"/>
        <v>242</v>
      </c>
      <c r="AG159" s="11" t="str">
        <f t="shared" si="11"/>
        <v>APROVADO</v>
      </c>
    </row>
    <row r="160" spans="2:33" ht="38.25" hidden="1" x14ac:dyDescent="0.25">
      <c r="B160" s="5">
        <v>156</v>
      </c>
      <c r="C160" s="6" t="s">
        <v>828</v>
      </c>
      <c r="D160" s="5" t="s">
        <v>33</v>
      </c>
      <c r="E160" s="7" t="s">
        <v>824</v>
      </c>
      <c r="F160" s="7" t="s">
        <v>829</v>
      </c>
      <c r="G160" s="7" t="s">
        <v>36</v>
      </c>
      <c r="H160" s="8">
        <v>105800</v>
      </c>
      <c r="I160" s="7" t="s">
        <v>469</v>
      </c>
      <c r="J160" s="7" t="s">
        <v>95</v>
      </c>
      <c r="K160" s="7" t="s">
        <v>826</v>
      </c>
      <c r="L160" s="9" t="s">
        <v>827</v>
      </c>
      <c r="M160" s="10">
        <v>45308</v>
      </c>
      <c r="N160" s="7" t="s">
        <v>67</v>
      </c>
      <c r="O160" s="7" t="s">
        <v>68</v>
      </c>
      <c r="P160" s="7"/>
      <c r="Q160" s="1">
        <v>314</v>
      </c>
      <c r="R160" s="1">
        <v>159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>
        <v>238</v>
      </c>
      <c r="AE160" s="1">
        <f>COUNT(Q160:AD160)</f>
        <v>3</v>
      </c>
      <c r="AF160" s="1">
        <f t="shared" si="10"/>
        <v>237</v>
      </c>
      <c r="AG160" s="11" t="str">
        <f t="shared" si="11"/>
        <v>APROVADO</v>
      </c>
    </row>
    <row r="161" spans="2:33" ht="38.25" hidden="1" x14ac:dyDescent="0.25">
      <c r="B161" s="5">
        <v>157</v>
      </c>
      <c r="C161" s="6" t="s">
        <v>830</v>
      </c>
      <c r="D161" s="5" t="s">
        <v>33</v>
      </c>
      <c r="E161" s="5" t="s">
        <v>831</v>
      </c>
      <c r="F161" s="5" t="s">
        <v>832</v>
      </c>
      <c r="G161" s="7" t="s">
        <v>36</v>
      </c>
      <c r="H161" s="8">
        <v>293034.33</v>
      </c>
      <c r="I161" s="7" t="s">
        <v>833</v>
      </c>
      <c r="J161" s="7" t="s">
        <v>254</v>
      </c>
      <c r="K161" s="7" t="s">
        <v>834</v>
      </c>
      <c r="L161" s="9" t="s">
        <v>835</v>
      </c>
      <c r="M161" s="10">
        <v>45308</v>
      </c>
      <c r="N161" s="5" t="s">
        <v>67</v>
      </c>
      <c r="O161" s="7" t="s">
        <v>157</v>
      </c>
      <c r="P161" s="7" t="s">
        <v>836</v>
      </c>
      <c r="Q161" s="1">
        <v>270</v>
      </c>
      <c r="R161" s="1">
        <v>222</v>
      </c>
      <c r="S161" s="1">
        <v>234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>
        <f>COUNT(Q161:AD161)</f>
        <v>3</v>
      </c>
      <c r="AF161" s="1">
        <f t="shared" si="10"/>
        <v>242</v>
      </c>
      <c r="AG161" s="11" t="str">
        <f t="shared" si="11"/>
        <v>APROVADO</v>
      </c>
    </row>
    <row r="162" spans="2:33" ht="38.25" hidden="1" x14ac:dyDescent="0.25">
      <c r="B162" s="5">
        <v>158</v>
      </c>
      <c r="C162" s="6" t="s">
        <v>837</v>
      </c>
      <c r="D162" s="5" t="s">
        <v>33</v>
      </c>
      <c r="E162" s="7" t="s">
        <v>831</v>
      </c>
      <c r="F162" s="7" t="s">
        <v>838</v>
      </c>
      <c r="G162" s="7" t="s">
        <v>36</v>
      </c>
      <c r="H162" s="8">
        <v>455848.37</v>
      </c>
      <c r="I162" s="7" t="s">
        <v>833</v>
      </c>
      <c r="J162" s="7" t="s">
        <v>254</v>
      </c>
      <c r="K162" s="7" t="s">
        <v>839</v>
      </c>
      <c r="L162" s="9" t="s">
        <v>840</v>
      </c>
      <c r="M162" s="10">
        <v>45308</v>
      </c>
      <c r="N162" s="7" t="s">
        <v>67</v>
      </c>
      <c r="O162" s="7" t="s">
        <v>157</v>
      </c>
      <c r="P162" s="7"/>
      <c r="Q162" s="1"/>
      <c r="R162" s="1">
        <v>174</v>
      </c>
      <c r="S162" s="1"/>
      <c r="T162" s="1"/>
      <c r="U162" s="1"/>
      <c r="V162" s="1">
        <v>275</v>
      </c>
      <c r="W162" s="1">
        <v>250</v>
      </c>
      <c r="X162" s="1"/>
      <c r="Y162" s="1"/>
      <c r="Z162" s="1"/>
      <c r="AA162" s="1"/>
      <c r="AB162" s="1"/>
      <c r="AC162" s="1"/>
      <c r="AD162" s="1"/>
      <c r="AE162" s="1">
        <f>COUNT(Q162:AD162)</f>
        <v>3</v>
      </c>
      <c r="AF162" s="1">
        <f t="shared" si="10"/>
        <v>233</v>
      </c>
      <c r="AG162" s="11" t="str">
        <f t="shared" si="11"/>
        <v>APROVADO</v>
      </c>
    </row>
    <row r="163" spans="2:33" ht="25.5" hidden="1" x14ac:dyDescent="0.25">
      <c r="B163" s="5">
        <v>159</v>
      </c>
      <c r="C163" s="16" t="s">
        <v>841</v>
      </c>
      <c r="D163" s="5" t="s">
        <v>33</v>
      </c>
      <c r="E163" s="7" t="s">
        <v>842</v>
      </c>
      <c r="F163" s="7" t="s">
        <v>843</v>
      </c>
      <c r="G163" s="7" t="s">
        <v>45</v>
      </c>
      <c r="H163" s="8">
        <v>908000</v>
      </c>
      <c r="I163" s="7" t="s">
        <v>73</v>
      </c>
      <c r="J163" s="7" t="s">
        <v>74</v>
      </c>
      <c r="K163" s="7" t="s">
        <v>844</v>
      </c>
      <c r="L163" s="37" t="s">
        <v>45</v>
      </c>
      <c r="M163" s="10">
        <v>45308</v>
      </c>
      <c r="N163" s="7" t="s">
        <v>82</v>
      </c>
      <c r="O163" s="7" t="s">
        <v>845</v>
      </c>
      <c r="P163" s="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 t="e">
        <f t="shared" si="10"/>
        <v>#DIV/0!</v>
      </c>
      <c r="AG163" s="11" t="e">
        <f t="shared" si="11"/>
        <v>#DIV/0!</v>
      </c>
    </row>
    <row r="164" spans="2:33" ht="38.25" hidden="1" x14ac:dyDescent="0.25">
      <c r="B164" s="5">
        <v>160</v>
      </c>
      <c r="C164" s="27" t="s">
        <v>846</v>
      </c>
      <c r="D164" s="5" t="s">
        <v>33</v>
      </c>
      <c r="E164" s="7" t="s">
        <v>847</v>
      </c>
      <c r="F164" s="7" t="s">
        <v>848</v>
      </c>
      <c r="G164" s="7" t="s">
        <v>107</v>
      </c>
      <c r="H164" s="8">
        <v>745455.43</v>
      </c>
      <c r="I164" s="7" t="s">
        <v>73</v>
      </c>
      <c r="J164" s="7" t="s">
        <v>74</v>
      </c>
      <c r="K164" s="7" t="s">
        <v>849</v>
      </c>
      <c r="L164" s="9" t="s">
        <v>850</v>
      </c>
      <c r="M164" s="10">
        <v>45308</v>
      </c>
      <c r="N164" s="7" t="s">
        <v>41</v>
      </c>
      <c r="O164" s="7"/>
      <c r="P164" s="7"/>
      <c r="Q164" s="1">
        <v>331</v>
      </c>
      <c r="R164" s="1">
        <v>257</v>
      </c>
      <c r="S164" s="1"/>
      <c r="T164" s="1"/>
      <c r="U164" s="1"/>
      <c r="V164" s="1"/>
      <c r="W164" s="1"/>
      <c r="X164" s="1"/>
      <c r="Y164" s="1"/>
      <c r="Z164" s="1"/>
      <c r="AA164" s="1">
        <v>281</v>
      </c>
      <c r="AB164" s="1"/>
      <c r="AC164" s="1"/>
      <c r="AD164" s="1"/>
      <c r="AE164" s="1">
        <f>COUNT(Q164:AD164)</f>
        <v>3</v>
      </c>
      <c r="AF164" s="1">
        <f t="shared" si="10"/>
        <v>289.66666666666669</v>
      </c>
      <c r="AG164" s="11" t="str">
        <f t="shared" si="11"/>
        <v>APROVADO</v>
      </c>
    </row>
    <row r="165" spans="2:33" ht="25.5" hidden="1" x14ac:dyDescent="0.25">
      <c r="B165" s="5">
        <v>161</v>
      </c>
      <c r="C165" s="27" t="s">
        <v>851</v>
      </c>
      <c r="D165" s="5" t="s">
        <v>33</v>
      </c>
      <c r="E165" s="7" t="s">
        <v>852</v>
      </c>
      <c r="F165" s="7" t="s">
        <v>853</v>
      </c>
      <c r="G165" s="7" t="s">
        <v>300</v>
      </c>
      <c r="H165" s="8">
        <v>197375.06</v>
      </c>
      <c r="I165" s="7" t="s">
        <v>73</v>
      </c>
      <c r="J165" s="7" t="s">
        <v>74</v>
      </c>
      <c r="K165" s="7" t="s">
        <v>854</v>
      </c>
      <c r="L165" s="9" t="s">
        <v>855</v>
      </c>
      <c r="M165" s="10">
        <v>45308</v>
      </c>
      <c r="N165" s="7" t="s">
        <v>41</v>
      </c>
      <c r="O165" s="7"/>
      <c r="P165" s="7"/>
      <c r="Q165" s="1">
        <v>283</v>
      </c>
      <c r="R165" s="1">
        <v>236</v>
      </c>
      <c r="S165" s="1"/>
      <c r="T165" s="1"/>
      <c r="U165" s="1"/>
      <c r="V165" s="1"/>
      <c r="W165" s="1"/>
      <c r="X165" s="1"/>
      <c r="Y165" s="1"/>
      <c r="Z165" s="1">
        <v>267</v>
      </c>
      <c r="AA165" s="1"/>
      <c r="AB165" s="1"/>
      <c r="AC165" s="1"/>
      <c r="AD165" s="1"/>
      <c r="AE165" s="1">
        <f>COUNT(Q165:AD165)</f>
        <v>3</v>
      </c>
      <c r="AF165" s="1">
        <f t="shared" si="10"/>
        <v>262</v>
      </c>
      <c r="AG165" s="11" t="str">
        <f t="shared" si="11"/>
        <v>APROVADO</v>
      </c>
    </row>
    <row r="166" spans="2:33" ht="25.5" hidden="1" x14ac:dyDescent="0.25">
      <c r="B166" s="5">
        <v>162</v>
      </c>
      <c r="C166" s="16" t="s">
        <v>856</v>
      </c>
      <c r="D166" s="5" t="s">
        <v>33</v>
      </c>
      <c r="E166" s="7" t="s">
        <v>857</v>
      </c>
      <c r="F166" s="7" t="s">
        <v>858</v>
      </c>
      <c r="G166" s="7" t="s">
        <v>36</v>
      </c>
      <c r="H166" s="8">
        <v>328228.65999999997</v>
      </c>
      <c r="I166" s="7" t="s">
        <v>859</v>
      </c>
      <c r="J166" s="7" t="s">
        <v>181</v>
      </c>
      <c r="K166" s="7" t="s">
        <v>860</v>
      </c>
      <c r="L166" s="9" t="s">
        <v>861</v>
      </c>
      <c r="M166" s="10">
        <v>45309</v>
      </c>
      <c r="N166" s="7" t="s">
        <v>226</v>
      </c>
      <c r="O166" s="7" t="s">
        <v>227</v>
      </c>
      <c r="P166" s="7" t="s">
        <v>157</v>
      </c>
      <c r="Q166" s="1">
        <v>0</v>
      </c>
      <c r="R166" s="1">
        <v>53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>
        <f t="shared" si="10"/>
        <v>26.5</v>
      </c>
      <c r="AG166" s="11" t="str">
        <f t="shared" si="11"/>
        <v>REPROVADO</v>
      </c>
    </row>
    <row r="167" spans="2:33" ht="25.5" hidden="1" x14ac:dyDescent="0.25">
      <c r="B167" s="5">
        <v>163</v>
      </c>
      <c r="C167" s="6" t="s">
        <v>862</v>
      </c>
      <c r="D167" s="5" t="s">
        <v>33</v>
      </c>
      <c r="E167" s="7" t="s">
        <v>857</v>
      </c>
      <c r="F167" s="7" t="s">
        <v>863</v>
      </c>
      <c r="G167" s="7" t="s">
        <v>36</v>
      </c>
      <c r="H167" s="8">
        <v>309808.38</v>
      </c>
      <c r="I167" s="7" t="s">
        <v>859</v>
      </c>
      <c r="J167" s="7" t="s">
        <v>181</v>
      </c>
      <c r="K167" s="7" t="s">
        <v>860</v>
      </c>
      <c r="L167" s="9" t="s">
        <v>861</v>
      </c>
      <c r="M167" s="10">
        <v>45309</v>
      </c>
      <c r="N167" s="7" t="s">
        <v>67</v>
      </c>
      <c r="O167" s="7" t="s">
        <v>157</v>
      </c>
      <c r="P167" s="7"/>
      <c r="Q167" s="1"/>
      <c r="R167" s="1">
        <v>105</v>
      </c>
      <c r="S167" s="1"/>
      <c r="T167" s="1"/>
      <c r="U167" s="1"/>
      <c r="V167" s="1"/>
      <c r="W167" s="1"/>
      <c r="X167" s="1">
        <v>335</v>
      </c>
      <c r="Y167" s="1">
        <v>318</v>
      </c>
      <c r="Z167" s="1"/>
      <c r="AA167" s="1"/>
      <c r="AB167" s="1"/>
      <c r="AC167" s="1"/>
      <c r="AD167" s="1"/>
      <c r="AE167" s="1">
        <f>COUNT(Q167:AD167)</f>
        <v>3</v>
      </c>
      <c r="AF167" s="1">
        <f t="shared" si="10"/>
        <v>252.66666666666666</v>
      </c>
      <c r="AG167" s="11" t="str">
        <f t="shared" si="11"/>
        <v>APROVADO</v>
      </c>
    </row>
    <row r="168" spans="2:33" ht="38.25" hidden="1" x14ac:dyDescent="0.25">
      <c r="B168" s="5">
        <v>164</v>
      </c>
      <c r="C168" s="6" t="s">
        <v>864</v>
      </c>
      <c r="D168" s="5" t="s">
        <v>33</v>
      </c>
      <c r="E168" s="7" t="s">
        <v>865</v>
      </c>
      <c r="F168" s="7" t="s">
        <v>866</v>
      </c>
      <c r="G168" s="7" t="s">
        <v>45</v>
      </c>
      <c r="H168" s="38">
        <v>90060.26</v>
      </c>
      <c r="I168" s="7" t="s">
        <v>867</v>
      </c>
      <c r="J168" s="9" t="s">
        <v>115</v>
      </c>
      <c r="K168" s="11" t="s">
        <v>868</v>
      </c>
      <c r="L168" s="9" t="s">
        <v>869</v>
      </c>
      <c r="M168" s="10">
        <v>45310</v>
      </c>
      <c r="N168" s="7" t="s">
        <v>41</v>
      </c>
      <c r="O168" s="7"/>
      <c r="P168" s="7"/>
      <c r="Q168" s="1">
        <v>340</v>
      </c>
      <c r="R168" s="1"/>
      <c r="S168" s="1"/>
      <c r="T168" s="1"/>
      <c r="U168" s="1"/>
      <c r="V168" s="1"/>
      <c r="W168" s="1"/>
      <c r="X168" s="1"/>
      <c r="Y168" s="1"/>
      <c r="Z168" s="1">
        <v>340</v>
      </c>
      <c r="AA168" s="1"/>
      <c r="AB168" s="1">
        <v>302</v>
      </c>
      <c r="AC168" s="1">
        <v>328</v>
      </c>
      <c r="AD168" s="1"/>
      <c r="AE168" s="1">
        <f>COUNT(Q168:AD168)</f>
        <v>4</v>
      </c>
      <c r="AF168" s="1">
        <f t="shared" si="10"/>
        <v>327.5</v>
      </c>
      <c r="AG168" s="11" t="str">
        <f t="shared" si="11"/>
        <v>APROVADO</v>
      </c>
    </row>
    <row r="169" spans="2:33" ht="25.5" hidden="1" x14ac:dyDescent="0.25">
      <c r="B169" s="5">
        <v>165</v>
      </c>
      <c r="C169" s="22" t="s">
        <v>870</v>
      </c>
      <c r="D169" s="5" t="s">
        <v>51</v>
      </c>
      <c r="E169" s="13" t="s">
        <v>871</v>
      </c>
      <c r="F169" s="13" t="s">
        <v>872</v>
      </c>
      <c r="G169" s="14" t="s">
        <v>36</v>
      </c>
      <c r="H169" s="33">
        <v>569175.64</v>
      </c>
      <c r="I169" s="29" t="s">
        <v>873</v>
      </c>
      <c r="J169" s="11" t="s">
        <v>453</v>
      </c>
      <c r="K169" s="13" t="s">
        <v>874</v>
      </c>
      <c r="L169" s="25" t="s">
        <v>812</v>
      </c>
      <c r="M169" s="26">
        <v>45310</v>
      </c>
      <c r="N169" s="13" t="s">
        <v>57</v>
      </c>
      <c r="O169" s="14" t="s">
        <v>89</v>
      </c>
      <c r="P169" s="14"/>
      <c r="Q169" s="1">
        <v>327</v>
      </c>
      <c r="R169" s="1"/>
      <c r="S169" s="1"/>
      <c r="T169" s="1"/>
      <c r="U169" s="1"/>
      <c r="V169" s="1">
        <v>340</v>
      </c>
      <c r="W169" s="1">
        <v>335</v>
      </c>
      <c r="X169" s="1"/>
      <c r="Y169" s="1"/>
      <c r="Z169" s="1"/>
      <c r="AA169" s="1"/>
      <c r="AB169" s="1"/>
      <c r="AC169" s="1"/>
      <c r="AD169" s="1"/>
      <c r="AE169" s="1">
        <f>COUNT(Q169:AD169)</f>
        <v>3</v>
      </c>
      <c r="AF169" s="1">
        <f>AVERAGE(Q169:AD169)</f>
        <v>334</v>
      </c>
      <c r="AG169" s="11" t="str">
        <f t="shared" si="11"/>
        <v>APROVADO</v>
      </c>
    </row>
    <row r="170" spans="2:33" ht="26.25" hidden="1" x14ac:dyDescent="0.25">
      <c r="B170" s="5">
        <v>166</v>
      </c>
      <c r="C170" s="24" t="s">
        <v>875</v>
      </c>
      <c r="D170" s="5" t="s">
        <v>51</v>
      </c>
      <c r="E170" s="13" t="s">
        <v>876</v>
      </c>
      <c r="F170" s="14" t="s">
        <v>877</v>
      </c>
      <c r="G170" s="7" t="s">
        <v>36</v>
      </c>
      <c r="H170" s="28">
        <v>123093.54</v>
      </c>
      <c r="I170" s="29" t="s">
        <v>878</v>
      </c>
      <c r="J170" s="11" t="s">
        <v>123</v>
      </c>
      <c r="K170" s="13" t="s">
        <v>879</v>
      </c>
      <c r="L170" s="30" t="s">
        <v>880</v>
      </c>
      <c r="M170" s="26">
        <v>45310</v>
      </c>
      <c r="N170" s="13" t="s">
        <v>57</v>
      </c>
      <c r="O170" s="14" t="s">
        <v>118</v>
      </c>
      <c r="P170" s="13"/>
      <c r="Q170" s="1">
        <v>337</v>
      </c>
      <c r="R170" s="1"/>
      <c r="S170" s="1"/>
      <c r="T170" s="1"/>
      <c r="U170" s="1"/>
      <c r="V170" s="1"/>
      <c r="W170" s="1"/>
      <c r="X170" s="1"/>
      <c r="Y170" s="1"/>
      <c r="Z170" s="1">
        <v>333</v>
      </c>
      <c r="AA170" s="1"/>
      <c r="AB170" s="1"/>
      <c r="AC170" s="1">
        <v>336</v>
      </c>
      <c r="AD170" s="1"/>
      <c r="AE170" s="1">
        <f>COUNT(Q170:AD170)</f>
        <v>3</v>
      </c>
      <c r="AF170" s="1">
        <f t="shared" si="10"/>
        <v>335.33333333333331</v>
      </c>
      <c r="AG170" s="11" t="str">
        <f t="shared" si="11"/>
        <v>APROVADO</v>
      </c>
    </row>
    <row r="171" spans="2:33" hidden="1" x14ac:dyDescent="0.25">
      <c r="B171" s="5">
        <v>167</v>
      </c>
      <c r="C171" s="6" t="s">
        <v>881</v>
      </c>
      <c r="D171" s="5" t="s">
        <v>33</v>
      </c>
      <c r="E171" s="5" t="s">
        <v>882</v>
      </c>
      <c r="F171" s="5" t="s">
        <v>883</v>
      </c>
      <c r="G171" s="7" t="s">
        <v>107</v>
      </c>
      <c r="H171" s="8">
        <v>234836</v>
      </c>
      <c r="I171" s="7" t="s">
        <v>884</v>
      </c>
      <c r="J171" s="7" t="s">
        <v>254</v>
      </c>
      <c r="K171" s="7" t="s">
        <v>885</v>
      </c>
      <c r="L171" s="7" t="s">
        <v>886</v>
      </c>
      <c r="M171" s="10">
        <v>45310</v>
      </c>
      <c r="N171" s="5" t="s">
        <v>67</v>
      </c>
      <c r="O171" s="7" t="s">
        <v>89</v>
      </c>
      <c r="P171" s="7" t="s">
        <v>90</v>
      </c>
      <c r="Q171" s="1">
        <v>302</v>
      </c>
      <c r="R171" s="1">
        <v>181</v>
      </c>
      <c r="S171" s="1">
        <v>232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>
        <f>COUNT(Q171:AD171)</f>
        <v>3</v>
      </c>
      <c r="AF171" s="1">
        <f t="shared" si="10"/>
        <v>238.33333333333334</v>
      </c>
      <c r="AG171" s="11" t="str">
        <f t="shared" si="11"/>
        <v>APROVADO</v>
      </c>
    </row>
    <row r="172" spans="2:33" ht="26.25" hidden="1" x14ac:dyDescent="0.25">
      <c r="B172" s="5">
        <v>168</v>
      </c>
      <c r="C172" s="32" t="s">
        <v>887</v>
      </c>
      <c r="D172" s="5" t="s">
        <v>51</v>
      </c>
      <c r="E172" s="13" t="s">
        <v>888</v>
      </c>
      <c r="F172" s="14" t="s">
        <v>889</v>
      </c>
      <c r="G172" s="14" t="s">
        <v>36</v>
      </c>
      <c r="H172" s="33">
        <v>431920.31</v>
      </c>
      <c r="I172" s="29" t="s">
        <v>890</v>
      </c>
      <c r="J172" s="11" t="s">
        <v>270</v>
      </c>
      <c r="K172" s="13" t="s">
        <v>891</v>
      </c>
      <c r="L172" s="13" t="s">
        <v>892</v>
      </c>
      <c r="M172" s="26">
        <v>45310</v>
      </c>
      <c r="N172" s="13" t="s">
        <v>226</v>
      </c>
      <c r="O172" s="13" t="s">
        <v>600</v>
      </c>
      <c r="P172" s="20"/>
      <c r="Q172" s="1">
        <v>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>
        <f t="shared" si="10"/>
        <v>0</v>
      </c>
      <c r="AG172" s="11" t="str">
        <f t="shared" si="11"/>
        <v>REPROVADO</v>
      </c>
    </row>
    <row r="173" spans="2:33" hidden="1" x14ac:dyDescent="0.25">
      <c r="B173" s="5">
        <v>169</v>
      </c>
      <c r="C173" s="24" t="s">
        <v>893</v>
      </c>
      <c r="D173" s="5" t="s">
        <v>51</v>
      </c>
      <c r="E173" s="13" t="s">
        <v>894</v>
      </c>
      <c r="F173" s="13" t="s">
        <v>895</v>
      </c>
      <c r="G173" s="14" t="s">
        <v>36</v>
      </c>
      <c r="H173" s="28">
        <v>188750</v>
      </c>
      <c r="I173" s="12" t="s">
        <v>896</v>
      </c>
      <c r="J173" s="7" t="s">
        <v>123</v>
      </c>
      <c r="K173" s="7" t="s">
        <v>897</v>
      </c>
      <c r="L173" s="13" t="s">
        <v>898</v>
      </c>
      <c r="M173" s="26">
        <v>45310</v>
      </c>
      <c r="N173" s="13" t="s">
        <v>57</v>
      </c>
      <c r="O173" s="13"/>
      <c r="P173" s="20"/>
      <c r="Q173" s="1">
        <v>334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>
        <v>330</v>
      </c>
      <c r="AD173" s="1"/>
      <c r="AE173" s="1">
        <f t="shared" ref="AE173:AE178" si="13">COUNT(Q173:AD173)</f>
        <v>2</v>
      </c>
      <c r="AF173" s="1">
        <f t="shared" si="10"/>
        <v>332</v>
      </c>
      <c r="AG173" s="11" t="str">
        <f t="shared" si="11"/>
        <v>APROVADO</v>
      </c>
    </row>
    <row r="174" spans="2:33" hidden="1" x14ac:dyDescent="0.25">
      <c r="B174" s="5">
        <v>170</v>
      </c>
      <c r="C174" s="24" t="s">
        <v>899</v>
      </c>
      <c r="D174" s="5" t="s">
        <v>51</v>
      </c>
      <c r="E174" s="13" t="s">
        <v>894</v>
      </c>
      <c r="F174" s="14" t="s">
        <v>900</v>
      </c>
      <c r="G174" s="14" t="s">
        <v>107</v>
      </c>
      <c r="H174" s="28">
        <v>200000</v>
      </c>
      <c r="I174" s="12" t="s">
        <v>896</v>
      </c>
      <c r="J174" s="7" t="s">
        <v>123</v>
      </c>
      <c r="K174" s="13" t="s">
        <v>901</v>
      </c>
      <c r="L174" s="13" t="s">
        <v>902</v>
      </c>
      <c r="M174" s="26">
        <v>45310</v>
      </c>
      <c r="N174" s="13" t="s">
        <v>41</v>
      </c>
      <c r="O174" s="13"/>
      <c r="P174" s="20"/>
      <c r="Q174" s="1">
        <v>330</v>
      </c>
      <c r="R174" s="1">
        <v>232</v>
      </c>
      <c r="S174" s="1"/>
      <c r="T174" s="1"/>
      <c r="U174" s="1"/>
      <c r="V174" s="1"/>
      <c r="W174" s="1"/>
      <c r="X174" s="1"/>
      <c r="Y174" s="1"/>
      <c r="Z174" s="1">
        <v>305</v>
      </c>
      <c r="AA174" s="1"/>
      <c r="AB174" s="1"/>
      <c r="AC174" s="1"/>
      <c r="AD174" s="1"/>
      <c r="AE174" s="1">
        <f t="shared" si="13"/>
        <v>3</v>
      </c>
      <c r="AF174" s="1">
        <f t="shared" si="10"/>
        <v>289</v>
      </c>
      <c r="AG174" s="11" t="str">
        <f t="shared" si="11"/>
        <v>APROVADO</v>
      </c>
    </row>
    <row r="175" spans="2:33" hidden="1" x14ac:dyDescent="0.25">
      <c r="B175" s="5">
        <v>171</v>
      </c>
      <c r="C175" s="6" t="s">
        <v>903</v>
      </c>
      <c r="D175" s="5" t="s">
        <v>33</v>
      </c>
      <c r="E175" s="7" t="s">
        <v>904</v>
      </c>
      <c r="F175" s="7" t="s">
        <v>905</v>
      </c>
      <c r="G175" s="7" t="s">
        <v>36</v>
      </c>
      <c r="H175" s="8">
        <v>11850.05</v>
      </c>
      <c r="I175" s="7" t="s">
        <v>896</v>
      </c>
      <c r="J175" s="7" t="s">
        <v>123</v>
      </c>
      <c r="K175" s="7" t="s">
        <v>906</v>
      </c>
      <c r="L175" s="9" t="s">
        <v>907</v>
      </c>
      <c r="M175" s="10">
        <v>45554</v>
      </c>
      <c r="N175" s="7" t="s">
        <v>67</v>
      </c>
      <c r="O175" s="7"/>
      <c r="P175" s="20"/>
      <c r="Q175" s="1"/>
      <c r="R175" s="1">
        <v>229</v>
      </c>
      <c r="S175" s="1"/>
      <c r="T175" s="1"/>
      <c r="U175" s="1"/>
      <c r="V175" s="1">
        <v>340</v>
      </c>
      <c r="W175" s="1">
        <v>316</v>
      </c>
      <c r="X175" s="1"/>
      <c r="Y175" s="1"/>
      <c r="Z175" s="1"/>
      <c r="AA175" s="1"/>
      <c r="AB175" s="1"/>
      <c r="AC175" s="1"/>
      <c r="AD175" s="1"/>
      <c r="AE175" s="1">
        <f t="shared" si="13"/>
        <v>3</v>
      </c>
      <c r="AF175" s="1">
        <f t="shared" si="10"/>
        <v>295</v>
      </c>
      <c r="AG175" s="11" t="str">
        <f t="shared" si="11"/>
        <v>APROVADO</v>
      </c>
    </row>
    <row r="176" spans="2:33" ht="25.5" hidden="1" x14ac:dyDescent="0.25">
      <c r="B176" s="5">
        <v>172</v>
      </c>
      <c r="C176" s="6" t="s">
        <v>908</v>
      </c>
      <c r="D176" s="5" t="s">
        <v>33</v>
      </c>
      <c r="E176" s="7" t="s">
        <v>909</v>
      </c>
      <c r="F176" s="7" t="s">
        <v>910</v>
      </c>
      <c r="G176" s="7" t="s">
        <v>36</v>
      </c>
      <c r="H176" s="8">
        <v>249590</v>
      </c>
      <c r="I176" s="7" t="s">
        <v>73</v>
      </c>
      <c r="J176" s="7" t="s">
        <v>74</v>
      </c>
      <c r="K176" s="7" t="s">
        <v>911</v>
      </c>
      <c r="L176" s="9" t="s">
        <v>912</v>
      </c>
      <c r="M176" s="10">
        <v>45310</v>
      </c>
      <c r="N176" s="7" t="s">
        <v>67</v>
      </c>
      <c r="O176" s="7"/>
      <c r="P176" s="20"/>
      <c r="Q176" s="1"/>
      <c r="R176" s="1">
        <v>211</v>
      </c>
      <c r="S176" s="1"/>
      <c r="T176" s="1"/>
      <c r="U176" s="1"/>
      <c r="V176" s="1"/>
      <c r="W176" s="1"/>
      <c r="X176" s="1">
        <v>297</v>
      </c>
      <c r="Y176" s="1">
        <v>297</v>
      </c>
      <c r="Z176" s="1"/>
      <c r="AA176" s="1"/>
      <c r="AB176" s="1"/>
      <c r="AC176" s="1"/>
      <c r="AD176" s="1"/>
      <c r="AE176" s="1">
        <f t="shared" si="13"/>
        <v>3</v>
      </c>
      <c r="AF176" s="1">
        <f t="shared" si="10"/>
        <v>268.33333333333331</v>
      </c>
      <c r="AG176" s="11" t="str">
        <f t="shared" si="11"/>
        <v>APROVADO</v>
      </c>
    </row>
    <row r="177" spans="2:33" ht="25.5" hidden="1" x14ac:dyDescent="0.25">
      <c r="B177" s="5">
        <v>173</v>
      </c>
      <c r="C177" s="6" t="s">
        <v>913</v>
      </c>
      <c r="D177" s="5" t="s">
        <v>33</v>
      </c>
      <c r="E177" s="7" t="s">
        <v>914</v>
      </c>
      <c r="F177" s="7" t="s">
        <v>915</v>
      </c>
      <c r="G177" s="7" t="s">
        <v>45</v>
      </c>
      <c r="H177" s="8">
        <v>25860.29</v>
      </c>
      <c r="I177" s="7" t="s">
        <v>73</v>
      </c>
      <c r="J177" s="7" t="s">
        <v>74</v>
      </c>
      <c r="K177" s="7" t="s">
        <v>916</v>
      </c>
      <c r="L177" s="31" t="s">
        <v>917</v>
      </c>
      <c r="M177" s="10">
        <v>45310</v>
      </c>
      <c r="N177" s="7" t="s">
        <v>67</v>
      </c>
      <c r="O177" s="7"/>
      <c r="P177" s="20"/>
      <c r="Q177" s="1">
        <v>340</v>
      </c>
      <c r="R177" s="1">
        <v>254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>
        <v>340</v>
      </c>
      <c r="AE177" s="1">
        <f t="shared" si="13"/>
        <v>3</v>
      </c>
      <c r="AF177" s="1">
        <f t="shared" si="10"/>
        <v>311.33333333333331</v>
      </c>
      <c r="AG177" s="11" t="str">
        <f t="shared" si="11"/>
        <v>APROVADO</v>
      </c>
    </row>
    <row r="178" spans="2:33" ht="25.5" hidden="1" x14ac:dyDescent="0.25">
      <c r="B178" s="5">
        <v>174</v>
      </c>
      <c r="C178" s="6" t="s">
        <v>918</v>
      </c>
      <c r="D178" s="5" t="s">
        <v>33</v>
      </c>
      <c r="E178" s="7" t="s">
        <v>919</v>
      </c>
      <c r="F178" s="7" t="s">
        <v>920</v>
      </c>
      <c r="G178" s="7" t="s">
        <v>107</v>
      </c>
      <c r="H178" s="8">
        <v>200000</v>
      </c>
      <c r="I178" s="7" t="s">
        <v>921</v>
      </c>
      <c r="J178" s="7" t="s">
        <v>162</v>
      </c>
      <c r="K178" s="7" t="s">
        <v>922</v>
      </c>
      <c r="L178" s="9" t="s">
        <v>923</v>
      </c>
      <c r="M178" s="10">
        <v>45554</v>
      </c>
      <c r="N178" s="7" t="s">
        <v>67</v>
      </c>
      <c r="O178" s="7"/>
      <c r="P178" s="20"/>
      <c r="Q178" s="1"/>
      <c r="R178" s="1">
        <v>228</v>
      </c>
      <c r="S178" s="1"/>
      <c r="T178" s="1"/>
      <c r="U178" s="1"/>
      <c r="V178" s="1"/>
      <c r="W178" s="1"/>
      <c r="X178" s="1">
        <v>297</v>
      </c>
      <c r="Y178" s="1">
        <v>292</v>
      </c>
      <c r="Z178" s="1"/>
      <c r="AA178" s="1"/>
      <c r="AB178" s="1"/>
      <c r="AC178" s="1"/>
      <c r="AD178" s="1"/>
      <c r="AE178" s="1">
        <f t="shared" si="13"/>
        <v>3</v>
      </c>
      <c r="AF178" s="1">
        <f t="shared" si="10"/>
        <v>272.33333333333331</v>
      </c>
      <c r="AG178" s="11" t="str">
        <f t="shared" si="11"/>
        <v>APROVADO</v>
      </c>
    </row>
    <row r="179" spans="2:33" hidden="1" x14ac:dyDescent="0.25">
      <c r="B179" s="5">
        <v>175</v>
      </c>
      <c r="C179" s="16" t="s">
        <v>924</v>
      </c>
      <c r="D179" s="5" t="s">
        <v>33</v>
      </c>
      <c r="E179" s="5" t="s">
        <v>172</v>
      </c>
      <c r="F179" s="5" t="s">
        <v>925</v>
      </c>
      <c r="G179" s="5" t="s">
        <v>36</v>
      </c>
      <c r="H179" s="17">
        <v>1211418</v>
      </c>
      <c r="I179" s="7" t="s">
        <v>926</v>
      </c>
      <c r="J179" s="7" t="s">
        <v>123</v>
      </c>
      <c r="K179" s="7" t="s">
        <v>927</v>
      </c>
      <c r="L179" s="9" t="s">
        <v>928</v>
      </c>
      <c r="M179" s="10">
        <v>45310</v>
      </c>
      <c r="N179" s="13" t="s">
        <v>226</v>
      </c>
      <c r="O179" s="5" t="s">
        <v>600</v>
      </c>
      <c r="P179" s="20"/>
      <c r="Q179" s="1">
        <v>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>
        <f t="shared" si="10"/>
        <v>0</v>
      </c>
      <c r="AG179" s="11" t="str">
        <f t="shared" si="11"/>
        <v>REPROVADO</v>
      </c>
    </row>
    <row r="180" spans="2:33" ht="25.5" hidden="1" x14ac:dyDescent="0.25">
      <c r="B180" s="5">
        <v>176</v>
      </c>
      <c r="C180" s="27" t="s">
        <v>929</v>
      </c>
      <c r="D180" s="5" t="s">
        <v>33</v>
      </c>
      <c r="E180" s="5" t="s">
        <v>930</v>
      </c>
      <c r="F180" s="5" t="s">
        <v>931</v>
      </c>
      <c r="G180" s="5" t="s">
        <v>36</v>
      </c>
      <c r="H180" s="17">
        <v>300000</v>
      </c>
      <c r="I180" s="5" t="s">
        <v>932</v>
      </c>
      <c r="J180" s="5" t="s">
        <v>453</v>
      </c>
      <c r="K180" s="5" t="s">
        <v>933</v>
      </c>
      <c r="L180" s="9" t="s">
        <v>934</v>
      </c>
      <c r="M180" s="10">
        <v>45313</v>
      </c>
      <c r="N180" s="5" t="s">
        <v>41</v>
      </c>
      <c r="O180" s="5"/>
      <c r="P180" s="5" t="s">
        <v>600</v>
      </c>
      <c r="Q180" s="1">
        <v>338</v>
      </c>
      <c r="R180" s="1">
        <v>269</v>
      </c>
      <c r="S180" s="1"/>
      <c r="T180" s="1"/>
      <c r="U180" s="1"/>
      <c r="V180" s="1"/>
      <c r="W180" s="1"/>
      <c r="X180" s="1"/>
      <c r="Y180" s="1"/>
      <c r="Z180" s="1"/>
      <c r="AA180" s="1"/>
      <c r="AB180" s="1">
        <v>333</v>
      </c>
      <c r="AC180" s="1"/>
      <c r="AD180" s="1"/>
      <c r="AE180" s="1">
        <f>COUNT(Q180:AD180)</f>
        <v>3</v>
      </c>
      <c r="AF180" s="1">
        <f t="shared" si="10"/>
        <v>313.33333333333331</v>
      </c>
      <c r="AG180" s="11" t="str">
        <f t="shared" si="11"/>
        <v>APROVADO</v>
      </c>
    </row>
    <row r="181" spans="2:33" hidden="1" x14ac:dyDescent="0.25">
      <c r="B181" s="5">
        <v>177</v>
      </c>
      <c r="C181" s="27" t="s">
        <v>935</v>
      </c>
      <c r="D181" s="5" t="s">
        <v>33</v>
      </c>
      <c r="E181" s="7" t="s">
        <v>936</v>
      </c>
      <c r="F181" s="7" t="s">
        <v>937</v>
      </c>
      <c r="G181" s="7" t="s">
        <v>36</v>
      </c>
      <c r="H181" s="8">
        <v>74967.12</v>
      </c>
      <c r="I181" s="7" t="s">
        <v>938</v>
      </c>
      <c r="J181" s="7" t="s">
        <v>115</v>
      </c>
      <c r="K181" s="7" t="s">
        <v>939</v>
      </c>
      <c r="L181" s="9" t="s">
        <v>940</v>
      </c>
      <c r="M181" s="10">
        <v>45314</v>
      </c>
      <c r="N181" s="7" t="s">
        <v>41</v>
      </c>
      <c r="O181" s="7"/>
      <c r="P181" s="7"/>
      <c r="Q181" s="1">
        <v>332</v>
      </c>
      <c r="R181" s="1">
        <v>153</v>
      </c>
      <c r="S181" s="1"/>
      <c r="T181" s="1"/>
      <c r="U181" s="1"/>
      <c r="V181" s="1"/>
      <c r="W181" s="1"/>
      <c r="X181" s="1"/>
      <c r="Y181" s="1"/>
      <c r="Z181" s="1"/>
      <c r="AA181" s="1"/>
      <c r="AB181" s="1">
        <v>330</v>
      </c>
      <c r="AC181" s="1"/>
      <c r="AD181" s="1"/>
      <c r="AE181" s="1">
        <f>COUNT(Q181:AD181)</f>
        <v>3</v>
      </c>
      <c r="AF181" s="1">
        <f t="shared" si="10"/>
        <v>271.66666666666669</v>
      </c>
      <c r="AG181" s="11" t="str">
        <f t="shared" si="11"/>
        <v>APROVADO</v>
      </c>
    </row>
    <row r="182" spans="2:33" ht="39" hidden="1" x14ac:dyDescent="0.25">
      <c r="B182" s="5">
        <v>178</v>
      </c>
      <c r="C182" s="35" t="s">
        <v>941</v>
      </c>
      <c r="D182" s="5" t="s">
        <v>51</v>
      </c>
      <c r="E182" s="7" t="s">
        <v>942</v>
      </c>
      <c r="F182" s="12" t="s">
        <v>943</v>
      </c>
      <c r="G182" s="12" t="s">
        <v>107</v>
      </c>
      <c r="H182" s="28">
        <v>164270</v>
      </c>
      <c r="I182" s="12" t="s">
        <v>944</v>
      </c>
      <c r="J182" s="7" t="s">
        <v>115</v>
      </c>
      <c r="K182" s="13" t="s">
        <v>945</v>
      </c>
      <c r="L182" s="13" t="s">
        <v>946</v>
      </c>
      <c r="M182" s="26">
        <v>45314</v>
      </c>
      <c r="N182" s="13" t="s">
        <v>226</v>
      </c>
      <c r="O182" s="14" t="s">
        <v>947</v>
      </c>
      <c r="P182" s="13"/>
      <c r="Q182" s="1">
        <v>0</v>
      </c>
      <c r="R182" s="1">
        <v>153</v>
      </c>
      <c r="S182" s="1"/>
      <c r="T182" s="1"/>
      <c r="U182" s="1"/>
      <c r="V182" s="1"/>
      <c r="W182" s="1"/>
      <c r="X182" s="1"/>
      <c r="Y182" s="1"/>
      <c r="Z182" s="1"/>
      <c r="AA182" s="1"/>
      <c r="AB182" s="1">
        <v>0</v>
      </c>
      <c r="AC182" s="1"/>
      <c r="AD182" s="1"/>
      <c r="AE182" s="1"/>
      <c r="AF182" s="1">
        <f t="shared" si="10"/>
        <v>51</v>
      </c>
      <c r="AG182" s="11" t="str">
        <f t="shared" si="11"/>
        <v>REPROVADO</v>
      </c>
    </row>
    <row r="183" spans="2:33" ht="25.5" hidden="1" x14ac:dyDescent="0.25">
      <c r="B183" s="5">
        <v>179</v>
      </c>
      <c r="C183" s="36" t="s">
        <v>948</v>
      </c>
      <c r="D183" s="5" t="s">
        <v>33</v>
      </c>
      <c r="E183" s="7" t="s">
        <v>949</v>
      </c>
      <c r="F183" s="5" t="s">
        <v>950</v>
      </c>
      <c r="G183" s="5" t="s">
        <v>107</v>
      </c>
      <c r="H183" s="17">
        <v>0</v>
      </c>
      <c r="I183" s="7" t="s">
        <v>944</v>
      </c>
      <c r="J183" s="7" t="s">
        <v>115</v>
      </c>
      <c r="K183" s="7" t="s">
        <v>951</v>
      </c>
      <c r="L183" s="9" t="s">
        <v>952</v>
      </c>
      <c r="M183" s="10">
        <v>45314</v>
      </c>
      <c r="N183" s="13" t="s">
        <v>226</v>
      </c>
      <c r="O183" s="7" t="s">
        <v>953</v>
      </c>
      <c r="P183" s="20"/>
      <c r="Q183" s="1">
        <v>0</v>
      </c>
      <c r="R183" s="1">
        <v>153</v>
      </c>
      <c r="S183" s="1"/>
      <c r="T183" s="1"/>
      <c r="U183" s="1"/>
      <c r="V183" s="1"/>
      <c r="W183" s="1"/>
      <c r="X183" s="1"/>
      <c r="Y183" s="1"/>
      <c r="Z183" s="1"/>
      <c r="AA183" s="1"/>
      <c r="AB183" s="1">
        <v>0</v>
      </c>
      <c r="AC183" s="1"/>
      <c r="AD183" s="1"/>
      <c r="AE183" s="1"/>
      <c r="AF183" s="1">
        <f t="shared" si="10"/>
        <v>51</v>
      </c>
      <c r="AG183" s="11" t="str">
        <f t="shared" si="11"/>
        <v>REPROVADO</v>
      </c>
    </row>
    <row r="184" spans="2:33" ht="25.5" hidden="1" x14ac:dyDescent="0.25">
      <c r="B184" s="5">
        <v>180</v>
      </c>
      <c r="C184" s="24" t="s">
        <v>954</v>
      </c>
      <c r="D184" s="5" t="s">
        <v>51</v>
      </c>
      <c r="E184" s="13" t="s">
        <v>955</v>
      </c>
      <c r="F184" s="13" t="s">
        <v>956</v>
      </c>
      <c r="G184" s="14" t="s">
        <v>107</v>
      </c>
      <c r="H184" s="28">
        <v>60000</v>
      </c>
      <c r="I184" s="29" t="s">
        <v>957</v>
      </c>
      <c r="J184" s="11" t="s">
        <v>189</v>
      </c>
      <c r="K184" s="13" t="s">
        <v>958</v>
      </c>
      <c r="L184" s="13" t="s">
        <v>959</v>
      </c>
      <c r="M184" s="26">
        <v>45314</v>
      </c>
      <c r="N184" s="13" t="s">
        <v>41</v>
      </c>
      <c r="O184" s="13"/>
      <c r="P184" s="13"/>
      <c r="Q184" s="1">
        <v>340</v>
      </c>
      <c r="R184" s="1">
        <v>139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>
        <v>291</v>
      </c>
      <c r="AD184" s="1"/>
      <c r="AE184" s="1">
        <f t="shared" ref="AE184:AE196" si="14">COUNT(Q184:AD184)</f>
        <v>3</v>
      </c>
      <c r="AF184" s="1">
        <f t="shared" si="10"/>
        <v>256.66666666666669</v>
      </c>
      <c r="AG184" s="11" t="str">
        <f t="shared" si="11"/>
        <v>APROVADO</v>
      </c>
    </row>
    <row r="185" spans="2:33" ht="25.5" hidden="1" x14ac:dyDescent="0.25">
      <c r="B185" s="5">
        <v>181</v>
      </c>
      <c r="C185" s="24" t="s">
        <v>960</v>
      </c>
      <c r="D185" s="5" t="s">
        <v>51</v>
      </c>
      <c r="E185" s="13" t="s">
        <v>961</v>
      </c>
      <c r="F185" s="13" t="s">
        <v>962</v>
      </c>
      <c r="G185" s="14" t="s">
        <v>36</v>
      </c>
      <c r="H185" s="28">
        <v>79666.17</v>
      </c>
      <c r="I185" s="29" t="s">
        <v>963</v>
      </c>
      <c r="J185" s="11" t="s">
        <v>189</v>
      </c>
      <c r="K185" s="13" t="s">
        <v>964</v>
      </c>
      <c r="L185" s="25" t="s">
        <v>965</v>
      </c>
      <c r="M185" s="26">
        <v>45314</v>
      </c>
      <c r="N185" s="13" t="s">
        <v>57</v>
      </c>
      <c r="O185" s="14" t="s">
        <v>966</v>
      </c>
      <c r="P185" s="20"/>
      <c r="Q185" s="1">
        <v>340</v>
      </c>
      <c r="R185" s="1"/>
      <c r="S185" s="1"/>
      <c r="T185" s="1"/>
      <c r="U185" s="1"/>
      <c r="V185" s="1">
        <v>340</v>
      </c>
      <c r="W185" s="1">
        <v>340</v>
      </c>
      <c r="X185" s="1"/>
      <c r="Y185" s="1"/>
      <c r="Z185" s="1"/>
      <c r="AA185" s="1"/>
      <c r="AB185" s="1"/>
      <c r="AC185" s="1"/>
      <c r="AD185" s="1"/>
      <c r="AE185" s="1">
        <f t="shared" si="14"/>
        <v>3</v>
      </c>
      <c r="AF185" s="1">
        <f t="shared" si="10"/>
        <v>340</v>
      </c>
      <c r="AG185" s="11" t="str">
        <f t="shared" si="11"/>
        <v>APROVADO</v>
      </c>
    </row>
    <row r="186" spans="2:33" ht="25.5" hidden="1" x14ac:dyDescent="0.25">
      <c r="B186" s="5"/>
      <c r="C186" s="24" t="s">
        <v>967</v>
      </c>
      <c r="D186" s="5" t="s">
        <v>51</v>
      </c>
      <c r="E186" s="13" t="s">
        <v>968</v>
      </c>
      <c r="F186" s="12" t="s">
        <v>969</v>
      </c>
      <c r="G186" s="14"/>
      <c r="H186" s="28">
        <v>578902.54</v>
      </c>
      <c r="I186" s="9" t="s">
        <v>970</v>
      </c>
      <c r="J186" s="9" t="s">
        <v>223</v>
      </c>
      <c r="K186" s="13" t="s">
        <v>971</v>
      </c>
      <c r="L186" s="25" t="s">
        <v>972</v>
      </c>
      <c r="M186" s="26"/>
      <c r="N186" s="13" t="s">
        <v>41</v>
      </c>
      <c r="O186" s="14"/>
      <c r="P186" s="20"/>
      <c r="Q186" s="1">
        <v>324</v>
      </c>
      <c r="R186" s="1"/>
      <c r="S186" s="1"/>
      <c r="T186" s="1"/>
      <c r="U186" s="1"/>
      <c r="V186" s="1"/>
      <c r="W186" s="1"/>
      <c r="X186" s="1"/>
      <c r="Y186" s="1"/>
      <c r="Z186" s="1"/>
      <c r="AA186" s="1">
        <v>312</v>
      </c>
      <c r="AB186" s="1"/>
      <c r="AC186" s="1">
        <v>333</v>
      </c>
      <c r="AD186" s="1"/>
      <c r="AE186" s="1">
        <f t="shared" si="14"/>
        <v>3</v>
      </c>
      <c r="AF186" s="1">
        <f t="shared" si="10"/>
        <v>323</v>
      </c>
      <c r="AG186" s="11" t="str">
        <f t="shared" si="11"/>
        <v>APROVADO</v>
      </c>
    </row>
    <row r="187" spans="2:33" ht="25.5" hidden="1" x14ac:dyDescent="0.25">
      <c r="B187" s="5">
        <v>182</v>
      </c>
      <c r="C187" s="6" t="s">
        <v>973</v>
      </c>
      <c r="D187" s="5" t="s">
        <v>33</v>
      </c>
      <c r="E187" s="5" t="s">
        <v>974</v>
      </c>
      <c r="F187" s="5" t="s">
        <v>975</v>
      </c>
      <c r="G187" s="7" t="s">
        <v>45</v>
      </c>
      <c r="H187" s="8">
        <v>117517.32</v>
      </c>
      <c r="I187" s="7" t="s">
        <v>976</v>
      </c>
      <c r="J187" s="7" t="s">
        <v>445</v>
      </c>
      <c r="K187" s="7" t="s">
        <v>977</v>
      </c>
      <c r="L187" s="37" t="s">
        <v>978</v>
      </c>
      <c r="M187" s="10">
        <v>45315</v>
      </c>
      <c r="N187" s="5" t="s">
        <v>67</v>
      </c>
      <c r="O187" s="7" t="s">
        <v>89</v>
      </c>
      <c r="P187" s="7" t="s">
        <v>979</v>
      </c>
      <c r="Q187" s="39">
        <v>340</v>
      </c>
      <c r="R187" s="1">
        <v>148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>
        <v>338</v>
      </c>
      <c r="AD187" s="1"/>
      <c r="AE187" s="1">
        <f t="shared" si="14"/>
        <v>3</v>
      </c>
      <c r="AF187" s="1">
        <f t="shared" si="10"/>
        <v>275.33333333333331</v>
      </c>
      <c r="AG187" s="11" t="str">
        <f t="shared" si="11"/>
        <v>APROVADO</v>
      </c>
    </row>
    <row r="188" spans="2:33" ht="25.5" hidden="1" x14ac:dyDescent="0.25">
      <c r="B188" s="5">
        <v>183</v>
      </c>
      <c r="C188" s="6" t="s">
        <v>980</v>
      </c>
      <c r="D188" s="5" t="s">
        <v>33</v>
      </c>
      <c r="E188" s="5" t="s">
        <v>981</v>
      </c>
      <c r="F188" s="5" t="s">
        <v>45</v>
      </c>
      <c r="G188" s="7" t="s">
        <v>45</v>
      </c>
      <c r="H188" s="8">
        <v>130000</v>
      </c>
      <c r="I188" s="7" t="s">
        <v>976</v>
      </c>
      <c r="J188" s="7" t="s">
        <v>445</v>
      </c>
      <c r="K188" s="7" t="s">
        <v>982</v>
      </c>
      <c r="L188" s="9" t="s">
        <v>983</v>
      </c>
      <c r="M188" s="10">
        <v>45315</v>
      </c>
      <c r="N188" s="5" t="s">
        <v>67</v>
      </c>
      <c r="O188" s="7" t="s">
        <v>89</v>
      </c>
      <c r="P188" s="7" t="s">
        <v>984</v>
      </c>
      <c r="Q188" s="39">
        <v>340</v>
      </c>
      <c r="R188" s="1">
        <v>160</v>
      </c>
      <c r="S188" s="1">
        <v>234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>
        <f t="shared" si="14"/>
        <v>3</v>
      </c>
      <c r="AF188" s="1">
        <f t="shared" si="10"/>
        <v>244.66666666666666</v>
      </c>
      <c r="AG188" s="11" t="str">
        <f t="shared" si="11"/>
        <v>APROVADO</v>
      </c>
    </row>
    <row r="189" spans="2:33" ht="25.5" hidden="1" x14ac:dyDescent="0.25">
      <c r="B189" s="5">
        <v>184</v>
      </c>
      <c r="C189" s="6" t="s">
        <v>985</v>
      </c>
      <c r="D189" s="5" t="s">
        <v>33</v>
      </c>
      <c r="E189" s="5" t="s">
        <v>986</v>
      </c>
      <c r="F189" s="5" t="s">
        <v>987</v>
      </c>
      <c r="G189" s="7" t="s">
        <v>107</v>
      </c>
      <c r="H189" s="8">
        <v>1347817.58</v>
      </c>
      <c r="I189" s="7" t="s">
        <v>73</v>
      </c>
      <c r="J189" s="5" t="s">
        <v>74</v>
      </c>
      <c r="K189" s="7" t="s">
        <v>988</v>
      </c>
      <c r="L189" s="9" t="s">
        <v>989</v>
      </c>
      <c r="M189" s="10">
        <v>45315</v>
      </c>
      <c r="N189" s="5" t="s">
        <v>67</v>
      </c>
      <c r="O189" s="7" t="s">
        <v>375</v>
      </c>
      <c r="P189" s="7"/>
      <c r="Q189" s="39">
        <v>322</v>
      </c>
      <c r="R189" s="1">
        <v>157</v>
      </c>
      <c r="S189" s="1">
        <v>249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>
        <f t="shared" si="14"/>
        <v>3</v>
      </c>
      <c r="AF189" s="1">
        <f t="shared" si="10"/>
        <v>242.66666666666666</v>
      </c>
      <c r="AG189" s="11" t="str">
        <f t="shared" si="11"/>
        <v>APROVADO</v>
      </c>
    </row>
    <row r="190" spans="2:33" ht="25.5" hidden="1" x14ac:dyDescent="0.25">
      <c r="B190" s="5">
        <v>185</v>
      </c>
      <c r="C190" s="24" t="s">
        <v>990</v>
      </c>
      <c r="D190" s="5" t="s">
        <v>51</v>
      </c>
      <c r="E190" s="14" t="s">
        <v>991</v>
      </c>
      <c r="F190" s="14" t="s">
        <v>992</v>
      </c>
      <c r="G190" s="14" t="s">
        <v>107</v>
      </c>
      <c r="H190" s="28">
        <v>515262.2</v>
      </c>
      <c r="I190" s="29" t="s">
        <v>993</v>
      </c>
      <c r="J190" s="11" t="s">
        <v>235</v>
      </c>
      <c r="K190" s="13" t="s">
        <v>994</v>
      </c>
      <c r="L190" s="13" t="s">
        <v>995</v>
      </c>
      <c r="M190" s="26">
        <v>45315</v>
      </c>
      <c r="N190" s="13" t="s">
        <v>57</v>
      </c>
      <c r="O190" s="14" t="s">
        <v>518</v>
      </c>
      <c r="P190" s="13"/>
      <c r="Q190" s="1">
        <v>338</v>
      </c>
      <c r="R190" s="1"/>
      <c r="S190" s="1"/>
      <c r="T190" s="1"/>
      <c r="U190" s="1"/>
      <c r="V190" s="1">
        <v>340</v>
      </c>
      <c r="W190" s="1">
        <v>335</v>
      </c>
      <c r="X190" s="1"/>
      <c r="Y190" s="1"/>
      <c r="Z190" s="1"/>
      <c r="AA190" s="1"/>
      <c r="AB190" s="1"/>
      <c r="AC190" s="20"/>
      <c r="AD190" s="20"/>
      <c r="AE190" s="1">
        <f t="shared" si="14"/>
        <v>3</v>
      </c>
      <c r="AF190" s="1">
        <f t="shared" si="10"/>
        <v>337.66666666666669</v>
      </c>
      <c r="AG190" s="11" t="str">
        <f t="shared" si="11"/>
        <v>APROVADO</v>
      </c>
    </row>
    <row r="191" spans="2:33" ht="25.5" hidden="1" x14ac:dyDescent="0.25">
      <c r="B191" s="5">
        <v>186</v>
      </c>
      <c r="C191" s="24" t="s">
        <v>996</v>
      </c>
      <c r="D191" s="5" t="s">
        <v>51</v>
      </c>
      <c r="E191" s="13" t="s">
        <v>997</v>
      </c>
      <c r="F191" s="13" t="s">
        <v>998</v>
      </c>
      <c r="G191" s="14" t="s">
        <v>107</v>
      </c>
      <c r="H191" s="28">
        <v>270680</v>
      </c>
      <c r="I191" s="29" t="s">
        <v>999</v>
      </c>
      <c r="J191" s="11" t="s">
        <v>189</v>
      </c>
      <c r="K191" s="13" t="s">
        <v>1000</v>
      </c>
      <c r="L191" s="13" t="s">
        <v>1001</v>
      </c>
      <c r="M191" s="26">
        <v>45315</v>
      </c>
      <c r="N191" s="13" t="s">
        <v>41</v>
      </c>
      <c r="O191" s="14"/>
      <c r="P191" s="13"/>
      <c r="Q191" s="1">
        <v>291</v>
      </c>
      <c r="R191" s="1">
        <v>180</v>
      </c>
      <c r="S191" s="1"/>
      <c r="T191" s="1"/>
      <c r="U191" s="1"/>
      <c r="V191" s="1"/>
      <c r="W191" s="1"/>
      <c r="X191" s="1"/>
      <c r="Y191" s="1"/>
      <c r="Z191" s="1">
        <v>242</v>
      </c>
      <c r="AA191" s="1"/>
      <c r="AB191" s="1"/>
      <c r="AC191" s="20"/>
      <c r="AD191" s="20"/>
      <c r="AE191" s="1">
        <f t="shared" si="14"/>
        <v>3</v>
      </c>
      <c r="AF191" s="1">
        <f t="shared" si="10"/>
        <v>237.66666666666666</v>
      </c>
      <c r="AG191" s="11" t="str">
        <f t="shared" si="11"/>
        <v>APROVADO</v>
      </c>
    </row>
    <row r="192" spans="2:33" ht="25.5" hidden="1" x14ac:dyDescent="0.25">
      <c r="B192" s="5">
        <v>187</v>
      </c>
      <c r="C192" s="6" t="s">
        <v>1002</v>
      </c>
      <c r="D192" s="5" t="s">
        <v>33</v>
      </c>
      <c r="E192" s="7" t="s">
        <v>1003</v>
      </c>
      <c r="F192" s="7" t="s">
        <v>1004</v>
      </c>
      <c r="G192" s="7" t="s">
        <v>36</v>
      </c>
      <c r="H192" s="8">
        <v>278842.44</v>
      </c>
      <c r="I192" s="7" t="s">
        <v>1005</v>
      </c>
      <c r="J192" s="7" t="s">
        <v>391</v>
      </c>
      <c r="K192" s="7" t="s">
        <v>1006</v>
      </c>
      <c r="L192" s="23" t="s">
        <v>1007</v>
      </c>
      <c r="M192" s="10">
        <v>45315</v>
      </c>
      <c r="N192" s="7" t="s">
        <v>67</v>
      </c>
      <c r="O192" s="7" t="s">
        <v>89</v>
      </c>
      <c r="P192" s="7"/>
      <c r="Q192" s="40">
        <v>304</v>
      </c>
      <c r="R192" s="1">
        <v>279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>
        <v>306</v>
      </c>
      <c r="AE192" s="1">
        <f t="shared" si="14"/>
        <v>3</v>
      </c>
      <c r="AF192" s="1">
        <f t="shared" si="10"/>
        <v>296.33333333333331</v>
      </c>
      <c r="AG192" s="11" t="str">
        <f t="shared" si="11"/>
        <v>APROVADO</v>
      </c>
    </row>
    <row r="193" spans="2:33" ht="38.25" hidden="1" x14ac:dyDescent="0.25">
      <c r="B193" s="5">
        <v>188</v>
      </c>
      <c r="C193" s="6" t="s">
        <v>1008</v>
      </c>
      <c r="D193" s="5" t="s">
        <v>33</v>
      </c>
      <c r="E193" s="5" t="s">
        <v>1009</v>
      </c>
      <c r="F193" s="5" t="s">
        <v>1010</v>
      </c>
      <c r="G193" s="5" t="s">
        <v>62</v>
      </c>
      <c r="H193" s="8">
        <v>322800</v>
      </c>
      <c r="I193" s="7" t="s">
        <v>342</v>
      </c>
      <c r="J193" s="7" t="s">
        <v>235</v>
      </c>
      <c r="K193" s="7" t="s">
        <v>1011</v>
      </c>
      <c r="L193" s="9" t="s">
        <v>1012</v>
      </c>
      <c r="M193" s="10">
        <v>45315</v>
      </c>
      <c r="N193" s="5" t="s">
        <v>67</v>
      </c>
      <c r="O193" s="7" t="s">
        <v>68</v>
      </c>
      <c r="P193" s="9"/>
      <c r="Q193" s="39">
        <v>340</v>
      </c>
      <c r="R193" s="1">
        <v>282</v>
      </c>
      <c r="S193" s="1">
        <v>262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f t="shared" si="14"/>
        <v>3</v>
      </c>
      <c r="AF193" s="1">
        <f t="shared" si="10"/>
        <v>294.66666666666669</v>
      </c>
      <c r="AG193" s="11" t="str">
        <f t="shared" si="11"/>
        <v>APROVADO</v>
      </c>
    </row>
    <row r="194" spans="2:33" ht="38.25" hidden="1" x14ac:dyDescent="0.25">
      <c r="B194" s="5">
        <v>189</v>
      </c>
      <c r="C194" s="27" t="s">
        <v>1013</v>
      </c>
      <c r="D194" s="5" t="s">
        <v>33</v>
      </c>
      <c r="E194" s="7" t="s">
        <v>1014</v>
      </c>
      <c r="F194" s="7" t="s">
        <v>1015</v>
      </c>
      <c r="G194" s="7" t="s">
        <v>36</v>
      </c>
      <c r="H194" s="8">
        <v>2389959.12</v>
      </c>
      <c r="I194" s="7" t="s">
        <v>108</v>
      </c>
      <c r="J194" s="7" t="s">
        <v>95</v>
      </c>
      <c r="K194" s="7" t="s">
        <v>1016</v>
      </c>
      <c r="L194" s="9" t="s">
        <v>1017</v>
      </c>
      <c r="M194" s="10">
        <v>45315</v>
      </c>
      <c r="N194" s="7" t="s">
        <v>41</v>
      </c>
      <c r="O194" s="7"/>
      <c r="P194" s="9"/>
      <c r="Q194" s="40">
        <v>246</v>
      </c>
      <c r="R194" s="1">
        <v>169</v>
      </c>
      <c r="S194" s="1"/>
      <c r="T194" s="1"/>
      <c r="U194" s="1"/>
      <c r="V194" s="1"/>
      <c r="W194" s="1"/>
      <c r="X194" s="1"/>
      <c r="Y194" s="1"/>
      <c r="Z194" s="1">
        <v>246</v>
      </c>
      <c r="AA194" s="1">
        <v>244</v>
      </c>
      <c r="AB194" s="1"/>
      <c r="AC194" s="1"/>
      <c r="AD194" s="1"/>
      <c r="AE194" s="1">
        <f t="shared" si="14"/>
        <v>4</v>
      </c>
      <c r="AF194" s="1">
        <f t="shared" si="10"/>
        <v>226.25</v>
      </c>
      <c r="AG194" s="11" t="str">
        <f t="shared" si="11"/>
        <v>APROVADO</v>
      </c>
    </row>
    <row r="195" spans="2:33" ht="38.25" hidden="1" x14ac:dyDescent="0.25">
      <c r="B195" s="5">
        <v>190</v>
      </c>
      <c r="C195" s="27" t="s">
        <v>1018</v>
      </c>
      <c r="D195" s="5" t="s">
        <v>33</v>
      </c>
      <c r="E195" s="7" t="s">
        <v>1014</v>
      </c>
      <c r="F195" s="7" t="s">
        <v>1019</v>
      </c>
      <c r="G195" s="7" t="s">
        <v>72</v>
      </c>
      <c r="H195" s="8">
        <v>1784430</v>
      </c>
      <c r="I195" s="7" t="s">
        <v>108</v>
      </c>
      <c r="J195" s="7" t="s">
        <v>95</v>
      </c>
      <c r="K195" s="7" t="s">
        <v>1016</v>
      </c>
      <c r="L195" s="9" t="s">
        <v>1017</v>
      </c>
      <c r="M195" s="10">
        <v>45315</v>
      </c>
      <c r="N195" s="7" t="s">
        <v>41</v>
      </c>
      <c r="O195" s="7"/>
      <c r="P195" s="9"/>
      <c r="Q195" s="40">
        <v>267</v>
      </c>
      <c r="R195" s="1">
        <v>169</v>
      </c>
      <c r="S195" s="1"/>
      <c r="T195" s="1"/>
      <c r="U195" s="1"/>
      <c r="V195" s="1"/>
      <c r="W195" s="1"/>
      <c r="X195" s="1"/>
      <c r="Y195" s="1"/>
      <c r="Z195" s="1">
        <v>241</v>
      </c>
      <c r="AA195" s="1"/>
      <c r="AB195" s="1"/>
      <c r="AC195" s="1"/>
      <c r="AD195" s="1"/>
      <c r="AE195" s="1">
        <f t="shared" si="14"/>
        <v>3</v>
      </c>
      <c r="AF195" s="1">
        <f t="shared" si="10"/>
        <v>225.66666666666666</v>
      </c>
      <c r="AG195" s="11" t="str">
        <f t="shared" si="11"/>
        <v>APROVADO</v>
      </c>
    </row>
    <row r="196" spans="2:33" ht="38.25" hidden="1" x14ac:dyDescent="0.25">
      <c r="B196" s="5">
        <v>191</v>
      </c>
      <c r="C196" s="27" t="s">
        <v>1020</v>
      </c>
      <c r="D196" s="5" t="s">
        <v>33</v>
      </c>
      <c r="E196" s="7" t="s">
        <v>1021</v>
      </c>
      <c r="F196" s="7" t="s">
        <v>1022</v>
      </c>
      <c r="G196" s="7" t="s">
        <v>36</v>
      </c>
      <c r="H196" s="8">
        <v>609818.75</v>
      </c>
      <c r="I196" s="7" t="s">
        <v>1023</v>
      </c>
      <c r="J196" s="7" t="s">
        <v>445</v>
      </c>
      <c r="K196" s="7" t="s">
        <v>1024</v>
      </c>
      <c r="L196" s="9" t="s">
        <v>1025</v>
      </c>
      <c r="M196" s="10">
        <v>45315</v>
      </c>
      <c r="N196" s="7" t="s">
        <v>41</v>
      </c>
      <c r="O196" s="7"/>
      <c r="P196" s="9"/>
      <c r="Q196" s="40">
        <v>326</v>
      </c>
      <c r="R196" s="1">
        <v>171</v>
      </c>
      <c r="S196" s="1"/>
      <c r="T196" s="1"/>
      <c r="U196" s="1"/>
      <c r="V196" s="1"/>
      <c r="W196" s="1"/>
      <c r="X196" s="1"/>
      <c r="Y196" s="1"/>
      <c r="Z196" s="1">
        <v>302</v>
      </c>
      <c r="AA196" s="1"/>
      <c r="AB196" s="1"/>
      <c r="AC196" s="1"/>
      <c r="AD196" s="1"/>
      <c r="AE196" s="1">
        <f t="shared" si="14"/>
        <v>3</v>
      </c>
      <c r="AF196" s="1">
        <f t="shared" si="10"/>
        <v>266.33333333333331</v>
      </c>
      <c r="AG196" s="11" t="str">
        <f t="shared" si="11"/>
        <v>APROVADO</v>
      </c>
    </row>
    <row r="197" spans="2:33" ht="25.5" hidden="1" x14ac:dyDescent="0.25">
      <c r="B197" s="5">
        <v>192</v>
      </c>
      <c r="C197" s="16" t="s">
        <v>1026</v>
      </c>
      <c r="D197" s="5" t="s">
        <v>33</v>
      </c>
      <c r="E197" s="5" t="s">
        <v>1021</v>
      </c>
      <c r="F197" s="5" t="s">
        <v>1027</v>
      </c>
      <c r="G197" s="5" t="s">
        <v>107</v>
      </c>
      <c r="H197" s="17">
        <v>984524.16</v>
      </c>
      <c r="I197" s="5" t="s">
        <v>1023</v>
      </c>
      <c r="J197" s="5" t="s">
        <v>445</v>
      </c>
      <c r="K197" s="5" t="s">
        <v>1024</v>
      </c>
      <c r="L197" s="9" t="s">
        <v>1025</v>
      </c>
      <c r="M197" s="10">
        <v>45315</v>
      </c>
      <c r="N197" s="13" t="s">
        <v>226</v>
      </c>
      <c r="O197" s="9" t="s">
        <v>227</v>
      </c>
      <c r="P197" s="20"/>
      <c r="Q197" s="39">
        <v>0</v>
      </c>
      <c r="R197" s="1">
        <v>145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>
        <f t="shared" ref="AF197:AF260" si="15">AVERAGE(Q197:AD197)</f>
        <v>72.5</v>
      </c>
      <c r="AG197" s="11" t="str">
        <f t="shared" ref="AG197:AG260" si="16">IF(AF197&gt;=$AG$1,"APROVADO","REPROVADO")</f>
        <v>REPROVADO</v>
      </c>
    </row>
    <row r="198" spans="2:33" ht="38.25" hidden="1" x14ac:dyDescent="0.25">
      <c r="B198" s="5">
        <v>193</v>
      </c>
      <c r="C198" s="27" t="s">
        <v>1028</v>
      </c>
      <c r="D198" s="5" t="s">
        <v>33</v>
      </c>
      <c r="E198" s="7" t="s">
        <v>1021</v>
      </c>
      <c r="F198" s="7" t="s">
        <v>1029</v>
      </c>
      <c r="G198" s="7" t="s">
        <v>72</v>
      </c>
      <c r="H198" s="8">
        <v>800870.83</v>
      </c>
      <c r="I198" s="7" t="s">
        <v>1023</v>
      </c>
      <c r="J198" s="7" t="s">
        <v>445</v>
      </c>
      <c r="K198" s="7" t="s">
        <v>1024</v>
      </c>
      <c r="L198" s="9" t="s">
        <v>1025</v>
      </c>
      <c r="M198" s="10">
        <v>45315</v>
      </c>
      <c r="N198" s="7" t="s">
        <v>41</v>
      </c>
      <c r="O198" s="9"/>
      <c r="P198" s="20"/>
      <c r="Q198" s="40">
        <v>315</v>
      </c>
      <c r="R198" s="1">
        <v>145</v>
      </c>
      <c r="S198" s="1"/>
      <c r="T198" s="1"/>
      <c r="U198" s="1"/>
      <c r="V198" s="1"/>
      <c r="W198" s="1"/>
      <c r="X198" s="1"/>
      <c r="Y198" s="1"/>
      <c r="Z198" s="1">
        <v>276</v>
      </c>
      <c r="AA198" s="1"/>
      <c r="AB198" s="1"/>
      <c r="AC198" s="1"/>
      <c r="AD198" s="1"/>
      <c r="AE198" s="1">
        <f>COUNT(Q198:AD198)</f>
        <v>3</v>
      </c>
      <c r="AF198" s="1">
        <f t="shared" si="15"/>
        <v>245.33333333333334</v>
      </c>
      <c r="AG198" s="11" t="str">
        <f t="shared" si="16"/>
        <v>APROVADO</v>
      </c>
    </row>
    <row r="199" spans="2:33" ht="25.5" hidden="1" x14ac:dyDescent="0.25">
      <c r="B199" s="5">
        <v>194</v>
      </c>
      <c r="C199" s="6" t="s">
        <v>1030</v>
      </c>
      <c r="D199" s="5" t="s">
        <v>33</v>
      </c>
      <c r="E199" s="7" t="s">
        <v>1031</v>
      </c>
      <c r="F199" s="7" t="s">
        <v>1032</v>
      </c>
      <c r="G199" s="7" t="s">
        <v>36</v>
      </c>
      <c r="H199" s="8">
        <v>442500</v>
      </c>
      <c r="I199" s="7" t="s">
        <v>1033</v>
      </c>
      <c r="J199" s="7" t="s">
        <v>445</v>
      </c>
      <c r="K199" s="7" t="s">
        <v>1034</v>
      </c>
      <c r="L199" s="9" t="s">
        <v>1035</v>
      </c>
      <c r="M199" s="10">
        <v>45315</v>
      </c>
      <c r="N199" s="7" t="s">
        <v>67</v>
      </c>
      <c r="O199" s="9"/>
      <c r="P199" s="20"/>
      <c r="Q199" s="40">
        <v>281</v>
      </c>
      <c r="R199" s="1">
        <v>183</v>
      </c>
      <c r="S199" s="1"/>
      <c r="T199" s="1"/>
      <c r="U199" s="1"/>
      <c r="V199" s="1">
        <v>340</v>
      </c>
      <c r="W199" s="1"/>
      <c r="X199" s="1"/>
      <c r="Y199" s="1"/>
      <c r="Z199" s="1"/>
      <c r="AA199" s="1"/>
      <c r="AB199" s="1"/>
      <c r="AC199" s="1"/>
      <c r="AD199" s="1"/>
      <c r="AE199" s="1">
        <f>COUNT(Q199:AD199)</f>
        <v>3</v>
      </c>
      <c r="AF199" s="1">
        <f t="shared" si="15"/>
        <v>268</v>
      </c>
      <c r="AG199" s="11" t="str">
        <f t="shared" si="16"/>
        <v>APROVADO</v>
      </c>
    </row>
    <row r="200" spans="2:33" ht="25.5" hidden="1" x14ac:dyDescent="0.25">
      <c r="B200" s="5">
        <v>195</v>
      </c>
      <c r="C200" s="6" t="s">
        <v>1036</v>
      </c>
      <c r="D200" s="5" t="s">
        <v>33</v>
      </c>
      <c r="E200" s="7" t="s">
        <v>1037</v>
      </c>
      <c r="F200" s="7" t="s">
        <v>1038</v>
      </c>
      <c r="G200" s="7" t="s">
        <v>36</v>
      </c>
      <c r="H200" s="8">
        <v>54500</v>
      </c>
      <c r="I200" s="7" t="s">
        <v>290</v>
      </c>
      <c r="J200" s="7" t="s">
        <v>154</v>
      </c>
      <c r="K200" s="7" t="s">
        <v>1039</v>
      </c>
      <c r="L200" s="9" t="s">
        <v>1040</v>
      </c>
      <c r="M200" s="10">
        <v>45320</v>
      </c>
      <c r="N200" s="7" t="s">
        <v>67</v>
      </c>
      <c r="O200" s="7"/>
      <c r="P200" s="20"/>
      <c r="Q200" s="40">
        <v>340</v>
      </c>
      <c r="R200" s="1">
        <v>260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>
        <v>340</v>
      </c>
      <c r="AE200" s="1">
        <f>COUNT(Q200:AD200)</f>
        <v>3</v>
      </c>
      <c r="AF200" s="1">
        <f t="shared" si="15"/>
        <v>313.33333333333331</v>
      </c>
      <c r="AG200" s="11" t="str">
        <f t="shared" si="16"/>
        <v>APROVADO</v>
      </c>
    </row>
    <row r="201" spans="2:33" ht="25.5" hidden="1" x14ac:dyDescent="0.25">
      <c r="B201" s="5">
        <v>196</v>
      </c>
      <c r="C201" s="16" t="s">
        <v>1041</v>
      </c>
      <c r="D201" s="5" t="s">
        <v>33</v>
      </c>
      <c r="E201" s="7" t="s">
        <v>1042</v>
      </c>
      <c r="F201" s="7" t="s">
        <v>1043</v>
      </c>
      <c r="G201" s="7" t="s">
        <v>36</v>
      </c>
      <c r="H201" s="8">
        <v>69600</v>
      </c>
      <c r="I201" s="7" t="s">
        <v>1044</v>
      </c>
      <c r="J201" s="7" t="s">
        <v>445</v>
      </c>
      <c r="K201" s="7" t="s">
        <v>1045</v>
      </c>
      <c r="L201" s="9" t="s">
        <v>1046</v>
      </c>
      <c r="M201" s="10">
        <v>45315</v>
      </c>
      <c r="N201" s="7" t="s">
        <v>82</v>
      </c>
      <c r="O201" s="7" t="s">
        <v>845</v>
      </c>
      <c r="P201" s="20"/>
      <c r="Q201" s="40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 t="e">
        <f t="shared" si="15"/>
        <v>#DIV/0!</v>
      </c>
      <c r="AG201" s="11" t="e">
        <f t="shared" si="16"/>
        <v>#DIV/0!</v>
      </c>
    </row>
    <row r="202" spans="2:33" ht="25.5" hidden="1" x14ac:dyDescent="0.25">
      <c r="B202" s="5">
        <v>197</v>
      </c>
      <c r="C202" s="27" t="s">
        <v>1047</v>
      </c>
      <c r="D202" s="5" t="s">
        <v>33</v>
      </c>
      <c r="E202" s="7" t="s">
        <v>1048</v>
      </c>
      <c r="F202" s="7" t="s">
        <v>1049</v>
      </c>
      <c r="G202" s="7" t="s">
        <v>107</v>
      </c>
      <c r="H202" s="8">
        <v>382990.71</v>
      </c>
      <c r="I202" s="7" t="s">
        <v>390</v>
      </c>
      <c r="J202" s="7" t="s">
        <v>391</v>
      </c>
      <c r="K202" s="7" t="s">
        <v>1050</v>
      </c>
      <c r="L202" s="9" t="s">
        <v>1051</v>
      </c>
      <c r="M202" s="10">
        <v>45315</v>
      </c>
      <c r="N202" s="9" t="s">
        <v>41</v>
      </c>
      <c r="O202" s="9"/>
      <c r="P202" s="20"/>
      <c r="Q202" s="40">
        <v>269</v>
      </c>
      <c r="R202" s="1">
        <v>154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>
        <v>330</v>
      </c>
      <c r="AD202" s="1"/>
      <c r="AE202" s="1">
        <f t="shared" ref="AE202:AE208" si="17">COUNT(Q202:AD202)</f>
        <v>3</v>
      </c>
      <c r="AF202" s="1">
        <f t="shared" si="15"/>
        <v>251</v>
      </c>
      <c r="AG202" s="11" t="str">
        <f t="shared" si="16"/>
        <v>APROVADO</v>
      </c>
    </row>
    <row r="203" spans="2:33" ht="25.5" hidden="1" x14ac:dyDescent="0.25">
      <c r="B203" s="5">
        <v>198</v>
      </c>
      <c r="C203" s="6" t="s">
        <v>1052</v>
      </c>
      <c r="D203" s="5" t="s">
        <v>33</v>
      </c>
      <c r="E203" s="7" t="s">
        <v>1048</v>
      </c>
      <c r="F203" s="7" t="s">
        <v>1053</v>
      </c>
      <c r="G203" s="7" t="s">
        <v>107</v>
      </c>
      <c r="H203" s="8">
        <v>377065.43</v>
      </c>
      <c r="I203" s="7" t="s">
        <v>390</v>
      </c>
      <c r="J203" s="7" t="s">
        <v>391</v>
      </c>
      <c r="K203" s="7" t="s">
        <v>1050</v>
      </c>
      <c r="L203" s="9" t="s">
        <v>1051</v>
      </c>
      <c r="M203" s="10">
        <v>45315</v>
      </c>
      <c r="N203" s="9" t="s">
        <v>41</v>
      </c>
      <c r="O203" s="7"/>
      <c r="P203" s="20"/>
      <c r="Q203" s="40">
        <v>268</v>
      </c>
      <c r="R203" s="1"/>
      <c r="S203" s="1"/>
      <c r="T203" s="1"/>
      <c r="U203" s="1">
        <v>151</v>
      </c>
      <c r="V203" s="1"/>
      <c r="W203" s="1"/>
      <c r="X203" s="1"/>
      <c r="Y203" s="1"/>
      <c r="Z203" s="1">
        <v>238</v>
      </c>
      <c r="AA203" s="1"/>
      <c r="AB203" s="1"/>
      <c r="AC203" s="1"/>
      <c r="AD203" s="1"/>
      <c r="AE203" s="1">
        <f t="shared" si="17"/>
        <v>3</v>
      </c>
      <c r="AF203" s="1">
        <f t="shared" si="15"/>
        <v>219</v>
      </c>
      <c r="AG203" s="11" t="str">
        <f t="shared" si="16"/>
        <v>APROVADO</v>
      </c>
    </row>
    <row r="204" spans="2:33" ht="25.5" hidden="1" x14ac:dyDescent="0.25">
      <c r="B204" s="5">
        <v>199</v>
      </c>
      <c r="C204" s="6" t="s">
        <v>1054</v>
      </c>
      <c r="D204" s="5" t="s">
        <v>51</v>
      </c>
      <c r="E204" s="7" t="s">
        <v>1055</v>
      </c>
      <c r="F204" s="7" t="s">
        <v>1056</v>
      </c>
      <c r="G204" s="7" t="s">
        <v>36</v>
      </c>
      <c r="H204" s="28">
        <v>70311.8</v>
      </c>
      <c r="I204" s="13" t="s">
        <v>1057</v>
      </c>
      <c r="J204" s="11" t="s">
        <v>189</v>
      </c>
      <c r="K204" s="7" t="s">
        <v>1058</v>
      </c>
      <c r="L204" s="7" t="s">
        <v>1059</v>
      </c>
      <c r="M204" s="26">
        <v>45315</v>
      </c>
      <c r="N204" s="13" t="s">
        <v>57</v>
      </c>
      <c r="O204" s="13"/>
      <c r="P204" s="20"/>
      <c r="Q204" s="1">
        <v>340</v>
      </c>
      <c r="R204" s="1"/>
      <c r="S204" s="1"/>
      <c r="T204" s="1"/>
      <c r="U204" s="1"/>
      <c r="V204" s="1">
        <v>340</v>
      </c>
      <c r="W204" s="1">
        <v>340</v>
      </c>
      <c r="X204" s="1"/>
      <c r="Y204" s="1"/>
      <c r="Z204" s="1"/>
      <c r="AA204" s="1"/>
      <c r="AB204" s="1"/>
      <c r="AC204" s="20"/>
      <c r="AD204" s="20"/>
      <c r="AE204" s="1">
        <f t="shared" si="17"/>
        <v>3</v>
      </c>
      <c r="AF204" s="1">
        <f t="shared" si="15"/>
        <v>340</v>
      </c>
      <c r="AG204" s="11" t="str">
        <f t="shared" si="16"/>
        <v>APROVADO</v>
      </c>
    </row>
    <row r="205" spans="2:33" ht="38.25" hidden="1" x14ac:dyDescent="0.25">
      <c r="B205" s="5">
        <v>200</v>
      </c>
      <c r="C205" s="27" t="s">
        <v>1060</v>
      </c>
      <c r="D205" s="5" t="s">
        <v>33</v>
      </c>
      <c r="E205" s="7" t="s">
        <v>1061</v>
      </c>
      <c r="F205" s="7" t="s">
        <v>1062</v>
      </c>
      <c r="G205" s="7" t="s">
        <v>107</v>
      </c>
      <c r="H205" s="8">
        <v>54058</v>
      </c>
      <c r="I205" s="7" t="s">
        <v>63</v>
      </c>
      <c r="J205" s="7" t="s">
        <v>64</v>
      </c>
      <c r="K205" s="7" t="s">
        <v>1063</v>
      </c>
      <c r="L205" s="9" t="s">
        <v>1064</v>
      </c>
      <c r="M205" s="10">
        <v>45320</v>
      </c>
      <c r="N205" s="7" t="s">
        <v>41</v>
      </c>
      <c r="O205" s="7"/>
      <c r="P205" s="20"/>
      <c r="Q205" s="40">
        <v>326</v>
      </c>
      <c r="R205" s="1">
        <v>173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>
        <v>338</v>
      </c>
      <c r="AD205" s="1"/>
      <c r="AE205" s="1">
        <f t="shared" si="17"/>
        <v>3</v>
      </c>
      <c r="AF205" s="1">
        <f t="shared" si="15"/>
        <v>279</v>
      </c>
      <c r="AG205" s="11" t="str">
        <f t="shared" si="16"/>
        <v>APROVADO</v>
      </c>
    </row>
    <row r="206" spans="2:33" ht="38.25" hidden="1" x14ac:dyDescent="0.25">
      <c r="B206" s="5">
        <v>201</v>
      </c>
      <c r="C206" s="24" t="s">
        <v>1065</v>
      </c>
      <c r="D206" s="5" t="s">
        <v>51</v>
      </c>
      <c r="E206" s="13" t="s">
        <v>1066</v>
      </c>
      <c r="F206" s="13" t="s">
        <v>1067</v>
      </c>
      <c r="G206" s="14" t="s">
        <v>36</v>
      </c>
      <c r="H206" s="28">
        <v>245000</v>
      </c>
      <c r="I206" s="29" t="s">
        <v>63</v>
      </c>
      <c r="J206" s="11" t="s">
        <v>64</v>
      </c>
      <c r="K206" s="13" t="s">
        <v>1068</v>
      </c>
      <c r="L206" s="30" t="s">
        <v>1069</v>
      </c>
      <c r="M206" s="26">
        <v>45320</v>
      </c>
      <c r="N206" s="13" t="s">
        <v>41</v>
      </c>
      <c r="O206" s="13"/>
      <c r="P206" s="20"/>
      <c r="Q206" s="1">
        <v>283</v>
      </c>
      <c r="R206" s="1">
        <v>228</v>
      </c>
      <c r="S206" s="1"/>
      <c r="T206" s="1"/>
      <c r="U206" s="1"/>
      <c r="V206" s="1"/>
      <c r="W206" s="1"/>
      <c r="X206" s="1"/>
      <c r="Y206" s="1"/>
      <c r="Z206" s="1">
        <v>238</v>
      </c>
      <c r="AA206" s="1"/>
      <c r="AB206" s="1"/>
      <c r="AC206" s="20"/>
      <c r="AD206" s="20"/>
      <c r="AE206" s="1">
        <f t="shared" si="17"/>
        <v>3</v>
      </c>
      <c r="AF206" s="1">
        <f t="shared" si="15"/>
        <v>249.66666666666666</v>
      </c>
      <c r="AG206" s="11" t="str">
        <f t="shared" si="16"/>
        <v>APROVADO</v>
      </c>
    </row>
    <row r="207" spans="2:33" ht="38.25" hidden="1" x14ac:dyDescent="0.25">
      <c r="B207" s="5">
        <v>202</v>
      </c>
      <c r="C207" s="27" t="s">
        <v>1070</v>
      </c>
      <c r="D207" s="5" t="s">
        <v>33</v>
      </c>
      <c r="E207" s="7" t="s">
        <v>1071</v>
      </c>
      <c r="F207" s="7" t="s">
        <v>1072</v>
      </c>
      <c r="G207" s="7" t="s">
        <v>107</v>
      </c>
      <c r="H207" s="8">
        <v>39554</v>
      </c>
      <c r="I207" s="7" t="s">
        <v>63</v>
      </c>
      <c r="J207" s="5" t="s">
        <v>64</v>
      </c>
      <c r="K207" s="7" t="s">
        <v>1073</v>
      </c>
      <c r="L207" s="9" t="s">
        <v>1074</v>
      </c>
      <c r="M207" s="10">
        <v>45320</v>
      </c>
      <c r="N207" s="7" t="s">
        <v>41</v>
      </c>
      <c r="O207" s="7"/>
      <c r="P207" s="20"/>
      <c r="Q207" s="40">
        <v>340</v>
      </c>
      <c r="R207" s="1">
        <v>243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>
        <v>340</v>
      </c>
      <c r="AD207" s="1"/>
      <c r="AE207" s="1">
        <f t="shared" si="17"/>
        <v>3</v>
      </c>
      <c r="AF207" s="1">
        <f t="shared" si="15"/>
        <v>307.66666666666669</v>
      </c>
      <c r="AG207" s="11" t="str">
        <f t="shared" si="16"/>
        <v>APROVADO</v>
      </c>
    </row>
    <row r="208" spans="2:33" ht="38.25" hidden="1" x14ac:dyDescent="0.25">
      <c r="B208" s="5">
        <v>203</v>
      </c>
      <c r="C208" s="6" t="s">
        <v>1075</v>
      </c>
      <c r="D208" s="5" t="s">
        <v>33</v>
      </c>
      <c r="E208" s="7" t="s">
        <v>1076</v>
      </c>
      <c r="F208" s="7" t="s">
        <v>1077</v>
      </c>
      <c r="G208" s="7" t="s">
        <v>36</v>
      </c>
      <c r="H208" s="8">
        <v>162300</v>
      </c>
      <c r="I208" s="7" t="s">
        <v>63</v>
      </c>
      <c r="J208" s="5" t="s">
        <v>64</v>
      </c>
      <c r="K208" s="7" t="s">
        <v>1078</v>
      </c>
      <c r="L208" s="9" t="s">
        <v>1079</v>
      </c>
      <c r="M208" s="10">
        <v>45320</v>
      </c>
      <c r="N208" s="7" t="s">
        <v>67</v>
      </c>
      <c r="O208" s="7"/>
      <c r="P208" s="20"/>
      <c r="Q208" s="40"/>
      <c r="R208" s="1">
        <v>195</v>
      </c>
      <c r="S208" s="1"/>
      <c r="T208" s="1"/>
      <c r="U208" s="1"/>
      <c r="V208" s="1"/>
      <c r="W208" s="1"/>
      <c r="X208" s="1">
        <v>290</v>
      </c>
      <c r="Y208" s="1">
        <v>315</v>
      </c>
      <c r="Z208" s="1"/>
      <c r="AA208" s="1"/>
      <c r="AB208" s="1"/>
      <c r="AC208" s="1"/>
      <c r="AD208" s="1"/>
      <c r="AE208" s="1">
        <f t="shared" si="17"/>
        <v>3</v>
      </c>
      <c r="AF208" s="1">
        <f t="shared" si="15"/>
        <v>266.66666666666669</v>
      </c>
      <c r="AG208" s="11" t="str">
        <f t="shared" si="16"/>
        <v>APROVADO</v>
      </c>
    </row>
    <row r="209" spans="2:33" ht="38.25" hidden="1" x14ac:dyDescent="0.25">
      <c r="B209" s="5">
        <v>204</v>
      </c>
      <c r="C209" s="16" t="s">
        <v>1080</v>
      </c>
      <c r="D209" s="5" t="s">
        <v>33</v>
      </c>
      <c r="E209" s="7" t="s">
        <v>1081</v>
      </c>
      <c r="F209" s="7" t="s">
        <v>1082</v>
      </c>
      <c r="G209" s="7" t="s">
        <v>36</v>
      </c>
      <c r="H209" s="8">
        <v>83615</v>
      </c>
      <c r="I209" s="7" t="s">
        <v>63</v>
      </c>
      <c r="J209" s="5" t="s">
        <v>64</v>
      </c>
      <c r="K209" s="7" t="s">
        <v>1083</v>
      </c>
      <c r="L209" s="9" t="s">
        <v>1084</v>
      </c>
      <c r="M209" s="10">
        <v>45320</v>
      </c>
      <c r="N209" s="7" t="s">
        <v>82</v>
      </c>
      <c r="O209" s="7" t="s">
        <v>845</v>
      </c>
      <c r="P209" s="20"/>
      <c r="Q209" s="40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 t="e">
        <f t="shared" si="15"/>
        <v>#DIV/0!</v>
      </c>
      <c r="AG209" s="11" t="e">
        <f t="shared" si="16"/>
        <v>#DIV/0!</v>
      </c>
    </row>
    <row r="210" spans="2:33" ht="38.25" hidden="1" x14ac:dyDescent="0.25">
      <c r="B210" s="5">
        <v>205</v>
      </c>
      <c r="C210" s="16" t="s">
        <v>1085</v>
      </c>
      <c r="D210" s="5" t="s">
        <v>33</v>
      </c>
      <c r="E210" s="7" t="s">
        <v>1081</v>
      </c>
      <c r="F210" s="7" t="s">
        <v>1086</v>
      </c>
      <c r="G210" s="7" t="s">
        <v>36</v>
      </c>
      <c r="H210" s="8">
        <v>81020</v>
      </c>
      <c r="I210" s="7" t="s">
        <v>63</v>
      </c>
      <c r="J210" s="5" t="s">
        <v>64</v>
      </c>
      <c r="K210" s="7" t="s">
        <v>1083</v>
      </c>
      <c r="L210" s="9" t="s">
        <v>1084</v>
      </c>
      <c r="M210" s="10">
        <v>45320</v>
      </c>
      <c r="N210" s="7" t="s">
        <v>82</v>
      </c>
      <c r="O210" s="7" t="s">
        <v>845</v>
      </c>
      <c r="P210" s="20"/>
      <c r="Q210" s="40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 t="e">
        <f t="shared" si="15"/>
        <v>#DIV/0!</v>
      </c>
      <c r="AG210" s="11" t="e">
        <f t="shared" si="16"/>
        <v>#DIV/0!</v>
      </c>
    </row>
    <row r="211" spans="2:33" ht="38.25" hidden="1" x14ac:dyDescent="0.25">
      <c r="B211" s="5">
        <v>206</v>
      </c>
      <c r="C211" s="16" t="s">
        <v>1087</v>
      </c>
      <c r="D211" s="5" t="s">
        <v>33</v>
      </c>
      <c r="E211" s="7" t="s">
        <v>1081</v>
      </c>
      <c r="F211" s="7" t="s">
        <v>1088</v>
      </c>
      <c r="G211" s="7" t="s">
        <v>36</v>
      </c>
      <c r="H211" s="8">
        <v>95840.6</v>
      </c>
      <c r="I211" s="7" t="s">
        <v>63</v>
      </c>
      <c r="J211" s="5" t="s">
        <v>64</v>
      </c>
      <c r="K211" s="7" t="s">
        <v>1083</v>
      </c>
      <c r="L211" s="9" t="s">
        <v>1084</v>
      </c>
      <c r="M211" s="10">
        <v>45320</v>
      </c>
      <c r="N211" s="7" t="s">
        <v>82</v>
      </c>
      <c r="O211" s="7" t="s">
        <v>845</v>
      </c>
      <c r="P211" s="20"/>
      <c r="Q211" s="40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 t="e">
        <f t="shared" si="15"/>
        <v>#DIV/0!</v>
      </c>
      <c r="AG211" s="11" t="e">
        <f t="shared" si="16"/>
        <v>#DIV/0!</v>
      </c>
    </row>
    <row r="212" spans="2:33" ht="25.5" hidden="1" x14ac:dyDescent="0.25">
      <c r="B212" s="5">
        <v>207</v>
      </c>
      <c r="C212" s="27" t="s">
        <v>1089</v>
      </c>
      <c r="D212" s="5" t="s">
        <v>33</v>
      </c>
      <c r="E212" s="5" t="s">
        <v>1090</v>
      </c>
      <c r="F212" s="5" t="s">
        <v>1091</v>
      </c>
      <c r="G212" s="7" t="s">
        <v>36</v>
      </c>
      <c r="H212" s="8">
        <v>192000</v>
      </c>
      <c r="I212" s="7" t="s">
        <v>728</v>
      </c>
      <c r="J212" s="7" t="s">
        <v>123</v>
      </c>
      <c r="K212" s="7" t="s">
        <v>1092</v>
      </c>
      <c r="L212" s="9" t="s">
        <v>1093</v>
      </c>
      <c r="M212" s="10">
        <v>45320</v>
      </c>
      <c r="N212" s="5" t="s">
        <v>41</v>
      </c>
      <c r="O212" s="7"/>
      <c r="P212" s="20"/>
      <c r="Q212" s="39">
        <v>340</v>
      </c>
      <c r="R212" s="1">
        <v>180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>
        <v>314</v>
      </c>
      <c r="AD212" s="1"/>
      <c r="AE212" s="1">
        <f t="shared" ref="AE212:AE217" si="18">COUNT(Q212:AD212)</f>
        <v>3</v>
      </c>
      <c r="AF212" s="1">
        <f t="shared" si="15"/>
        <v>278</v>
      </c>
      <c r="AG212" s="11" t="str">
        <f t="shared" si="16"/>
        <v>APROVADO</v>
      </c>
    </row>
    <row r="213" spans="2:33" ht="25.5" hidden="1" x14ac:dyDescent="0.25">
      <c r="B213" s="5">
        <v>208</v>
      </c>
      <c r="C213" s="27" t="s">
        <v>1094</v>
      </c>
      <c r="D213" s="5" t="s">
        <v>33</v>
      </c>
      <c r="E213" s="7" t="s">
        <v>1090</v>
      </c>
      <c r="F213" s="7" t="s">
        <v>1095</v>
      </c>
      <c r="G213" s="7" t="s">
        <v>72</v>
      </c>
      <c r="H213" s="8">
        <v>280900</v>
      </c>
      <c r="I213" s="7" t="s">
        <v>728</v>
      </c>
      <c r="J213" s="7" t="s">
        <v>123</v>
      </c>
      <c r="K213" s="7" t="s">
        <v>1092</v>
      </c>
      <c r="L213" s="9" t="s">
        <v>1093</v>
      </c>
      <c r="M213" s="10">
        <v>45320</v>
      </c>
      <c r="N213" s="7" t="s">
        <v>41</v>
      </c>
      <c r="O213" s="7"/>
      <c r="P213" s="20"/>
      <c r="Q213" s="40">
        <v>292</v>
      </c>
      <c r="R213" s="1">
        <v>198</v>
      </c>
      <c r="S213" s="1">
        <v>262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>
        <f t="shared" si="18"/>
        <v>3</v>
      </c>
      <c r="AF213" s="1">
        <f t="shared" si="15"/>
        <v>250.66666666666666</v>
      </c>
      <c r="AG213" s="11" t="str">
        <f t="shared" si="16"/>
        <v>APROVADO</v>
      </c>
    </row>
    <row r="214" spans="2:33" ht="25.5" hidden="1" x14ac:dyDescent="0.25">
      <c r="B214" s="5">
        <v>209</v>
      </c>
      <c r="C214" s="27" t="s">
        <v>1096</v>
      </c>
      <c r="D214" s="5" t="s">
        <v>33</v>
      </c>
      <c r="E214" s="7" t="s">
        <v>1090</v>
      </c>
      <c r="F214" s="7" t="s">
        <v>1097</v>
      </c>
      <c r="G214" s="5" t="s">
        <v>62</v>
      </c>
      <c r="H214" s="8">
        <v>698600</v>
      </c>
      <c r="I214" s="7" t="s">
        <v>728</v>
      </c>
      <c r="J214" s="7" t="s">
        <v>123</v>
      </c>
      <c r="K214" s="7" t="s">
        <v>1098</v>
      </c>
      <c r="L214" s="9" t="s">
        <v>1093</v>
      </c>
      <c r="M214" s="10">
        <v>45320</v>
      </c>
      <c r="N214" s="7" t="s">
        <v>41</v>
      </c>
      <c r="O214" s="7"/>
      <c r="P214" s="20"/>
      <c r="Q214" s="40">
        <v>333</v>
      </c>
      <c r="R214" s="1">
        <v>168</v>
      </c>
      <c r="S214" s="1"/>
      <c r="T214" s="1"/>
      <c r="U214" s="1"/>
      <c r="V214" s="1"/>
      <c r="W214" s="1"/>
      <c r="X214" s="1"/>
      <c r="Y214" s="1"/>
      <c r="Z214" s="1"/>
      <c r="AA214" s="1"/>
      <c r="AB214" s="1">
        <v>240</v>
      </c>
      <c r="AC214" s="1"/>
      <c r="AD214" s="1"/>
      <c r="AE214" s="1">
        <f t="shared" si="18"/>
        <v>3</v>
      </c>
      <c r="AF214" s="1">
        <f t="shared" si="15"/>
        <v>247</v>
      </c>
      <c r="AG214" s="11" t="str">
        <f t="shared" si="16"/>
        <v>APROVADO</v>
      </c>
    </row>
    <row r="215" spans="2:33" ht="25.5" hidden="1" x14ac:dyDescent="0.25">
      <c r="B215" s="5">
        <v>210</v>
      </c>
      <c r="C215" s="6" t="s">
        <v>1099</v>
      </c>
      <c r="D215" s="5" t="s">
        <v>33</v>
      </c>
      <c r="E215" s="7" t="s">
        <v>1100</v>
      </c>
      <c r="F215" s="7" t="s">
        <v>1101</v>
      </c>
      <c r="G215" s="7" t="s">
        <v>107</v>
      </c>
      <c r="H215" s="8">
        <v>704000</v>
      </c>
      <c r="I215" s="7" t="s">
        <v>728</v>
      </c>
      <c r="J215" s="7" t="s">
        <v>123</v>
      </c>
      <c r="K215" s="7" t="s">
        <v>1102</v>
      </c>
      <c r="L215" s="9" t="s">
        <v>1103</v>
      </c>
      <c r="M215" s="10">
        <v>45320</v>
      </c>
      <c r="N215" s="7" t="s">
        <v>67</v>
      </c>
      <c r="O215" s="7"/>
      <c r="P215" s="20"/>
      <c r="Q215" s="40"/>
      <c r="R215" s="1">
        <v>146</v>
      </c>
      <c r="S215" s="1"/>
      <c r="T215" s="1"/>
      <c r="U215" s="1"/>
      <c r="V215" s="1">
        <v>303</v>
      </c>
      <c r="W215" s="1">
        <v>303</v>
      </c>
      <c r="X215" s="1"/>
      <c r="Y215" s="1"/>
      <c r="Z215" s="1"/>
      <c r="AA215" s="1"/>
      <c r="AB215" s="1"/>
      <c r="AC215" s="1"/>
      <c r="AD215" s="1"/>
      <c r="AE215" s="1">
        <f t="shared" si="18"/>
        <v>3</v>
      </c>
      <c r="AF215" s="1">
        <f t="shared" si="15"/>
        <v>250.66666666666666</v>
      </c>
      <c r="AG215" s="11" t="str">
        <f t="shared" si="16"/>
        <v>APROVADO</v>
      </c>
    </row>
    <row r="216" spans="2:33" hidden="1" x14ac:dyDescent="0.25">
      <c r="B216" s="5">
        <v>211</v>
      </c>
      <c r="C216" s="6" t="s">
        <v>1104</v>
      </c>
      <c r="D216" s="5" t="s">
        <v>33</v>
      </c>
      <c r="E216" s="7" t="s">
        <v>1105</v>
      </c>
      <c r="F216" s="7" t="s">
        <v>1106</v>
      </c>
      <c r="G216" s="7" t="s">
        <v>36</v>
      </c>
      <c r="H216" s="17">
        <v>135744</v>
      </c>
      <c r="I216" s="7" t="s">
        <v>1107</v>
      </c>
      <c r="J216" s="5" t="s">
        <v>123</v>
      </c>
      <c r="K216" s="5" t="s">
        <v>1108</v>
      </c>
      <c r="L216" s="31" t="s">
        <v>1109</v>
      </c>
      <c r="M216" s="10">
        <v>45320</v>
      </c>
      <c r="N216" s="7" t="s">
        <v>67</v>
      </c>
      <c r="O216" s="7"/>
      <c r="P216" s="20"/>
      <c r="Q216" s="40">
        <v>330</v>
      </c>
      <c r="R216" s="1">
        <v>215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>
        <v>340</v>
      </c>
      <c r="AE216" s="1">
        <f t="shared" si="18"/>
        <v>3</v>
      </c>
      <c r="AF216" s="1">
        <f t="shared" si="15"/>
        <v>295</v>
      </c>
      <c r="AG216" s="11" t="str">
        <f t="shared" si="16"/>
        <v>APROVADO</v>
      </c>
    </row>
    <row r="217" spans="2:33" ht="25.5" hidden="1" x14ac:dyDescent="0.25">
      <c r="B217" s="5">
        <v>212</v>
      </c>
      <c r="C217" s="6" t="s">
        <v>1110</v>
      </c>
      <c r="D217" s="5" t="s">
        <v>33</v>
      </c>
      <c r="E217" s="7" t="s">
        <v>1111</v>
      </c>
      <c r="F217" s="7" t="s">
        <v>1112</v>
      </c>
      <c r="G217" s="5" t="s">
        <v>107</v>
      </c>
      <c r="H217" s="17">
        <v>150000</v>
      </c>
      <c r="I217" s="7" t="s">
        <v>1107</v>
      </c>
      <c r="J217" s="5" t="s">
        <v>123</v>
      </c>
      <c r="K217" s="5" t="s">
        <v>1113</v>
      </c>
      <c r="L217" s="31" t="s">
        <v>1114</v>
      </c>
      <c r="M217" s="10">
        <v>45320</v>
      </c>
      <c r="N217" s="7" t="s">
        <v>67</v>
      </c>
      <c r="O217" s="7"/>
      <c r="P217" s="20"/>
      <c r="Q217" s="40">
        <v>276</v>
      </c>
      <c r="R217" s="1">
        <v>200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>
        <v>272</v>
      </c>
      <c r="AE217" s="1">
        <f t="shared" si="18"/>
        <v>3</v>
      </c>
      <c r="AF217" s="1">
        <f t="shared" si="15"/>
        <v>249.33333333333334</v>
      </c>
      <c r="AG217" s="11" t="str">
        <f t="shared" si="16"/>
        <v>APROVADO</v>
      </c>
    </row>
    <row r="218" spans="2:33" ht="38.25" hidden="1" x14ac:dyDescent="0.25">
      <c r="B218" s="5">
        <v>213</v>
      </c>
      <c r="C218" s="16" t="s">
        <v>1115</v>
      </c>
      <c r="D218" s="5" t="s">
        <v>33</v>
      </c>
      <c r="E218" s="7" t="s">
        <v>1116</v>
      </c>
      <c r="F218" s="7" t="s">
        <v>1117</v>
      </c>
      <c r="G218" s="7" t="s">
        <v>36</v>
      </c>
      <c r="H218" s="8">
        <v>300000</v>
      </c>
      <c r="I218" s="7" t="s">
        <v>1118</v>
      </c>
      <c r="J218" s="7" t="s">
        <v>64</v>
      </c>
      <c r="K218" s="7" t="s">
        <v>1119</v>
      </c>
      <c r="L218" s="9" t="s">
        <v>1120</v>
      </c>
      <c r="M218" s="10">
        <v>45320</v>
      </c>
      <c r="N218" s="7" t="s">
        <v>226</v>
      </c>
      <c r="O218" s="7" t="s">
        <v>600</v>
      </c>
      <c r="P218" s="20"/>
      <c r="Q218" s="40">
        <v>0</v>
      </c>
      <c r="R218" s="1">
        <v>121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>
        <f t="shared" si="15"/>
        <v>60.5</v>
      </c>
      <c r="AG218" s="11" t="str">
        <f t="shared" si="16"/>
        <v>REPROVADO</v>
      </c>
    </row>
    <row r="219" spans="2:33" ht="25.5" hidden="1" x14ac:dyDescent="0.25">
      <c r="B219" s="5">
        <v>214</v>
      </c>
      <c r="C219" s="24" t="s">
        <v>1121</v>
      </c>
      <c r="D219" s="5" t="s">
        <v>51</v>
      </c>
      <c r="E219" s="13" t="s">
        <v>1122</v>
      </c>
      <c r="F219" s="13" t="s">
        <v>1123</v>
      </c>
      <c r="G219" s="14" t="s">
        <v>36</v>
      </c>
      <c r="H219" s="28">
        <v>63561</v>
      </c>
      <c r="I219" s="14" t="s">
        <v>1124</v>
      </c>
      <c r="J219" s="11" t="s">
        <v>189</v>
      </c>
      <c r="K219" s="13" t="s">
        <v>1125</v>
      </c>
      <c r="L219" s="30" t="s">
        <v>1126</v>
      </c>
      <c r="M219" s="26">
        <v>45320</v>
      </c>
      <c r="N219" s="13" t="s">
        <v>41</v>
      </c>
      <c r="O219" s="13"/>
      <c r="P219" s="20"/>
      <c r="Q219" s="1">
        <v>340</v>
      </c>
      <c r="R219" s="1">
        <v>220</v>
      </c>
      <c r="S219" s="1">
        <v>248</v>
      </c>
      <c r="T219" s="1"/>
      <c r="U219" s="1"/>
      <c r="V219" s="1"/>
      <c r="W219" s="1"/>
      <c r="X219" s="1"/>
      <c r="Y219" s="1"/>
      <c r="Z219" s="1"/>
      <c r="AA219" s="1"/>
      <c r="AB219" s="1"/>
      <c r="AC219" s="20"/>
      <c r="AD219" s="20"/>
      <c r="AE219" s="1">
        <f>COUNT(Q219:AD219)</f>
        <v>3</v>
      </c>
      <c r="AF219" s="1">
        <f t="shared" si="15"/>
        <v>269.33333333333331</v>
      </c>
      <c r="AG219" s="11" t="str">
        <f t="shared" si="16"/>
        <v>APROVADO</v>
      </c>
    </row>
    <row r="220" spans="2:33" ht="25.5" hidden="1" x14ac:dyDescent="0.25">
      <c r="B220" s="5">
        <v>215</v>
      </c>
      <c r="C220" s="27" t="s">
        <v>1127</v>
      </c>
      <c r="D220" s="5" t="s">
        <v>33</v>
      </c>
      <c r="E220" s="7" t="s">
        <v>1128</v>
      </c>
      <c r="F220" s="7" t="s">
        <v>1129</v>
      </c>
      <c r="G220" s="7" t="s">
        <v>36</v>
      </c>
      <c r="H220" s="8">
        <v>60367</v>
      </c>
      <c r="I220" s="7" t="s">
        <v>1130</v>
      </c>
      <c r="J220" s="7" t="s">
        <v>445</v>
      </c>
      <c r="K220" s="7" t="s">
        <v>1131</v>
      </c>
      <c r="L220" s="9" t="s">
        <v>1132</v>
      </c>
      <c r="M220" s="10">
        <v>45320</v>
      </c>
      <c r="N220" s="7" t="s">
        <v>41</v>
      </c>
      <c r="O220" s="7"/>
      <c r="P220" s="20"/>
      <c r="Q220" s="40">
        <v>340</v>
      </c>
      <c r="R220" s="1">
        <v>258</v>
      </c>
      <c r="S220" s="1">
        <v>280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>
        <f>COUNT(Q220:AD220)</f>
        <v>3</v>
      </c>
      <c r="AF220" s="1">
        <f t="shared" si="15"/>
        <v>292.66666666666669</v>
      </c>
      <c r="AG220" s="11" t="str">
        <f t="shared" si="16"/>
        <v>APROVADO</v>
      </c>
    </row>
    <row r="221" spans="2:33" hidden="1" x14ac:dyDescent="0.25">
      <c r="B221" s="5">
        <v>216</v>
      </c>
      <c r="C221" s="16" t="s">
        <v>1133</v>
      </c>
      <c r="D221" s="5" t="s">
        <v>33</v>
      </c>
      <c r="E221" s="7"/>
      <c r="F221" s="5" t="s">
        <v>1134</v>
      </c>
      <c r="G221" s="5" t="s">
        <v>36</v>
      </c>
      <c r="H221" s="17">
        <v>293916.67</v>
      </c>
      <c r="I221" s="7" t="s">
        <v>859</v>
      </c>
      <c r="J221" s="7" t="s">
        <v>181</v>
      </c>
      <c r="K221" s="7" t="s">
        <v>1135</v>
      </c>
      <c r="L221" s="9" t="s">
        <v>1136</v>
      </c>
      <c r="M221" s="10">
        <v>45320</v>
      </c>
      <c r="N221" s="13" t="s">
        <v>226</v>
      </c>
      <c r="O221" s="13" t="s">
        <v>227</v>
      </c>
      <c r="P221" s="20"/>
      <c r="Q221" s="40">
        <v>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>
        <f t="shared" si="15"/>
        <v>0</v>
      </c>
      <c r="AG221" s="11" t="str">
        <f t="shared" si="16"/>
        <v>REPROVADO</v>
      </c>
    </row>
    <row r="222" spans="2:33" ht="25.5" hidden="1" x14ac:dyDescent="0.25">
      <c r="B222" s="5">
        <v>217</v>
      </c>
      <c r="C222" s="6" t="s">
        <v>1137</v>
      </c>
      <c r="D222" s="5" t="s">
        <v>33</v>
      </c>
      <c r="E222" s="7" t="s">
        <v>1138</v>
      </c>
      <c r="F222" s="7" t="s">
        <v>1139</v>
      </c>
      <c r="G222" s="7" t="s">
        <v>36</v>
      </c>
      <c r="H222" s="8">
        <v>70000</v>
      </c>
      <c r="I222" s="7" t="s">
        <v>1140</v>
      </c>
      <c r="J222" s="7" t="s">
        <v>254</v>
      </c>
      <c r="K222" s="7" t="s">
        <v>1141</v>
      </c>
      <c r="L222" s="9" t="s">
        <v>1142</v>
      </c>
      <c r="M222" s="10">
        <v>45320</v>
      </c>
      <c r="N222" s="7" t="s">
        <v>67</v>
      </c>
      <c r="O222" s="7"/>
      <c r="P222" s="20"/>
      <c r="Q222" s="40"/>
      <c r="R222" s="1">
        <v>233</v>
      </c>
      <c r="S222" s="1"/>
      <c r="T222" s="1"/>
      <c r="U222" s="1"/>
      <c r="V222" s="1"/>
      <c r="W222" s="1"/>
      <c r="X222" s="1">
        <v>320</v>
      </c>
      <c r="Y222" s="1">
        <v>320</v>
      </c>
      <c r="Z222" s="1"/>
      <c r="AA222" s="1"/>
      <c r="AB222" s="1"/>
      <c r="AC222" s="1"/>
      <c r="AD222" s="1"/>
      <c r="AE222" s="1">
        <f>COUNT(Q222:AD222)</f>
        <v>3</v>
      </c>
      <c r="AF222" s="1">
        <f t="shared" si="15"/>
        <v>291</v>
      </c>
      <c r="AG222" s="11" t="str">
        <f t="shared" si="16"/>
        <v>APROVADO</v>
      </c>
    </row>
    <row r="223" spans="2:33" ht="25.5" hidden="1" x14ac:dyDescent="0.25">
      <c r="B223" s="5">
        <v>218</v>
      </c>
      <c r="C223" s="6" t="s">
        <v>1143</v>
      </c>
      <c r="D223" s="5" t="s">
        <v>33</v>
      </c>
      <c r="E223" s="7" t="s">
        <v>1144</v>
      </c>
      <c r="F223" s="7" t="s">
        <v>1145</v>
      </c>
      <c r="G223" s="7" t="s">
        <v>107</v>
      </c>
      <c r="H223" s="8">
        <v>214900</v>
      </c>
      <c r="I223" s="7" t="s">
        <v>1146</v>
      </c>
      <c r="J223" s="7" t="s">
        <v>123</v>
      </c>
      <c r="K223" s="7" t="s">
        <v>1147</v>
      </c>
      <c r="L223" s="9" t="s">
        <v>1148</v>
      </c>
      <c r="M223" s="10">
        <v>45320</v>
      </c>
      <c r="N223" s="7" t="s">
        <v>67</v>
      </c>
      <c r="O223" s="7"/>
      <c r="P223" s="20"/>
      <c r="Q223" s="40"/>
      <c r="R223" s="1">
        <v>133</v>
      </c>
      <c r="S223" s="1"/>
      <c r="T223" s="1"/>
      <c r="U223" s="1"/>
      <c r="V223" s="1">
        <v>288</v>
      </c>
      <c r="W223" s="1">
        <v>304</v>
      </c>
      <c r="X223" s="1"/>
      <c r="Y223" s="1"/>
      <c r="Z223" s="1"/>
      <c r="AA223" s="1"/>
      <c r="AB223" s="1"/>
      <c r="AC223" s="1"/>
      <c r="AD223" s="1"/>
      <c r="AE223" s="1">
        <f>COUNT(Q223:AD223)</f>
        <v>3</v>
      </c>
      <c r="AF223" s="1">
        <f t="shared" si="15"/>
        <v>241.66666666666666</v>
      </c>
      <c r="AG223" s="11" t="str">
        <f t="shared" si="16"/>
        <v>APROVADO</v>
      </c>
    </row>
    <row r="224" spans="2:33" ht="25.5" hidden="1" x14ac:dyDescent="0.25">
      <c r="B224" s="5">
        <v>219</v>
      </c>
      <c r="C224" s="6" t="s">
        <v>1149</v>
      </c>
      <c r="D224" s="5" t="s">
        <v>33</v>
      </c>
      <c r="E224" s="7" t="s">
        <v>1144</v>
      </c>
      <c r="F224" s="7" t="s">
        <v>1150</v>
      </c>
      <c r="G224" s="7" t="s">
        <v>36</v>
      </c>
      <c r="H224" s="8">
        <v>256800</v>
      </c>
      <c r="I224" s="7" t="s">
        <v>1146</v>
      </c>
      <c r="J224" s="7" t="s">
        <v>123</v>
      </c>
      <c r="K224" s="7" t="s">
        <v>1147</v>
      </c>
      <c r="L224" s="9" t="s">
        <v>1148</v>
      </c>
      <c r="M224" s="10">
        <v>45320</v>
      </c>
      <c r="N224" s="7" t="s">
        <v>67</v>
      </c>
      <c r="O224" s="7"/>
      <c r="P224" s="20"/>
      <c r="Q224" s="40"/>
      <c r="R224" s="1">
        <v>91</v>
      </c>
      <c r="S224" s="1"/>
      <c r="T224" s="1"/>
      <c r="U224" s="1"/>
      <c r="V224" s="1"/>
      <c r="W224" s="1"/>
      <c r="X224" s="1">
        <v>318</v>
      </c>
      <c r="Y224" s="1">
        <v>312</v>
      </c>
      <c r="Z224" s="1"/>
      <c r="AA224" s="1"/>
      <c r="AB224" s="1"/>
      <c r="AC224" s="1"/>
      <c r="AD224" s="1"/>
      <c r="AE224" s="1">
        <f>COUNT(Q224:AD224)</f>
        <v>3</v>
      </c>
      <c r="AF224" s="1">
        <f t="shared" si="15"/>
        <v>240.33333333333334</v>
      </c>
      <c r="AG224" s="11" t="str">
        <f t="shared" si="16"/>
        <v>APROVADO</v>
      </c>
    </row>
    <row r="225" spans="2:33" ht="25.5" hidden="1" x14ac:dyDescent="0.25">
      <c r="B225" s="5">
        <v>220</v>
      </c>
      <c r="C225" s="22" t="s">
        <v>1151</v>
      </c>
      <c r="D225" s="5" t="s">
        <v>51</v>
      </c>
      <c r="E225" s="9" t="s">
        <v>1152</v>
      </c>
      <c r="F225" s="11" t="s">
        <v>1153</v>
      </c>
      <c r="G225" s="11" t="s">
        <v>1154</v>
      </c>
      <c r="H225" s="41">
        <v>489440</v>
      </c>
      <c r="I225" s="9" t="s">
        <v>253</v>
      </c>
      <c r="J225" s="11" t="s">
        <v>254</v>
      </c>
      <c r="K225" s="9" t="s">
        <v>1155</v>
      </c>
      <c r="L225" s="9" t="s">
        <v>1156</v>
      </c>
      <c r="M225" s="34">
        <v>45320</v>
      </c>
      <c r="N225" s="7" t="s">
        <v>41</v>
      </c>
      <c r="O225" s="7" t="s">
        <v>845</v>
      </c>
      <c r="P225" s="20" t="s">
        <v>1157</v>
      </c>
      <c r="Q225" s="1">
        <v>318</v>
      </c>
      <c r="R225" s="1"/>
      <c r="S225" s="1">
        <v>250</v>
      </c>
      <c r="T225" s="1"/>
      <c r="U225" s="1"/>
      <c r="V225" s="1"/>
      <c r="W225" s="1"/>
      <c r="X225" s="1"/>
      <c r="Y225" s="1"/>
      <c r="Z225" s="1">
        <v>282</v>
      </c>
      <c r="AA225" s="1"/>
      <c r="AB225" s="1"/>
      <c r="AC225" s="20"/>
      <c r="AD225" s="20"/>
      <c r="AE225" s="1">
        <f>COUNT(Q225:AD225)</f>
        <v>3</v>
      </c>
      <c r="AF225" s="1">
        <f t="shared" si="15"/>
        <v>283.33333333333331</v>
      </c>
      <c r="AG225" s="11" t="str">
        <f t="shared" si="16"/>
        <v>APROVADO</v>
      </c>
    </row>
    <row r="226" spans="2:33" ht="38.25" hidden="1" x14ac:dyDescent="0.25">
      <c r="B226" s="5">
        <v>221</v>
      </c>
      <c r="C226" s="16" t="s">
        <v>1158</v>
      </c>
      <c r="D226" s="5" t="s">
        <v>33</v>
      </c>
      <c r="E226" s="7" t="s">
        <v>145</v>
      </c>
      <c r="F226" s="7" t="s">
        <v>1159</v>
      </c>
      <c r="G226" s="5" t="s">
        <v>36</v>
      </c>
      <c r="H226" s="8">
        <v>2142000</v>
      </c>
      <c r="I226" s="7" t="s">
        <v>147</v>
      </c>
      <c r="J226" s="5" t="s">
        <v>95</v>
      </c>
      <c r="K226" s="7" t="s">
        <v>1160</v>
      </c>
      <c r="L226" s="9" t="s">
        <v>149</v>
      </c>
      <c r="M226" s="10">
        <v>45320</v>
      </c>
      <c r="N226" s="7" t="s">
        <v>226</v>
      </c>
      <c r="O226" s="7" t="s">
        <v>600</v>
      </c>
      <c r="P226" s="20"/>
      <c r="Q226" s="40">
        <v>0</v>
      </c>
      <c r="R226" s="1">
        <v>34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>
        <f t="shared" si="15"/>
        <v>17</v>
      </c>
      <c r="AG226" s="11" t="str">
        <f t="shared" si="16"/>
        <v>REPROVADO</v>
      </c>
    </row>
    <row r="227" spans="2:33" ht="25.5" hidden="1" x14ac:dyDescent="0.25">
      <c r="B227" s="5">
        <v>222</v>
      </c>
      <c r="C227" s="6" t="s">
        <v>1161</v>
      </c>
      <c r="D227" s="5" t="s">
        <v>33</v>
      </c>
      <c r="E227" s="7" t="s">
        <v>1037</v>
      </c>
      <c r="F227" s="7" t="s">
        <v>1162</v>
      </c>
      <c r="G227" s="7" t="s">
        <v>107</v>
      </c>
      <c r="H227" s="8">
        <v>100000</v>
      </c>
      <c r="I227" s="7" t="s">
        <v>290</v>
      </c>
      <c r="J227" s="7" t="s">
        <v>154</v>
      </c>
      <c r="K227" s="7" t="s">
        <v>1039</v>
      </c>
      <c r="L227" s="9" t="s">
        <v>1040</v>
      </c>
      <c r="M227" s="10">
        <v>45320</v>
      </c>
      <c r="N227" s="9" t="s">
        <v>41</v>
      </c>
      <c r="O227" s="7"/>
      <c r="P227" s="20"/>
      <c r="Q227" s="40">
        <v>289</v>
      </c>
      <c r="R227" s="1"/>
      <c r="S227" s="1"/>
      <c r="T227" s="1"/>
      <c r="U227" s="1"/>
      <c r="V227" s="1"/>
      <c r="W227" s="1"/>
      <c r="X227" s="1"/>
      <c r="Y227" s="1"/>
      <c r="Z227" s="1">
        <v>323</v>
      </c>
      <c r="AA227" s="1">
        <v>216</v>
      </c>
      <c r="AB227" s="1"/>
      <c r="AC227" s="1">
        <v>162</v>
      </c>
      <c r="AD227" s="1"/>
      <c r="AE227" s="1">
        <f>COUNT(Q227:AD227)</f>
        <v>4</v>
      </c>
      <c r="AF227" s="1">
        <f t="shared" si="15"/>
        <v>247.5</v>
      </c>
      <c r="AG227" s="11" t="str">
        <f t="shared" si="16"/>
        <v>APROVADO</v>
      </c>
    </row>
    <row r="228" spans="2:33" ht="38.25" hidden="1" x14ac:dyDescent="0.25">
      <c r="B228" s="5">
        <v>223</v>
      </c>
      <c r="C228" s="16" t="s">
        <v>1163</v>
      </c>
      <c r="D228" s="5" t="s">
        <v>33</v>
      </c>
      <c r="E228" s="7" t="s">
        <v>1164</v>
      </c>
      <c r="F228" s="7" t="s">
        <v>1165</v>
      </c>
      <c r="G228" s="7" t="s">
        <v>36</v>
      </c>
      <c r="H228" s="8">
        <v>800000</v>
      </c>
      <c r="I228" s="7" t="s">
        <v>290</v>
      </c>
      <c r="J228" s="7" t="s">
        <v>154</v>
      </c>
      <c r="K228" s="7" t="s">
        <v>301</v>
      </c>
      <c r="L228" s="37" t="s">
        <v>1166</v>
      </c>
      <c r="M228" s="10">
        <v>45320</v>
      </c>
      <c r="N228" s="13" t="s">
        <v>226</v>
      </c>
      <c r="O228" s="7" t="s">
        <v>600</v>
      </c>
      <c r="P228" s="20"/>
      <c r="Q228" s="40">
        <v>0</v>
      </c>
      <c r="R228" s="1">
        <v>0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>
        <f t="shared" si="15"/>
        <v>0</v>
      </c>
      <c r="AG228" s="11" t="str">
        <f t="shared" si="16"/>
        <v>REPROVADO</v>
      </c>
    </row>
    <row r="229" spans="2:33" ht="38.25" hidden="1" x14ac:dyDescent="0.25">
      <c r="B229" s="5">
        <v>224</v>
      </c>
      <c r="C229" s="27" t="s">
        <v>1167</v>
      </c>
      <c r="D229" s="5" t="s">
        <v>33</v>
      </c>
      <c r="E229" s="7" t="s">
        <v>298</v>
      </c>
      <c r="F229" s="7" t="s">
        <v>304</v>
      </c>
      <c r="G229" s="7" t="s">
        <v>36</v>
      </c>
      <c r="H229" s="8">
        <v>500000</v>
      </c>
      <c r="I229" s="7" t="s">
        <v>290</v>
      </c>
      <c r="J229" s="7" t="s">
        <v>154</v>
      </c>
      <c r="K229" s="7" t="s">
        <v>301</v>
      </c>
      <c r="L229" s="37" t="s">
        <v>1166</v>
      </c>
      <c r="M229" s="10">
        <v>45320</v>
      </c>
      <c r="N229" s="7" t="s">
        <v>41</v>
      </c>
      <c r="O229" s="7" t="s">
        <v>305</v>
      </c>
      <c r="P229" s="20"/>
      <c r="Q229" s="40">
        <v>335</v>
      </c>
      <c r="R229" s="1">
        <v>253</v>
      </c>
      <c r="S229" s="1">
        <v>273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>
        <f>COUNT(Q229:AD229)</f>
        <v>3</v>
      </c>
      <c r="AF229" s="1">
        <f t="shared" si="15"/>
        <v>287</v>
      </c>
      <c r="AG229" s="11" t="str">
        <f t="shared" si="16"/>
        <v>APROVADO</v>
      </c>
    </row>
    <row r="230" spans="2:33" ht="38.25" hidden="1" x14ac:dyDescent="0.25">
      <c r="B230" s="5">
        <v>225</v>
      </c>
      <c r="C230" s="27" t="s">
        <v>1168</v>
      </c>
      <c r="D230" s="5" t="s">
        <v>33</v>
      </c>
      <c r="E230" s="7" t="s">
        <v>1169</v>
      </c>
      <c r="F230" s="7" t="s">
        <v>1170</v>
      </c>
      <c r="G230" s="7" t="s">
        <v>36</v>
      </c>
      <c r="H230" s="8">
        <v>371000</v>
      </c>
      <c r="I230" s="7" t="s">
        <v>1171</v>
      </c>
      <c r="J230" s="7" t="s">
        <v>95</v>
      </c>
      <c r="K230" s="7" t="s">
        <v>1172</v>
      </c>
      <c r="L230" s="9" t="s">
        <v>1173</v>
      </c>
      <c r="M230" s="10">
        <v>45320</v>
      </c>
      <c r="N230" s="7" t="s">
        <v>41</v>
      </c>
      <c r="O230" s="7"/>
      <c r="P230" s="20"/>
      <c r="Q230" s="40">
        <v>325</v>
      </c>
      <c r="R230" s="1">
        <v>230</v>
      </c>
      <c r="S230" s="1">
        <v>219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f>COUNT(Q230:AD230)</f>
        <v>3</v>
      </c>
      <c r="AF230" s="1">
        <f t="shared" si="15"/>
        <v>258</v>
      </c>
      <c r="AG230" s="11" t="str">
        <f t="shared" si="16"/>
        <v>APROVADO</v>
      </c>
    </row>
    <row r="231" spans="2:33" ht="38.25" hidden="1" x14ac:dyDescent="0.25">
      <c r="B231" s="5">
        <v>226</v>
      </c>
      <c r="C231" s="16" t="s">
        <v>1174</v>
      </c>
      <c r="D231" s="5" t="s">
        <v>33</v>
      </c>
      <c r="E231" s="7" t="s">
        <v>1169</v>
      </c>
      <c r="F231" s="7" t="s">
        <v>1175</v>
      </c>
      <c r="G231" s="7" t="s">
        <v>174</v>
      </c>
      <c r="H231" s="8">
        <v>2500000</v>
      </c>
      <c r="I231" s="7" t="s">
        <v>1171</v>
      </c>
      <c r="J231" s="7" t="s">
        <v>95</v>
      </c>
      <c r="K231" s="7" t="s">
        <v>1172</v>
      </c>
      <c r="L231" s="9" t="s">
        <v>1173</v>
      </c>
      <c r="M231" s="10">
        <v>45320</v>
      </c>
      <c r="N231" s="13" t="s">
        <v>226</v>
      </c>
      <c r="O231" s="7" t="s">
        <v>600</v>
      </c>
      <c r="P231" s="20"/>
      <c r="Q231" s="40">
        <v>0</v>
      </c>
      <c r="R231" s="1">
        <v>0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>
        <f t="shared" si="15"/>
        <v>0</v>
      </c>
      <c r="AG231" s="11" t="str">
        <f t="shared" si="16"/>
        <v>REPROVADO</v>
      </c>
    </row>
    <row r="232" spans="2:33" ht="38.25" hidden="1" x14ac:dyDescent="0.25">
      <c r="B232" s="5">
        <v>227</v>
      </c>
      <c r="C232" s="27" t="s">
        <v>1176</v>
      </c>
      <c r="D232" s="5" t="s">
        <v>33</v>
      </c>
      <c r="E232" s="7" t="s">
        <v>1169</v>
      </c>
      <c r="F232" s="7" t="s">
        <v>1177</v>
      </c>
      <c r="G232" s="7" t="s">
        <v>174</v>
      </c>
      <c r="H232" s="8">
        <v>2600000</v>
      </c>
      <c r="I232" s="7" t="s">
        <v>1171</v>
      </c>
      <c r="J232" s="7" t="s">
        <v>95</v>
      </c>
      <c r="K232" s="7" t="s">
        <v>1172</v>
      </c>
      <c r="L232" s="9" t="s">
        <v>1173</v>
      </c>
      <c r="M232" s="10">
        <v>45320</v>
      </c>
      <c r="N232" s="7" t="s">
        <v>41</v>
      </c>
      <c r="O232" s="7"/>
      <c r="P232" s="20"/>
      <c r="Q232" s="40">
        <v>318</v>
      </c>
      <c r="R232" s="1">
        <v>265</v>
      </c>
      <c r="S232" s="1">
        <v>245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>
        <f>COUNT(Q232:AD232)</f>
        <v>3</v>
      </c>
      <c r="AF232" s="1">
        <f t="shared" si="15"/>
        <v>276</v>
      </c>
      <c r="AG232" s="11" t="str">
        <f t="shared" si="16"/>
        <v>APROVADO</v>
      </c>
    </row>
    <row r="233" spans="2:33" ht="25.5" hidden="1" x14ac:dyDescent="0.25">
      <c r="B233" s="5">
        <v>228</v>
      </c>
      <c r="C233" s="6" t="s">
        <v>1178</v>
      </c>
      <c r="D233" s="5" t="s">
        <v>33</v>
      </c>
      <c r="E233" s="5" t="s">
        <v>1179</v>
      </c>
      <c r="F233" s="5" t="s">
        <v>1180</v>
      </c>
      <c r="G233" s="7" t="s">
        <v>36</v>
      </c>
      <c r="H233" s="8">
        <v>600000</v>
      </c>
      <c r="I233" s="7" t="s">
        <v>201</v>
      </c>
      <c r="J233" s="7" t="s">
        <v>202</v>
      </c>
      <c r="K233" s="7" t="s">
        <v>1181</v>
      </c>
      <c r="L233" s="9" t="s">
        <v>1182</v>
      </c>
      <c r="M233" s="10">
        <v>45320</v>
      </c>
      <c r="N233" s="5" t="s">
        <v>67</v>
      </c>
      <c r="O233" s="7"/>
      <c r="P233" s="20"/>
      <c r="Q233" s="39">
        <v>327</v>
      </c>
      <c r="R233" s="1">
        <v>150</v>
      </c>
      <c r="S233" s="1">
        <v>239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>
        <f>COUNT(Q233:AD233)</f>
        <v>3</v>
      </c>
      <c r="AF233" s="1">
        <f t="shared" si="15"/>
        <v>238.66666666666666</v>
      </c>
      <c r="AG233" s="11" t="str">
        <f t="shared" si="16"/>
        <v>APROVADO</v>
      </c>
    </row>
    <row r="234" spans="2:33" ht="25.5" hidden="1" x14ac:dyDescent="0.25">
      <c r="B234" s="5">
        <v>229</v>
      </c>
      <c r="C234" s="16" t="s">
        <v>1183</v>
      </c>
      <c r="D234" s="5" t="s">
        <v>33</v>
      </c>
      <c r="E234" s="7" t="s">
        <v>1184</v>
      </c>
      <c r="F234" s="7" t="s">
        <v>1185</v>
      </c>
      <c r="G234" s="7" t="s">
        <v>107</v>
      </c>
      <c r="H234" s="8">
        <v>35000</v>
      </c>
      <c r="I234" s="7" t="s">
        <v>1186</v>
      </c>
      <c r="J234" s="7" t="s">
        <v>445</v>
      </c>
      <c r="K234" s="7" t="s">
        <v>1187</v>
      </c>
      <c r="L234" s="9" t="s">
        <v>1188</v>
      </c>
      <c r="M234" s="10">
        <v>45320</v>
      </c>
      <c r="N234" s="7" t="s">
        <v>82</v>
      </c>
      <c r="O234" s="7" t="s">
        <v>419</v>
      </c>
      <c r="P234" s="20"/>
      <c r="Q234" s="40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 t="e">
        <f t="shared" si="15"/>
        <v>#DIV/0!</v>
      </c>
      <c r="AG234" s="11" t="e">
        <f t="shared" si="16"/>
        <v>#DIV/0!</v>
      </c>
    </row>
    <row r="235" spans="2:33" ht="25.5" hidden="1" x14ac:dyDescent="0.25">
      <c r="B235" s="5">
        <v>230</v>
      </c>
      <c r="C235" s="16" t="s">
        <v>1189</v>
      </c>
      <c r="D235" s="5" t="s">
        <v>33</v>
      </c>
      <c r="E235" s="7" t="s">
        <v>1184</v>
      </c>
      <c r="F235" s="7" t="s">
        <v>1190</v>
      </c>
      <c r="G235" s="7" t="s">
        <v>107</v>
      </c>
      <c r="H235" s="8">
        <v>110000</v>
      </c>
      <c r="I235" s="7" t="s">
        <v>1186</v>
      </c>
      <c r="J235" s="7" t="s">
        <v>445</v>
      </c>
      <c r="K235" s="7" t="s">
        <v>1187</v>
      </c>
      <c r="L235" s="9" t="s">
        <v>1188</v>
      </c>
      <c r="M235" s="10">
        <v>45320</v>
      </c>
      <c r="N235" s="7" t="s">
        <v>82</v>
      </c>
      <c r="O235" s="7" t="s">
        <v>419</v>
      </c>
      <c r="P235" s="20"/>
      <c r="Q235" s="40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 t="e">
        <f t="shared" si="15"/>
        <v>#DIV/0!</v>
      </c>
      <c r="AG235" s="11" t="e">
        <f t="shared" si="16"/>
        <v>#DIV/0!</v>
      </c>
    </row>
    <row r="236" spans="2:33" ht="25.5" hidden="1" x14ac:dyDescent="0.25">
      <c r="B236" s="5">
        <v>231</v>
      </c>
      <c r="C236" s="27" t="s">
        <v>1191</v>
      </c>
      <c r="D236" s="5" t="s">
        <v>33</v>
      </c>
      <c r="E236" s="7" t="s">
        <v>1192</v>
      </c>
      <c r="F236" s="7" t="s">
        <v>1193</v>
      </c>
      <c r="G236" s="7" t="s">
        <v>36</v>
      </c>
      <c r="H236" s="8">
        <v>77700</v>
      </c>
      <c r="I236" s="7" t="s">
        <v>1194</v>
      </c>
      <c r="J236" s="7" t="s">
        <v>1195</v>
      </c>
      <c r="K236" s="7" t="s">
        <v>1196</v>
      </c>
      <c r="L236" s="9" t="s">
        <v>1197</v>
      </c>
      <c r="M236" s="10">
        <v>45320</v>
      </c>
      <c r="N236" s="7" t="s">
        <v>41</v>
      </c>
      <c r="O236" s="7"/>
      <c r="P236" s="20"/>
      <c r="Q236" s="40">
        <v>335</v>
      </c>
      <c r="R236" s="1">
        <v>212</v>
      </c>
      <c r="S236" s="1">
        <v>281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>
        <f>COUNT(Q236:AD236)</f>
        <v>3</v>
      </c>
      <c r="AF236" s="1">
        <f t="shared" si="15"/>
        <v>276</v>
      </c>
      <c r="AG236" s="11" t="str">
        <f t="shared" si="16"/>
        <v>APROVADO</v>
      </c>
    </row>
    <row r="237" spans="2:33" hidden="1" x14ac:dyDescent="0.25">
      <c r="B237" s="5">
        <v>232</v>
      </c>
      <c r="C237" s="24" t="s">
        <v>1198</v>
      </c>
      <c r="D237" s="5" t="s">
        <v>51</v>
      </c>
      <c r="E237" s="13" t="s">
        <v>1199</v>
      </c>
      <c r="F237" s="13" t="s">
        <v>1200</v>
      </c>
      <c r="G237" s="14" t="s">
        <v>107</v>
      </c>
      <c r="H237" s="28">
        <v>348000</v>
      </c>
      <c r="I237" s="13" t="s">
        <v>1201</v>
      </c>
      <c r="J237" s="11" t="s">
        <v>115</v>
      </c>
      <c r="K237" s="13" t="s">
        <v>1202</v>
      </c>
      <c r="L237" s="13" t="s">
        <v>1203</v>
      </c>
      <c r="M237" s="26">
        <v>45320</v>
      </c>
      <c r="N237" s="13" t="s">
        <v>57</v>
      </c>
      <c r="O237" s="13"/>
      <c r="P237" s="20"/>
      <c r="Q237" s="1">
        <v>269</v>
      </c>
      <c r="R237" s="1">
        <v>153</v>
      </c>
      <c r="S237" s="1"/>
      <c r="T237" s="1"/>
      <c r="U237" s="1"/>
      <c r="V237" s="1"/>
      <c r="W237" s="1">
        <v>308</v>
      </c>
      <c r="X237" s="1"/>
      <c r="Y237" s="1"/>
      <c r="Z237" s="1"/>
      <c r="AA237" s="1"/>
      <c r="AB237" s="1"/>
      <c r="AC237" s="20"/>
      <c r="AD237" s="20"/>
      <c r="AE237" s="1">
        <f>COUNT(Q237:AD237)</f>
        <v>3</v>
      </c>
      <c r="AF237" s="1">
        <f t="shared" si="15"/>
        <v>243.33333333333334</v>
      </c>
      <c r="AG237" s="11" t="str">
        <f t="shared" si="16"/>
        <v>APROVADO</v>
      </c>
    </row>
    <row r="238" spans="2:33" ht="25.5" hidden="1" x14ac:dyDescent="0.25">
      <c r="B238" s="5">
        <v>233</v>
      </c>
      <c r="C238" s="6" t="s">
        <v>1204</v>
      </c>
      <c r="D238" s="5" t="s">
        <v>33</v>
      </c>
      <c r="E238" s="7" t="s">
        <v>1205</v>
      </c>
      <c r="F238" s="7" t="s">
        <v>1206</v>
      </c>
      <c r="G238" s="7" t="s">
        <v>107</v>
      </c>
      <c r="H238" s="8">
        <v>1146800</v>
      </c>
      <c r="I238" s="7" t="s">
        <v>73</v>
      </c>
      <c r="J238" s="5" t="s">
        <v>74</v>
      </c>
      <c r="K238" s="7" t="s">
        <v>1207</v>
      </c>
      <c r="L238" s="9" t="s">
        <v>1208</v>
      </c>
      <c r="M238" s="10">
        <v>45320</v>
      </c>
      <c r="N238" s="7" t="s">
        <v>67</v>
      </c>
      <c r="O238" s="7"/>
      <c r="P238" s="20"/>
      <c r="Q238" s="40"/>
      <c r="R238" s="1">
        <v>149</v>
      </c>
      <c r="S238" s="1"/>
      <c r="T238" s="1"/>
      <c r="U238" s="1"/>
      <c r="V238" s="1"/>
      <c r="W238" s="1"/>
      <c r="X238" s="1">
        <v>340</v>
      </c>
      <c r="Y238" s="1">
        <v>340</v>
      </c>
      <c r="Z238" s="1"/>
      <c r="AA238" s="1"/>
      <c r="AB238" s="1"/>
      <c r="AC238" s="1"/>
      <c r="AD238" s="1"/>
      <c r="AE238" s="1">
        <f>COUNT(Q238:AD238)</f>
        <v>3</v>
      </c>
      <c r="AF238" s="1">
        <f t="shared" si="15"/>
        <v>276.33333333333331</v>
      </c>
      <c r="AG238" s="11" t="str">
        <f t="shared" si="16"/>
        <v>APROVADO</v>
      </c>
    </row>
    <row r="239" spans="2:33" ht="25.5" hidden="1" x14ac:dyDescent="0.25">
      <c r="B239" s="5">
        <v>234</v>
      </c>
      <c r="C239" s="6" t="s">
        <v>1209</v>
      </c>
      <c r="D239" s="5" t="s">
        <v>33</v>
      </c>
      <c r="E239" s="7" t="s">
        <v>1205</v>
      </c>
      <c r="F239" s="7" t="s">
        <v>1210</v>
      </c>
      <c r="G239" s="7" t="s">
        <v>336</v>
      </c>
      <c r="H239" s="8">
        <v>1476814</v>
      </c>
      <c r="I239" s="7" t="s">
        <v>73</v>
      </c>
      <c r="J239" s="5" t="s">
        <v>74</v>
      </c>
      <c r="K239" s="7" t="s">
        <v>1207</v>
      </c>
      <c r="L239" s="9" t="s">
        <v>1208</v>
      </c>
      <c r="M239" s="10">
        <v>45320</v>
      </c>
      <c r="N239" s="7" t="s">
        <v>67</v>
      </c>
      <c r="O239" s="7"/>
      <c r="P239" s="20"/>
      <c r="Q239" s="40">
        <v>330</v>
      </c>
      <c r="R239" s="1">
        <v>149</v>
      </c>
      <c r="S239" s="1"/>
      <c r="T239" s="1"/>
      <c r="U239" s="1"/>
      <c r="V239" s="1">
        <v>340</v>
      </c>
      <c r="W239" s="1"/>
      <c r="X239" s="1"/>
      <c r="Y239" s="1"/>
      <c r="Z239" s="1"/>
      <c r="AA239" s="1"/>
      <c r="AB239" s="1"/>
      <c r="AC239" s="1"/>
      <c r="AD239" s="1"/>
      <c r="AE239" s="1">
        <f>COUNT(Q239:AD239)</f>
        <v>3</v>
      </c>
      <c r="AF239" s="1">
        <f t="shared" si="15"/>
        <v>273</v>
      </c>
      <c r="AG239" s="11" t="str">
        <f t="shared" si="16"/>
        <v>APROVADO</v>
      </c>
    </row>
    <row r="240" spans="2:33" hidden="1" x14ac:dyDescent="0.25">
      <c r="B240" s="5">
        <v>235</v>
      </c>
      <c r="C240" s="6" t="s">
        <v>1211</v>
      </c>
      <c r="D240" s="5" t="s">
        <v>33</v>
      </c>
      <c r="E240" s="5" t="s">
        <v>1212</v>
      </c>
      <c r="F240" s="5" t="s">
        <v>1213</v>
      </c>
      <c r="G240" s="7" t="s">
        <v>36</v>
      </c>
      <c r="H240" s="17">
        <v>115695.5</v>
      </c>
      <c r="I240" s="7" t="s">
        <v>1214</v>
      </c>
      <c r="J240" s="5" t="s">
        <v>181</v>
      </c>
      <c r="K240" s="5" t="s">
        <v>1215</v>
      </c>
      <c r="L240" s="9" t="s">
        <v>1216</v>
      </c>
      <c r="M240" s="10">
        <v>45320</v>
      </c>
      <c r="N240" s="5" t="s">
        <v>67</v>
      </c>
      <c r="O240" s="7" t="s">
        <v>68</v>
      </c>
      <c r="P240" s="20"/>
      <c r="Q240" s="39">
        <v>340</v>
      </c>
      <c r="R240" s="1">
        <v>244</v>
      </c>
      <c r="S240" s="1">
        <v>260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>
        <f>COUNT(Q240:AD240)</f>
        <v>3</v>
      </c>
      <c r="AF240" s="1">
        <f t="shared" si="15"/>
        <v>281.33333333333331</v>
      </c>
      <c r="AG240" s="11" t="str">
        <f t="shared" si="16"/>
        <v>APROVADO</v>
      </c>
    </row>
    <row r="241" spans="2:33" ht="26.25" hidden="1" x14ac:dyDescent="0.25">
      <c r="B241" s="5">
        <v>236</v>
      </c>
      <c r="C241" s="32" t="s">
        <v>1217</v>
      </c>
      <c r="D241" s="5" t="s">
        <v>51</v>
      </c>
      <c r="E241" s="13" t="s">
        <v>1218</v>
      </c>
      <c r="F241" s="14" t="s">
        <v>1219</v>
      </c>
      <c r="G241" s="14" t="s">
        <v>36</v>
      </c>
      <c r="H241" s="28">
        <v>500000</v>
      </c>
      <c r="I241" s="13" t="s">
        <v>1220</v>
      </c>
      <c r="J241" s="11" t="s">
        <v>162</v>
      </c>
      <c r="K241" s="13" t="s">
        <v>1221</v>
      </c>
      <c r="L241" s="42" t="s">
        <v>1222</v>
      </c>
      <c r="M241" s="26">
        <v>45320</v>
      </c>
      <c r="N241" s="13" t="s">
        <v>226</v>
      </c>
      <c r="O241" s="20" t="s">
        <v>227</v>
      </c>
      <c r="P241" s="20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0"/>
      <c r="AD241" s="20"/>
      <c r="AE241" s="20"/>
      <c r="AF241" s="1" t="e">
        <f t="shared" si="15"/>
        <v>#DIV/0!</v>
      </c>
      <c r="AG241" s="11" t="e">
        <f t="shared" si="16"/>
        <v>#DIV/0!</v>
      </c>
    </row>
    <row r="242" spans="2:33" hidden="1" x14ac:dyDescent="0.25">
      <c r="B242" s="5">
        <v>237</v>
      </c>
      <c r="C242" s="32" t="s">
        <v>1223</v>
      </c>
      <c r="D242" s="5" t="s">
        <v>51</v>
      </c>
      <c r="E242" s="13" t="s">
        <v>1218</v>
      </c>
      <c r="F242" s="13" t="s">
        <v>1224</v>
      </c>
      <c r="G242" s="14" t="s">
        <v>36</v>
      </c>
      <c r="H242" s="28">
        <v>900000</v>
      </c>
      <c r="I242" s="13" t="s">
        <v>1220</v>
      </c>
      <c r="J242" s="11" t="s">
        <v>162</v>
      </c>
      <c r="K242" s="13" t="s">
        <v>1221</v>
      </c>
      <c r="L242" s="30" t="s">
        <v>1222</v>
      </c>
      <c r="M242" s="26">
        <v>45320</v>
      </c>
      <c r="N242" s="13" t="s">
        <v>226</v>
      </c>
      <c r="O242" s="20" t="s">
        <v>600</v>
      </c>
      <c r="P242" s="20"/>
      <c r="Q242" s="1">
        <v>0</v>
      </c>
      <c r="R242" s="1">
        <v>40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0"/>
      <c r="AD242" s="20"/>
      <c r="AE242" s="20"/>
      <c r="AF242" s="1">
        <f t="shared" si="15"/>
        <v>20</v>
      </c>
      <c r="AG242" s="11" t="str">
        <f t="shared" si="16"/>
        <v>REPROVADO</v>
      </c>
    </row>
    <row r="243" spans="2:33" hidden="1" x14ac:dyDescent="0.25">
      <c r="B243" s="5">
        <v>238</v>
      </c>
      <c r="C243" s="6" t="s">
        <v>1225</v>
      </c>
      <c r="D243" s="5" t="s">
        <v>33</v>
      </c>
      <c r="E243" s="5" t="s">
        <v>1226</v>
      </c>
      <c r="F243" s="5" t="s">
        <v>1227</v>
      </c>
      <c r="G243" s="7" t="s">
        <v>45</v>
      </c>
      <c r="H243" s="8">
        <v>300000</v>
      </c>
      <c r="I243" s="7" t="s">
        <v>1220</v>
      </c>
      <c r="J243" s="9" t="s">
        <v>162</v>
      </c>
      <c r="K243" s="7" t="s">
        <v>1228</v>
      </c>
      <c r="L243" s="31" t="s">
        <v>1229</v>
      </c>
      <c r="M243" s="10">
        <v>45320</v>
      </c>
      <c r="N243" s="5" t="s">
        <v>67</v>
      </c>
      <c r="O243" s="7" t="s">
        <v>1230</v>
      </c>
      <c r="P243" s="20"/>
      <c r="Q243" s="39">
        <v>214</v>
      </c>
      <c r="R243" s="1">
        <v>173</v>
      </c>
      <c r="S243" s="1">
        <v>208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>
        <f t="shared" si="15"/>
        <v>198.33333333333334</v>
      </c>
      <c r="AG243" s="11" t="str">
        <f t="shared" si="16"/>
        <v>REPROVADO</v>
      </c>
    </row>
    <row r="244" spans="2:33" ht="26.25" hidden="1" x14ac:dyDescent="0.25">
      <c r="B244" s="5">
        <v>239</v>
      </c>
      <c r="C244" s="24" t="s">
        <v>1231</v>
      </c>
      <c r="D244" s="5" t="s">
        <v>51</v>
      </c>
      <c r="E244" s="14" t="s">
        <v>1232</v>
      </c>
      <c r="F244" s="14" t="s">
        <v>1233</v>
      </c>
      <c r="G244" s="14" t="s">
        <v>36</v>
      </c>
      <c r="H244" s="28">
        <v>183800</v>
      </c>
      <c r="I244" s="14" t="s">
        <v>503</v>
      </c>
      <c r="J244" s="11" t="s">
        <v>154</v>
      </c>
      <c r="K244" s="13" t="s">
        <v>1234</v>
      </c>
      <c r="L244" s="30" t="s">
        <v>1235</v>
      </c>
      <c r="M244" s="26">
        <v>45320</v>
      </c>
      <c r="N244" s="13" t="s">
        <v>41</v>
      </c>
      <c r="O244" s="14" t="s">
        <v>1236</v>
      </c>
      <c r="P244" s="20"/>
      <c r="Q244" s="1">
        <v>297</v>
      </c>
      <c r="R244" s="1">
        <v>124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0">
        <v>290</v>
      </c>
      <c r="AD244" s="20"/>
      <c r="AE244" s="1">
        <f t="shared" ref="AE244:AE251" si="19">COUNT(Q244:AD244)</f>
        <v>3</v>
      </c>
      <c r="AF244" s="1">
        <f t="shared" si="15"/>
        <v>237</v>
      </c>
      <c r="AG244" s="11" t="str">
        <f t="shared" si="16"/>
        <v>APROVADO</v>
      </c>
    </row>
    <row r="245" spans="2:33" ht="26.25" hidden="1" x14ac:dyDescent="0.25">
      <c r="B245" s="5">
        <v>240</v>
      </c>
      <c r="C245" s="24" t="s">
        <v>1231</v>
      </c>
      <c r="D245" s="5" t="s">
        <v>51</v>
      </c>
      <c r="E245" s="14" t="s">
        <v>1232</v>
      </c>
      <c r="F245" s="14" t="s">
        <v>1237</v>
      </c>
      <c r="G245" s="14" t="s">
        <v>36</v>
      </c>
      <c r="H245" s="28">
        <v>469800</v>
      </c>
      <c r="I245" s="14" t="s">
        <v>503</v>
      </c>
      <c r="J245" s="11" t="s">
        <v>154</v>
      </c>
      <c r="K245" s="13" t="s">
        <v>1234</v>
      </c>
      <c r="L245" s="30" t="s">
        <v>1235</v>
      </c>
      <c r="M245" s="26">
        <v>45320</v>
      </c>
      <c r="N245" s="13" t="s">
        <v>41</v>
      </c>
      <c r="O245" s="14" t="s">
        <v>1236</v>
      </c>
      <c r="P245" s="20"/>
      <c r="Q245" s="1">
        <v>305</v>
      </c>
      <c r="R245" s="1">
        <v>130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0">
        <v>224</v>
      </c>
      <c r="AD245" s="20"/>
      <c r="AE245" s="1">
        <f t="shared" si="19"/>
        <v>3</v>
      </c>
      <c r="AF245" s="1">
        <f t="shared" si="15"/>
        <v>219.66666666666666</v>
      </c>
      <c r="AG245" s="11" t="str">
        <f t="shared" si="16"/>
        <v>APROVADO</v>
      </c>
    </row>
    <row r="246" spans="2:33" ht="63.75" hidden="1" x14ac:dyDescent="0.25">
      <c r="B246" s="5">
        <v>241</v>
      </c>
      <c r="C246" s="27" t="s">
        <v>1238</v>
      </c>
      <c r="D246" s="5" t="s">
        <v>33</v>
      </c>
      <c r="E246" s="7" t="s">
        <v>1239</v>
      </c>
      <c r="F246" s="7" t="s">
        <v>1240</v>
      </c>
      <c r="G246" s="7" t="s">
        <v>36</v>
      </c>
      <c r="H246" s="8">
        <v>99856.65</v>
      </c>
      <c r="I246" s="7" t="s">
        <v>1241</v>
      </c>
      <c r="J246" s="7" t="s">
        <v>154</v>
      </c>
      <c r="K246" s="7" t="s">
        <v>1242</v>
      </c>
      <c r="L246" s="9" t="s">
        <v>1243</v>
      </c>
      <c r="M246" s="10">
        <v>45320</v>
      </c>
      <c r="N246" s="7" t="s">
        <v>41</v>
      </c>
      <c r="O246" s="7"/>
      <c r="P246" s="20"/>
      <c r="Q246" s="40">
        <v>335</v>
      </c>
      <c r="R246" s="1">
        <v>220</v>
      </c>
      <c r="S246" s="1"/>
      <c r="T246" s="1"/>
      <c r="U246" s="1"/>
      <c r="V246" s="1"/>
      <c r="W246" s="1"/>
      <c r="X246" s="1"/>
      <c r="Y246" s="1"/>
      <c r="Z246" s="1"/>
      <c r="AA246" s="1"/>
      <c r="AB246" s="1">
        <v>272</v>
      </c>
      <c r="AC246" s="1"/>
      <c r="AD246" s="1"/>
      <c r="AE246" s="1">
        <f t="shared" si="19"/>
        <v>3</v>
      </c>
      <c r="AF246" s="1">
        <f t="shared" si="15"/>
        <v>275.66666666666669</v>
      </c>
      <c r="AG246" s="11" t="str">
        <f t="shared" si="16"/>
        <v>APROVADO</v>
      </c>
    </row>
    <row r="247" spans="2:33" ht="26.25" hidden="1" x14ac:dyDescent="0.25">
      <c r="B247" s="5">
        <v>242</v>
      </c>
      <c r="C247" s="24" t="s">
        <v>1244</v>
      </c>
      <c r="D247" s="5" t="s">
        <v>51</v>
      </c>
      <c r="E247" s="13" t="s">
        <v>1245</v>
      </c>
      <c r="F247" s="14" t="s">
        <v>1246</v>
      </c>
      <c r="G247" s="14" t="s">
        <v>36</v>
      </c>
      <c r="H247" s="28">
        <v>500000</v>
      </c>
      <c r="I247" s="13" t="s">
        <v>1247</v>
      </c>
      <c r="J247" s="11" t="s">
        <v>154</v>
      </c>
      <c r="K247" s="13" t="s">
        <v>1248</v>
      </c>
      <c r="L247" s="30" t="s">
        <v>1249</v>
      </c>
      <c r="M247" s="26">
        <v>45320</v>
      </c>
      <c r="N247" s="13" t="s">
        <v>57</v>
      </c>
      <c r="O247" s="13"/>
      <c r="P247" s="20"/>
      <c r="Q247" s="1">
        <v>268</v>
      </c>
      <c r="R247" s="1"/>
      <c r="S247" s="1"/>
      <c r="T247" s="1"/>
      <c r="U247" s="1"/>
      <c r="V247" s="1">
        <v>278</v>
      </c>
      <c r="W247" s="1">
        <v>224</v>
      </c>
      <c r="X247" s="1"/>
      <c r="Y247" s="1"/>
      <c r="Z247" s="1"/>
      <c r="AA247" s="1"/>
      <c r="AB247" s="1"/>
      <c r="AC247" s="20"/>
      <c r="AD247" s="20"/>
      <c r="AE247" s="1">
        <f t="shared" si="19"/>
        <v>3</v>
      </c>
      <c r="AF247" s="1">
        <f t="shared" si="15"/>
        <v>256.66666666666669</v>
      </c>
      <c r="AG247" s="11" t="str">
        <f t="shared" si="16"/>
        <v>APROVADO</v>
      </c>
    </row>
    <row r="248" spans="2:33" ht="39" hidden="1" x14ac:dyDescent="0.25">
      <c r="B248" s="5">
        <v>243</v>
      </c>
      <c r="C248" s="24" t="s">
        <v>1250</v>
      </c>
      <c r="D248" s="5" t="s">
        <v>51</v>
      </c>
      <c r="E248" s="13" t="s">
        <v>1251</v>
      </c>
      <c r="F248" s="14" t="s">
        <v>1252</v>
      </c>
      <c r="G248" s="7" t="s">
        <v>45</v>
      </c>
      <c r="H248" s="28">
        <v>100000</v>
      </c>
      <c r="I248" s="13" t="s">
        <v>1253</v>
      </c>
      <c r="J248" s="11" t="s">
        <v>154</v>
      </c>
      <c r="K248" s="13" t="s">
        <v>1254</v>
      </c>
      <c r="L248" s="42" t="s">
        <v>1255</v>
      </c>
      <c r="M248" s="26">
        <v>45320</v>
      </c>
      <c r="N248" s="13" t="s">
        <v>57</v>
      </c>
      <c r="O248" s="14" t="s">
        <v>89</v>
      </c>
      <c r="P248" s="20"/>
      <c r="Q248" s="1">
        <v>337</v>
      </c>
      <c r="R248" s="1"/>
      <c r="S248" s="1"/>
      <c r="T248" s="1"/>
      <c r="U248" s="1"/>
      <c r="V248" s="1">
        <v>340</v>
      </c>
      <c r="W248" s="1">
        <v>340</v>
      </c>
      <c r="X248" s="1"/>
      <c r="Y248" s="1"/>
      <c r="Z248" s="1"/>
      <c r="AA248" s="1"/>
      <c r="AB248" s="1"/>
      <c r="AC248" s="20"/>
      <c r="AD248" s="20"/>
      <c r="AE248" s="1">
        <f t="shared" si="19"/>
        <v>3</v>
      </c>
      <c r="AF248" s="1">
        <f t="shared" si="15"/>
        <v>339</v>
      </c>
      <c r="AG248" s="11" t="str">
        <f t="shared" si="16"/>
        <v>APROVADO</v>
      </c>
    </row>
    <row r="249" spans="2:33" ht="26.25" hidden="1" x14ac:dyDescent="0.25">
      <c r="B249" s="5">
        <v>244</v>
      </c>
      <c r="C249" s="24" t="s">
        <v>1256</v>
      </c>
      <c r="D249" s="5" t="s">
        <v>51</v>
      </c>
      <c r="E249" s="13" t="s">
        <v>1257</v>
      </c>
      <c r="F249" s="13" t="s">
        <v>1258</v>
      </c>
      <c r="G249" s="14" t="s">
        <v>36</v>
      </c>
      <c r="H249" s="28">
        <v>73240</v>
      </c>
      <c r="I249" s="13" t="s">
        <v>153</v>
      </c>
      <c r="J249" s="11" t="s">
        <v>154</v>
      </c>
      <c r="K249" s="14" t="s">
        <v>1259</v>
      </c>
      <c r="L249" s="43" t="s">
        <v>1260</v>
      </c>
      <c r="M249" s="26">
        <v>45320</v>
      </c>
      <c r="N249" s="13" t="s">
        <v>41</v>
      </c>
      <c r="O249" s="13"/>
      <c r="P249" s="20"/>
      <c r="Q249" s="1">
        <v>340</v>
      </c>
      <c r="R249" s="1">
        <v>212</v>
      </c>
      <c r="S249" s="1">
        <v>262</v>
      </c>
      <c r="T249" s="1"/>
      <c r="U249" s="1"/>
      <c r="V249" s="1"/>
      <c r="W249" s="1"/>
      <c r="X249" s="1"/>
      <c r="Y249" s="1"/>
      <c r="Z249" s="1"/>
      <c r="AA249" s="1"/>
      <c r="AB249" s="1"/>
      <c r="AC249" s="20"/>
      <c r="AD249" s="20"/>
      <c r="AE249" s="1">
        <f t="shared" si="19"/>
        <v>3</v>
      </c>
      <c r="AF249" s="1">
        <f t="shared" si="15"/>
        <v>271.33333333333331</v>
      </c>
      <c r="AG249" s="11" t="str">
        <f t="shared" si="16"/>
        <v>APROVADO</v>
      </c>
    </row>
    <row r="250" spans="2:33" ht="26.25" hidden="1" x14ac:dyDescent="0.25">
      <c r="B250" s="5">
        <v>245</v>
      </c>
      <c r="C250" s="22" t="s">
        <v>1261</v>
      </c>
      <c r="D250" s="5" t="s">
        <v>51</v>
      </c>
      <c r="E250" s="13" t="s">
        <v>1262</v>
      </c>
      <c r="F250" s="14" t="s">
        <v>1263</v>
      </c>
      <c r="G250" s="14" t="s">
        <v>107</v>
      </c>
      <c r="H250" s="28">
        <v>32693.32</v>
      </c>
      <c r="I250" s="13" t="s">
        <v>1264</v>
      </c>
      <c r="J250" s="11" t="s">
        <v>154</v>
      </c>
      <c r="K250" s="13" t="s">
        <v>1265</v>
      </c>
      <c r="L250" s="30" t="s">
        <v>1203</v>
      </c>
      <c r="M250" s="26">
        <v>45320</v>
      </c>
      <c r="N250" s="13" t="s">
        <v>41</v>
      </c>
      <c r="O250" s="13"/>
      <c r="P250" s="20"/>
      <c r="Q250" s="1">
        <v>313</v>
      </c>
      <c r="R250" s="1">
        <v>224</v>
      </c>
      <c r="S250" s="1">
        <v>252</v>
      </c>
      <c r="T250" s="1"/>
      <c r="U250" s="1"/>
      <c r="V250" s="1"/>
      <c r="W250" s="1"/>
      <c r="X250" s="1"/>
      <c r="Y250" s="1"/>
      <c r="Z250" s="1"/>
      <c r="AA250" s="1"/>
      <c r="AB250" s="1"/>
      <c r="AC250" s="20"/>
      <c r="AD250" s="20"/>
      <c r="AE250" s="1">
        <f t="shared" si="19"/>
        <v>3</v>
      </c>
      <c r="AF250" s="1">
        <f t="shared" si="15"/>
        <v>263</v>
      </c>
      <c r="AG250" s="11" t="str">
        <f t="shared" si="16"/>
        <v>APROVADO</v>
      </c>
    </row>
    <row r="251" spans="2:33" hidden="1" x14ac:dyDescent="0.25">
      <c r="B251" s="5">
        <v>246</v>
      </c>
      <c r="C251" s="24" t="s">
        <v>1266</v>
      </c>
      <c r="D251" s="5" t="s">
        <v>51</v>
      </c>
      <c r="E251" s="13" t="s">
        <v>1267</v>
      </c>
      <c r="F251" s="13" t="s">
        <v>1268</v>
      </c>
      <c r="G251" s="14" t="s">
        <v>107</v>
      </c>
      <c r="H251" s="28">
        <v>572800</v>
      </c>
      <c r="I251" s="13" t="s">
        <v>1269</v>
      </c>
      <c r="J251" s="11" t="s">
        <v>154</v>
      </c>
      <c r="K251" s="14" t="s">
        <v>1270</v>
      </c>
      <c r="L251" s="43" t="s">
        <v>1271</v>
      </c>
      <c r="M251" s="26">
        <v>45320</v>
      </c>
      <c r="N251" s="13" t="s">
        <v>41</v>
      </c>
      <c r="O251" s="13"/>
      <c r="P251" s="20"/>
      <c r="Q251" s="1">
        <v>309</v>
      </c>
      <c r="R251" s="1">
        <v>164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>
        <v>340</v>
      </c>
      <c r="AD251" s="20"/>
      <c r="AE251" s="1">
        <f t="shared" si="19"/>
        <v>3</v>
      </c>
      <c r="AF251" s="1">
        <f t="shared" si="15"/>
        <v>271</v>
      </c>
      <c r="AG251" s="11" t="str">
        <f t="shared" si="16"/>
        <v>APROVADO</v>
      </c>
    </row>
    <row r="252" spans="2:33" ht="26.25" hidden="1" x14ac:dyDescent="0.25">
      <c r="B252" s="5">
        <v>247</v>
      </c>
      <c r="C252" s="32" t="s">
        <v>1272</v>
      </c>
      <c r="D252" s="5" t="s">
        <v>51</v>
      </c>
      <c r="E252" s="13" t="s">
        <v>1273</v>
      </c>
      <c r="F252" s="13" t="s">
        <v>1274</v>
      </c>
      <c r="G252" s="7" t="s">
        <v>45</v>
      </c>
      <c r="H252" s="28">
        <v>400000</v>
      </c>
      <c r="I252" s="13" t="s">
        <v>1275</v>
      </c>
      <c r="J252" s="11" t="s">
        <v>154</v>
      </c>
      <c r="K252" s="14" t="s">
        <v>1276</v>
      </c>
      <c r="L252" s="14" t="s">
        <v>1277</v>
      </c>
      <c r="M252" s="26">
        <v>45320</v>
      </c>
      <c r="N252" s="13" t="s">
        <v>226</v>
      </c>
      <c r="O252" s="20" t="s">
        <v>1278</v>
      </c>
      <c r="P252" s="20"/>
      <c r="Q252" s="1">
        <v>0</v>
      </c>
      <c r="R252" s="1">
        <v>130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0"/>
      <c r="AD252" s="20"/>
      <c r="AE252" s="20"/>
      <c r="AF252" s="1">
        <f t="shared" si="15"/>
        <v>65</v>
      </c>
      <c r="AG252" s="11" t="str">
        <f t="shared" si="16"/>
        <v>REPROVADO</v>
      </c>
    </row>
    <row r="253" spans="2:33" hidden="1" x14ac:dyDescent="0.25">
      <c r="B253" s="5">
        <v>248</v>
      </c>
      <c r="C253" s="24" t="s">
        <v>1279</v>
      </c>
      <c r="D253" s="5" t="s">
        <v>51</v>
      </c>
      <c r="E253" s="13" t="s">
        <v>1280</v>
      </c>
      <c r="F253" s="13" t="s">
        <v>1281</v>
      </c>
      <c r="G253" s="14" t="s">
        <v>107</v>
      </c>
      <c r="H253" s="28">
        <v>200000</v>
      </c>
      <c r="I253" s="13" t="s">
        <v>1282</v>
      </c>
      <c r="J253" s="11" t="s">
        <v>154</v>
      </c>
      <c r="K253" s="13" t="s">
        <v>1283</v>
      </c>
      <c r="L253" s="30" t="s">
        <v>1284</v>
      </c>
      <c r="M253" s="26">
        <v>45320</v>
      </c>
      <c r="N253" s="13" t="s">
        <v>57</v>
      </c>
      <c r="O253" s="13"/>
      <c r="P253" s="20"/>
      <c r="Q253" s="1">
        <v>241</v>
      </c>
      <c r="R253" s="1">
        <v>106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>
        <v>247</v>
      </c>
      <c r="AD253" s="20"/>
      <c r="AE253" s="20"/>
      <c r="AF253" s="1">
        <f>AVERAGE(Q253:AD253)</f>
        <v>198</v>
      </c>
      <c r="AG253" s="11" t="str">
        <f t="shared" si="16"/>
        <v>REPROVADO</v>
      </c>
    </row>
    <row r="254" spans="2:33" hidden="1" x14ac:dyDescent="0.25">
      <c r="B254" s="5">
        <v>249</v>
      </c>
      <c r="C254" s="24" t="s">
        <v>1285</v>
      </c>
      <c r="D254" s="5" t="s">
        <v>51</v>
      </c>
      <c r="E254" s="13" t="s">
        <v>1286</v>
      </c>
      <c r="F254" s="13" t="s">
        <v>1287</v>
      </c>
      <c r="G254" s="14" t="s">
        <v>107</v>
      </c>
      <c r="H254" s="28">
        <v>163000</v>
      </c>
      <c r="I254" s="13" t="s">
        <v>1288</v>
      </c>
      <c r="J254" s="11" t="s">
        <v>154</v>
      </c>
      <c r="K254" s="13" t="s">
        <v>1289</v>
      </c>
      <c r="L254" s="30" t="s">
        <v>1290</v>
      </c>
      <c r="M254" s="26">
        <v>45320</v>
      </c>
      <c r="N254" s="13" t="s">
        <v>57</v>
      </c>
      <c r="O254" s="13"/>
      <c r="P254" s="20"/>
      <c r="Q254" s="1">
        <v>292</v>
      </c>
      <c r="R254" s="1">
        <v>132</v>
      </c>
      <c r="S254" s="1"/>
      <c r="T254" s="1"/>
      <c r="U254" s="1"/>
      <c r="V254" s="1"/>
      <c r="W254" s="1"/>
      <c r="X254" s="1"/>
      <c r="Y254" s="1">
        <v>299</v>
      </c>
      <c r="Z254" s="1"/>
      <c r="AA254" s="1"/>
      <c r="AB254" s="1"/>
      <c r="AC254" s="20"/>
      <c r="AD254" s="20"/>
      <c r="AE254" s="1">
        <f>COUNT(Q254:AD254)</f>
        <v>3</v>
      </c>
      <c r="AF254" s="1">
        <f t="shared" si="15"/>
        <v>241</v>
      </c>
      <c r="AG254" s="11" t="str">
        <f t="shared" si="16"/>
        <v>APROVADO</v>
      </c>
    </row>
    <row r="255" spans="2:33" hidden="1" x14ac:dyDescent="0.25">
      <c r="B255" s="5">
        <v>250</v>
      </c>
      <c r="C255" s="24" t="s">
        <v>1291</v>
      </c>
      <c r="D255" s="5" t="s">
        <v>51</v>
      </c>
      <c r="E255" s="13" t="s">
        <v>1292</v>
      </c>
      <c r="F255" s="13" t="s">
        <v>1293</v>
      </c>
      <c r="G255" s="14" t="s">
        <v>36</v>
      </c>
      <c r="H255" s="28">
        <v>499505</v>
      </c>
      <c r="I255" s="13" t="s">
        <v>1294</v>
      </c>
      <c r="J255" s="11" t="s">
        <v>154</v>
      </c>
      <c r="K255" s="13" t="s">
        <v>1295</v>
      </c>
      <c r="L255" s="30" t="s">
        <v>1296</v>
      </c>
      <c r="M255" s="26">
        <v>45320</v>
      </c>
      <c r="N255" s="13" t="s">
        <v>41</v>
      </c>
      <c r="O255" s="13"/>
      <c r="P255" s="20"/>
      <c r="Q255" s="1">
        <v>313</v>
      </c>
      <c r="R255" s="1">
        <v>241</v>
      </c>
      <c r="S255" s="1">
        <v>254</v>
      </c>
      <c r="T255" s="1"/>
      <c r="U255" s="1"/>
      <c r="V255" s="1"/>
      <c r="W255" s="1"/>
      <c r="X255" s="1"/>
      <c r="Y255" s="1"/>
      <c r="Z255" s="1"/>
      <c r="AA255" s="1"/>
      <c r="AB255" s="1"/>
      <c r="AC255" s="20"/>
      <c r="AD255" s="20"/>
      <c r="AE255" s="1">
        <f>COUNT(Q255:AD255)</f>
        <v>3</v>
      </c>
      <c r="AF255" s="1">
        <f t="shared" si="15"/>
        <v>269.33333333333331</v>
      </c>
      <c r="AG255" s="11" t="str">
        <f t="shared" si="16"/>
        <v>APROVADO</v>
      </c>
    </row>
    <row r="256" spans="2:33" hidden="1" x14ac:dyDescent="0.25">
      <c r="B256" s="5">
        <v>251</v>
      </c>
      <c r="C256" s="24" t="s">
        <v>1297</v>
      </c>
      <c r="D256" s="5" t="s">
        <v>51</v>
      </c>
      <c r="E256" s="13" t="s">
        <v>1298</v>
      </c>
      <c r="F256" s="13" t="s">
        <v>1299</v>
      </c>
      <c r="G256" s="7" t="s">
        <v>107</v>
      </c>
      <c r="H256" s="28">
        <v>30000</v>
      </c>
      <c r="I256" s="13" t="s">
        <v>1300</v>
      </c>
      <c r="J256" s="11" t="s">
        <v>154</v>
      </c>
      <c r="K256" s="13" t="s">
        <v>1301</v>
      </c>
      <c r="L256" s="30" t="s">
        <v>1302</v>
      </c>
      <c r="M256" s="26">
        <v>45320</v>
      </c>
      <c r="N256" s="13" t="s">
        <v>41</v>
      </c>
      <c r="O256" s="13"/>
      <c r="P256" s="20"/>
      <c r="Q256" s="1">
        <v>315</v>
      </c>
      <c r="R256" s="1">
        <v>189</v>
      </c>
      <c r="S256" s="1">
        <v>238</v>
      </c>
      <c r="T256" s="1"/>
      <c r="U256" s="1"/>
      <c r="V256" s="1"/>
      <c r="W256" s="1"/>
      <c r="X256" s="1"/>
      <c r="Y256" s="1"/>
      <c r="Z256" s="1"/>
      <c r="AA256" s="1"/>
      <c r="AB256" s="1"/>
      <c r="AC256" s="20"/>
      <c r="AD256" s="20"/>
      <c r="AE256" s="1">
        <f>COUNT(Q256:AD256)</f>
        <v>3</v>
      </c>
      <c r="AF256" s="1">
        <f t="shared" si="15"/>
        <v>247.33333333333334</v>
      </c>
      <c r="AG256" s="11" t="str">
        <f t="shared" si="16"/>
        <v>APROVADO</v>
      </c>
    </row>
    <row r="257" spans="2:33" ht="25.5" hidden="1" x14ac:dyDescent="0.25">
      <c r="B257" s="5">
        <v>252</v>
      </c>
      <c r="C257" s="32" t="s">
        <v>1303</v>
      </c>
      <c r="D257" s="5" t="s">
        <v>51</v>
      </c>
      <c r="E257" s="13" t="s">
        <v>1304</v>
      </c>
      <c r="F257" s="13" t="s">
        <v>1305</v>
      </c>
      <c r="G257" s="14" t="s">
        <v>36</v>
      </c>
      <c r="H257" s="28">
        <v>500000</v>
      </c>
      <c r="I257" s="13" t="s">
        <v>1306</v>
      </c>
      <c r="J257" s="11" t="s">
        <v>597</v>
      </c>
      <c r="K257" s="13" t="s">
        <v>1307</v>
      </c>
      <c r="L257" s="30" t="s">
        <v>1308</v>
      </c>
      <c r="M257" s="26">
        <v>45320</v>
      </c>
      <c r="N257" s="13" t="s">
        <v>226</v>
      </c>
      <c r="O257" s="13" t="s">
        <v>227</v>
      </c>
      <c r="P257" s="20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0"/>
      <c r="AD257" s="20"/>
      <c r="AE257" s="20"/>
      <c r="AF257" s="1" t="e">
        <f t="shared" si="15"/>
        <v>#DIV/0!</v>
      </c>
      <c r="AG257" s="11" t="e">
        <f t="shared" si="16"/>
        <v>#DIV/0!</v>
      </c>
    </row>
    <row r="258" spans="2:33" ht="26.25" hidden="1" x14ac:dyDescent="0.25">
      <c r="B258" s="5">
        <v>253</v>
      </c>
      <c r="C258" s="32" t="s">
        <v>1309</v>
      </c>
      <c r="D258" s="5" t="s">
        <v>51</v>
      </c>
      <c r="E258" s="13" t="s">
        <v>1310</v>
      </c>
      <c r="F258" s="13" t="s">
        <v>1311</v>
      </c>
      <c r="G258" s="14" t="s">
        <v>62</v>
      </c>
      <c r="H258" s="28">
        <v>1050000</v>
      </c>
      <c r="I258" s="13" t="s">
        <v>1312</v>
      </c>
      <c r="J258" s="11" t="s">
        <v>181</v>
      </c>
      <c r="K258" s="14" t="s">
        <v>1313</v>
      </c>
      <c r="L258" s="30" t="s">
        <v>1314</v>
      </c>
      <c r="M258" s="26">
        <v>45320</v>
      </c>
      <c r="N258" s="13" t="s">
        <v>226</v>
      </c>
      <c r="O258" s="13" t="s">
        <v>1315</v>
      </c>
      <c r="P258" s="20"/>
      <c r="Q258" s="1">
        <v>302</v>
      </c>
      <c r="R258" s="1"/>
      <c r="S258" s="1"/>
      <c r="T258" s="1"/>
      <c r="U258" s="1"/>
      <c r="V258" s="1">
        <v>0</v>
      </c>
      <c r="W258" s="1"/>
      <c r="X258" s="1"/>
      <c r="Y258" s="1"/>
      <c r="Z258" s="1"/>
      <c r="AA258" s="1"/>
      <c r="AB258" s="1"/>
      <c r="AC258" s="20"/>
      <c r="AD258" s="20"/>
      <c r="AE258" s="20"/>
      <c r="AF258" s="1">
        <f t="shared" si="15"/>
        <v>151</v>
      </c>
      <c r="AG258" s="11" t="str">
        <f t="shared" si="16"/>
        <v>REPROVADO</v>
      </c>
    </row>
    <row r="259" spans="2:33" ht="26.25" hidden="1" x14ac:dyDescent="0.25">
      <c r="B259" s="5">
        <v>254</v>
      </c>
      <c r="C259" s="24" t="s">
        <v>1316</v>
      </c>
      <c r="D259" s="5" t="s">
        <v>51</v>
      </c>
      <c r="E259" s="13" t="s">
        <v>1317</v>
      </c>
      <c r="F259" s="13" t="s">
        <v>1318</v>
      </c>
      <c r="G259" s="14" t="s">
        <v>36</v>
      </c>
      <c r="H259" s="28">
        <v>66115.899999999994</v>
      </c>
      <c r="I259" s="13" t="s">
        <v>1319</v>
      </c>
      <c r="J259" s="11" t="s">
        <v>189</v>
      </c>
      <c r="K259" s="14" t="s">
        <v>1320</v>
      </c>
      <c r="L259" s="43" t="s">
        <v>1321</v>
      </c>
      <c r="M259" s="26">
        <v>45320</v>
      </c>
      <c r="N259" s="13" t="s">
        <v>41</v>
      </c>
      <c r="O259" s="13"/>
      <c r="P259" s="20"/>
      <c r="Q259" s="1">
        <v>340</v>
      </c>
      <c r="R259" s="1">
        <v>194</v>
      </c>
      <c r="S259" s="1">
        <v>246</v>
      </c>
      <c r="T259" s="1"/>
      <c r="U259" s="1"/>
      <c r="V259" s="1"/>
      <c r="W259" s="1"/>
      <c r="X259" s="1"/>
      <c r="Y259" s="1"/>
      <c r="Z259" s="1"/>
      <c r="AA259" s="1"/>
      <c r="AB259" s="1"/>
      <c r="AC259" s="20"/>
      <c r="AD259" s="20"/>
      <c r="AE259" s="1">
        <f>COUNT(Q259:AD259)</f>
        <v>3</v>
      </c>
      <c r="AF259" s="1">
        <f t="shared" si="15"/>
        <v>260</v>
      </c>
      <c r="AG259" s="11" t="str">
        <f t="shared" si="16"/>
        <v>APROVADO</v>
      </c>
    </row>
    <row r="260" spans="2:33" ht="25.5" hidden="1" x14ac:dyDescent="0.25">
      <c r="B260" s="5">
        <v>255</v>
      </c>
      <c r="C260" s="32" t="s">
        <v>1322</v>
      </c>
      <c r="D260" s="5" t="s">
        <v>51</v>
      </c>
      <c r="E260" s="13" t="s">
        <v>1304</v>
      </c>
      <c r="F260" s="13" t="s">
        <v>820</v>
      </c>
      <c r="G260" s="14" t="s">
        <v>36</v>
      </c>
      <c r="H260" s="28">
        <v>1350000</v>
      </c>
      <c r="I260" s="13" t="s">
        <v>1306</v>
      </c>
      <c r="J260" s="11" t="s">
        <v>597</v>
      </c>
      <c r="K260" s="13" t="s">
        <v>1307</v>
      </c>
      <c r="L260" s="30" t="s">
        <v>1302</v>
      </c>
      <c r="M260" s="26">
        <v>45320</v>
      </c>
      <c r="N260" s="13" t="s">
        <v>226</v>
      </c>
      <c r="O260" s="13" t="s">
        <v>600</v>
      </c>
      <c r="P260" s="20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0"/>
      <c r="AD260" s="20"/>
      <c r="AE260" s="20"/>
      <c r="AF260" s="1" t="e">
        <f t="shared" si="15"/>
        <v>#DIV/0!</v>
      </c>
      <c r="AG260" s="11" t="e">
        <f t="shared" si="16"/>
        <v>#DIV/0!</v>
      </c>
    </row>
    <row r="261" spans="2:33" ht="25.5" hidden="1" x14ac:dyDescent="0.25">
      <c r="B261" s="5">
        <v>256</v>
      </c>
      <c r="C261" s="6" t="s">
        <v>1323</v>
      </c>
      <c r="D261" s="5" t="s">
        <v>33</v>
      </c>
      <c r="E261" s="5" t="s">
        <v>1324</v>
      </c>
      <c r="F261" s="5" t="s">
        <v>1325</v>
      </c>
      <c r="G261" s="5" t="s">
        <v>62</v>
      </c>
      <c r="H261" s="8">
        <v>583526.5</v>
      </c>
      <c r="I261" s="7" t="s">
        <v>859</v>
      </c>
      <c r="J261" s="7" t="s">
        <v>181</v>
      </c>
      <c r="K261" s="7" t="s">
        <v>1326</v>
      </c>
      <c r="L261" s="9" t="s">
        <v>1327</v>
      </c>
      <c r="M261" s="10">
        <v>45320</v>
      </c>
      <c r="N261" s="5" t="s">
        <v>67</v>
      </c>
      <c r="O261" s="7"/>
      <c r="P261" s="20"/>
      <c r="Q261" s="39">
        <v>305</v>
      </c>
      <c r="R261" s="1">
        <v>89</v>
      </c>
      <c r="S261" s="1">
        <v>222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>
        <f>COUNT(Q261:AD261)</f>
        <v>3</v>
      </c>
      <c r="AF261" s="1">
        <f t="shared" ref="AF261:AF324" si="20">AVERAGE(Q261:AD261)</f>
        <v>205.33333333333334</v>
      </c>
      <c r="AG261" s="11" t="str">
        <f t="shared" ref="AG261:AG324" si="21">IF(AF261&gt;=$AG$1,"APROVADO","REPROVADO")</f>
        <v>APROVADO</v>
      </c>
    </row>
    <row r="262" spans="2:33" ht="38.25" hidden="1" x14ac:dyDescent="0.25">
      <c r="B262" s="5">
        <v>257</v>
      </c>
      <c r="C262" s="6" t="s">
        <v>1328</v>
      </c>
      <c r="D262" s="5" t="s">
        <v>33</v>
      </c>
      <c r="E262" s="5" t="s">
        <v>1329</v>
      </c>
      <c r="F262" s="5" t="s">
        <v>1330</v>
      </c>
      <c r="G262" s="7" t="s">
        <v>36</v>
      </c>
      <c r="H262" s="8">
        <v>799023.7</v>
      </c>
      <c r="I262" s="7" t="s">
        <v>859</v>
      </c>
      <c r="J262" s="7" t="s">
        <v>181</v>
      </c>
      <c r="K262" s="7" t="s">
        <v>1331</v>
      </c>
      <c r="L262" s="9" t="s">
        <v>1332</v>
      </c>
      <c r="M262" s="10">
        <v>45320</v>
      </c>
      <c r="N262" s="5" t="s">
        <v>67</v>
      </c>
      <c r="O262" s="7"/>
      <c r="P262" s="20"/>
      <c r="Q262" s="39">
        <v>340</v>
      </c>
      <c r="R262" s="1">
        <v>157</v>
      </c>
      <c r="S262" s="1">
        <v>266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f>COUNT(Q262:AD262)</f>
        <v>3</v>
      </c>
      <c r="AF262" s="1">
        <f t="shared" si="20"/>
        <v>254.33333333333334</v>
      </c>
      <c r="AG262" s="11" t="str">
        <f t="shared" si="21"/>
        <v>APROVADO</v>
      </c>
    </row>
    <row r="263" spans="2:33" ht="26.25" hidden="1" x14ac:dyDescent="0.25">
      <c r="B263" s="5">
        <v>258</v>
      </c>
      <c r="C263" s="24" t="s">
        <v>1333</v>
      </c>
      <c r="D263" s="5" t="s">
        <v>51</v>
      </c>
      <c r="E263" s="13" t="s">
        <v>1334</v>
      </c>
      <c r="F263" s="13" t="s">
        <v>1335</v>
      </c>
      <c r="G263" s="14" t="s">
        <v>36</v>
      </c>
      <c r="H263" s="28">
        <v>131738.06</v>
      </c>
      <c r="I263" s="13" t="s">
        <v>1336</v>
      </c>
      <c r="J263" s="11" t="s">
        <v>123</v>
      </c>
      <c r="K263" s="14" t="s">
        <v>1337</v>
      </c>
      <c r="L263" s="14" t="s">
        <v>1338</v>
      </c>
      <c r="M263" s="26">
        <v>45320</v>
      </c>
      <c r="N263" s="13" t="s">
        <v>57</v>
      </c>
      <c r="O263" s="14"/>
      <c r="P263" s="20"/>
      <c r="Q263" s="1">
        <v>291</v>
      </c>
      <c r="R263" s="1"/>
      <c r="S263" s="1"/>
      <c r="T263" s="1"/>
      <c r="U263" s="1"/>
      <c r="V263" s="1">
        <v>283</v>
      </c>
      <c r="W263" s="1">
        <v>270</v>
      </c>
      <c r="X263" s="1"/>
      <c r="Y263" s="1"/>
      <c r="Z263" s="1"/>
      <c r="AA263" s="1"/>
      <c r="AB263" s="1"/>
      <c r="AC263" s="20"/>
      <c r="AD263" s="20"/>
      <c r="AE263" s="1">
        <f>COUNT(Q263:AD263)</f>
        <v>3</v>
      </c>
      <c r="AF263" s="1">
        <f t="shared" si="20"/>
        <v>281.33333333333331</v>
      </c>
      <c r="AG263" s="11" t="str">
        <f t="shared" si="21"/>
        <v>APROVADO</v>
      </c>
    </row>
    <row r="264" spans="2:33" ht="38.25" hidden="1" x14ac:dyDescent="0.25">
      <c r="B264" s="5">
        <v>259</v>
      </c>
      <c r="C264" s="16" t="s">
        <v>1339</v>
      </c>
      <c r="D264" s="5" t="s">
        <v>33</v>
      </c>
      <c r="E264" s="7" t="s">
        <v>1340</v>
      </c>
      <c r="F264" s="7" t="s">
        <v>1341</v>
      </c>
      <c r="G264" s="7" t="s">
        <v>36</v>
      </c>
      <c r="H264" s="8">
        <v>382200</v>
      </c>
      <c r="I264" s="7" t="s">
        <v>1342</v>
      </c>
      <c r="J264" s="7" t="s">
        <v>95</v>
      </c>
      <c r="K264" s="7" t="s">
        <v>1343</v>
      </c>
      <c r="L264" s="9" t="s">
        <v>1344</v>
      </c>
      <c r="M264" s="10">
        <v>45320</v>
      </c>
      <c r="N264" s="13" t="s">
        <v>226</v>
      </c>
      <c r="O264" s="7" t="s">
        <v>227</v>
      </c>
      <c r="P264" s="20"/>
      <c r="Q264" s="40">
        <v>0</v>
      </c>
      <c r="R264" s="1">
        <v>0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>
        <f t="shared" si="20"/>
        <v>0</v>
      </c>
      <c r="AG264" s="11" t="str">
        <f t="shared" si="21"/>
        <v>REPROVADO</v>
      </c>
    </row>
    <row r="265" spans="2:33" ht="38.25" hidden="1" x14ac:dyDescent="0.25">
      <c r="B265" s="5">
        <v>260</v>
      </c>
      <c r="C265" s="27" t="s">
        <v>1345</v>
      </c>
      <c r="D265" s="5" t="s">
        <v>33</v>
      </c>
      <c r="E265" s="7" t="s">
        <v>1346</v>
      </c>
      <c r="F265" s="7" t="s">
        <v>1347</v>
      </c>
      <c r="G265" s="7" t="s">
        <v>36</v>
      </c>
      <c r="H265" s="8">
        <v>200000</v>
      </c>
      <c r="I265" s="7" t="s">
        <v>1342</v>
      </c>
      <c r="J265" s="7" t="s">
        <v>95</v>
      </c>
      <c r="K265" s="7" t="s">
        <v>1348</v>
      </c>
      <c r="L265" s="7" t="s">
        <v>1349</v>
      </c>
      <c r="M265" s="10">
        <v>45320</v>
      </c>
      <c r="N265" s="7" t="s">
        <v>41</v>
      </c>
      <c r="O265" s="7" t="s">
        <v>1350</v>
      </c>
      <c r="P265" s="20"/>
      <c r="Q265" s="40">
        <v>326</v>
      </c>
      <c r="R265" s="1">
        <v>115</v>
      </c>
      <c r="S265" s="1"/>
      <c r="T265" s="1"/>
      <c r="U265" s="1"/>
      <c r="V265" s="1"/>
      <c r="W265" s="1"/>
      <c r="X265" s="1"/>
      <c r="Y265" s="1"/>
      <c r="Z265" s="1"/>
      <c r="AA265" s="1"/>
      <c r="AB265" s="1">
        <v>201</v>
      </c>
      <c r="AC265" s="1"/>
      <c r="AD265" s="1"/>
      <c r="AE265" s="1">
        <f>COUNT(Q265:AD265)</f>
        <v>3</v>
      </c>
      <c r="AF265" s="1">
        <f t="shared" si="20"/>
        <v>214</v>
      </c>
      <c r="AG265" s="11" t="str">
        <f t="shared" si="21"/>
        <v>APROVADO</v>
      </c>
    </row>
    <row r="266" spans="2:33" ht="38.25" hidden="1" x14ac:dyDescent="0.25">
      <c r="B266" s="5">
        <v>261</v>
      </c>
      <c r="C266" s="6" t="s">
        <v>1351</v>
      </c>
      <c r="D266" s="5" t="s">
        <v>33</v>
      </c>
      <c r="E266" s="5" t="s">
        <v>1352</v>
      </c>
      <c r="F266" s="5" t="s">
        <v>1353</v>
      </c>
      <c r="G266" s="7" t="s">
        <v>36</v>
      </c>
      <c r="H266" s="8">
        <v>253000</v>
      </c>
      <c r="I266" s="7" t="s">
        <v>1354</v>
      </c>
      <c r="J266" s="7" t="s">
        <v>95</v>
      </c>
      <c r="K266" s="7" t="s">
        <v>1355</v>
      </c>
      <c r="L266" s="9" t="s">
        <v>1356</v>
      </c>
      <c r="M266" s="10">
        <v>45320</v>
      </c>
      <c r="N266" s="5" t="s">
        <v>67</v>
      </c>
      <c r="O266" s="7" t="s">
        <v>1357</v>
      </c>
      <c r="P266" s="20"/>
      <c r="Q266" s="39">
        <v>291</v>
      </c>
      <c r="R266" s="1">
        <v>281</v>
      </c>
      <c r="S266" s="1">
        <v>263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>
        <f>COUNT(Q266:AD266)</f>
        <v>3</v>
      </c>
      <c r="AF266" s="1">
        <f t="shared" si="20"/>
        <v>278.33333333333331</v>
      </c>
      <c r="AG266" s="11" t="str">
        <f t="shared" si="21"/>
        <v>APROVADO</v>
      </c>
    </row>
    <row r="267" spans="2:33" ht="25.5" hidden="1" x14ac:dyDescent="0.25">
      <c r="B267" s="5">
        <v>262</v>
      </c>
      <c r="C267" s="16" t="s">
        <v>1358</v>
      </c>
      <c r="D267" s="5" t="s">
        <v>33</v>
      </c>
      <c r="E267" s="7" t="s">
        <v>1359</v>
      </c>
      <c r="F267" s="7" t="s">
        <v>1360</v>
      </c>
      <c r="G267" s="7" t="s">
        <v>107</v>
      </c>
      <c r="H267" s="8">
        <v>2073425.66</v>
      </c>
      <c r="I267" s="7" t="s">
        <v>1361</v>
      </c>
      <c r="J267" s="7" t="s">
        <v>795</v>
      </c>
      <c r="K267" s="7" t="s">
        <v>1362</v>
      </c>
      <c r="L267" s="9" t="s">
        <v>1363</v>
      </c>
      <c r="M267" s="10">
        <v>45320</v>
      </c>
      <c r="N267" s="7" t="s">
        <v>82</v>
      </c>
      <c r="O267" s="7" t="s">
        <v>845</v>
      </c>
      <c r="P267" s="20"/>
      <c r="Q267" s="40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 t="e">
        <f t="shared" si="20"/>
        <v>#DIV/0!</v>
      </c>
      <c r="AG267" s="11" t="e">
        <f t="shared" si="21"/>
        <v>#DIV/0!</v>
      </c>
    </row>
    <row r="268" spans="2:33" ht="25.5" hidden="1" x14ac:dyDescent="0.25">
      <c r="B268" s="5">
        <v>263</v>
      </c>
      <c r="C268" s="6" t="s">
        <v>1364</v>
      </c>
      <c r="D268" s="5" t="s">
        <v>33</v>
      </c>
      <c r="E268" s="7" t="s">
        <v>1365</v>
      </c>
      <c r="F268" s="7" t="s">
        <v>1366</v>
      </c>
      <c r="G268" s="7" t="s">
        <v>36</v>
      </c>
      <c r="H268" s="8">
        <v>236959.83</v>
      </c>
      <c r="I268" s="7" t="s">
        <v>1367</v>
      </c>
      <c r="J268" s="7" t="s">
        <v>453</v>
      </c>
      <c r="K268" s="7" t="s">
        <v>1368</v>
      </c>
      <c r="L268" s="9" t="s">
        <v>1369</v>
      </c>
      <c r="M268" s="10">
        <v>45320</v>
      </c>
      <c r="N268" s="7" t="s">
        <v>67</v>
      </c>
      <c r="O268" s="7"/>
      <c r="P268" s="20"/>
      <c r="Q268" s="40">
        <v>340</v>
      </c>
      <c r="R268" s="1"/>
      <c r="S268" s="1"/>
      <c r="T268" s="1"/>
      <c r="U268" s="1"/>
      <c r="V268" s="1">
        <v>340</v>
      </c>
      <c r="W268" s="1">
        <v>340</v>
      </c>
      <c r="X268" s="1"/>
      <c r="Y268" s="1"/>
      <c r="Z268" s="1"/>
      <c r="AA268" s="1"/>
      <c r="AB268" s="1"/>
      <c r="AC268" s="1"/>
      <c r="AD268" s="1"/>
      <c r="AE268" s="1">
        <f t="shared" ref="AE268:AE273" si="22">COUNT(Q268:AD268)</f>
        <v>3</v>
      </c>
      <c r="AF268" s="1">
        <f t="shared" si="20"/>
        <v>340</v>
      </c>
      <c r="AG268" s="11" t="str">
        <f t="shared" si="21"/>
        <v>APROVADO</v>
      </c>
    </row>
    <row r="269" spans="2:33" ht="25.5" hidden="1" x14ac:dyDescent="0.25">
      <c r="B269" s="5">
        <v>264</v>
      </c>
      <c r="C269" s="27" t="s">
        <v>1370</v>
      </c>
      <c r="D269" s="5" t="s">
        <v>33</v>
      </c>
      <c r="E269" s="7" t="s">
        <v>1365</v>
      </c>
      <c r="F269" s="7" t="s">
        <v>1371</v>
      </c>
      <c r="G269" s="7" t="s">
        <v>36</v>
      </c>
      <c r="H269" s="8">
        <v>288982.78999999998</v>
      </c>
      <c r="I269" s="7" t="s">
        <v>1367</v>
      </c>
      <c r="J269" s="7" t="s">
        <v>453</v>
      </c>
      <c r="K269" s="7" t="s">
        <v>1368</v>
      </c>
      <c r="L269" s="9" t="s">
        <v>1369</v>
      </c>
      <c r="M269" s="10">
        <v>45320</v>
      </c>
      <c r="N269" s="7" t="s">
        <v>41</v>
      </c>
      <c r="O269" s="7"/>
      <c r="P269" s="20"/>
      <c r="Q269" s="40">
        <v>312</v>
      </c>
      <c r="R269" s="1">
        <v>76</v>
      </c>
      <c r="S269" s="1"/>
      <c r="T269" s="1"/>
      <c r="U269" s="1"/>
      <c r="V269" s="1"/>
      <c r="W269" s="1"/>
      <c r="X269" s="1"/>
      <c r="Y269" s="1"/>
      <c r="Z269" s="1"/>
      <c r="AA269" s="1"/>
      <c r="AB269" s="1">
        <v>328</v>
      </c>
      <c r="AC269" s="1">
        <v>324</v>
      </c>
      <c r="AD269" s="1"/>
      <c r="AE269" s="1">
        <f t="shared" si="22"/>
        <v>4</v>
      </c>
      <c r="AF269" s="1">
        <f t="shared" si="20"/>
        <v>260</v>
      </c>
      <c r="AG269" s="11" t="str">
        <f t="shared" si="21"/>
        <v>APROVADO</v>
      </c>
    </row>
    <row r="270" spans="2:33" ht="25.5" hidden="1" x14ac:dyDescent="0.25">
      <c r="B270" s="5">
        <v>265</v>
      </c>
      <c r="C270" s="6" t="s">
        <v>1372</v>
      </c>
      <c r="D270" s="5" t="s">
        <v>33</v>
      </c>
      <c r="E270" s="7" t="s">
        <v>1365</v>
      </c>
      <c r="F270" s="7" t="s">
        <v>1373</v>
      </c>
      <c r="G270" s="7" t="s">
        <v>36</v>
      </c>
      <c r="H270" s="8">
        <v>253465</v>
      </c>
      <c r="I270" s="7" t="s">
        <v>1367</v>
      </c>
      <c r="J270" s="7" t="s">
        <v>453</v>
      </c>
      <c r="K270" s="7" t="s">
        <v>1368</v>
      </c>
      <c r="L270" s="9" t="s">
        <v>1369</v>
      </c>
      <c r="M270" s="10">
        <v>45320</v>
      </c>
      <c r="N270" s="7" t="s">
        <v>67</v>
      </c>
      <c r="O270" s="7"/>
      <c r="P270" s="20"/>
      <c r="Q270" s="40">
        <v>340</v>
      </c>
      <c r="R270" s="1"/>
      <c r="S270" s="1"/>
      <c r="T270" s="1"/>
      <c r="U270" s="1"/>
      <c r="V270" s="1">
        <v>340</v>
      </c>
      <c r="W270" s="1">
        <v>340</v>
      </c>
      <c r="X270" s="1"/>
      <c r="Y270" s="1"/>
      <c r="Z270" s="1"/>
      <c r="AA270" s="1"/>
      <c r="AB270" s="1"/>
      <c r="AC270" s="1"/>
      <c r="AD270" s="1"/>
      <c r="AE270" s="1">
        <f t="shared" si="22"/>
        <v>3</v>
      </c>
      <c r="AF270" s="1">
        <f t="shared" si="20"/>
        <v>340</v>
      </c>
      <c r="AG270" s="11" t="str">
        <f t="shared" si="21"/>
        <v>APROVADO</v>
      </c>
    </row>
    <row r="271" spans="2:33" ht="25.5" hidden="1" x14ac:dyDescent="0.25">
      <c r="B271" s="5">
        <v>266</v>
      </c>
      <c r="C271" s="6" t="s">
        <v>1374</v>
      </c>
      <c r="D271" s="5" t="s">
        <v>33</v>
      </c>
      <c r="E271" s="7" t="s">
        <v>1375</v>
      </c>
      <c r="F271" s="7" t="s">
        <v>1376</v>
      </c>
      <c r="G271" s="7" t="s">
        <v>36</v>
      </c>
      <c r="H271" s="8">
        <v>295091.13</v>
      </c>
      <c r="I271" s="7" t="s">
        <v>1367</v>
      </c>
      <c r="J271" s="7" t="s">
        <v>453</v>
      </c>
      <c r="K271" s="7" t="s">
        <v>1377</v>
      </c>
      <c r="L271" s="9" t="s">
        <v>1378</v>
      </c>
      <c r="M271" s="10">
        <v>45320</v>
      </c>
      <c r="N271" s="7" t="s">
        <v>67</v>
      </c>
      <c r="O271" s="7"/>
      <c r="P271" s="20"/>
      <c r="Q271" s="40">
        <v>229</v>
      </c>
      <c r="R271" s="1"/>
      <c r="S271" s="1"/>
      <c r="T271" s="1"/>
      <c r="U271" s="1"/>
      <c r="V271" s="1"/>
      <c r="W271" s="1"/>
      <c r="X271" s="1">
        <v>340</v>
      </c>
      <c r="Y271" s="1">
        <v>340</v>
      </c>
      <c r="Z271" s="1"/>
      <c r="AA271" s="1"/>
      <c r="AB271" s="1"/>
      <c r="AC271" s="1"/>
      <c r="AD271" s="1"/>
      <c r="AE271" s="1">
        <f t="shared" si="22"/>
        <v>3</v>
      </c>
      <c r="AF271" s="1">
        <f t="shared" si="20"/>
        <v>303</v>
      </c>
      <c r="AG271" s="11" t="str">
        <f t="shared" si="21"/>
        <v>APROVADO</v>
      </c>
    </row>
    <row r="272" spans="2:33" ht="25.5" hidden="1" x14ac:dyDescent="0.25">
      <c r="B272" s="5">
        <v>267</v>
      </c>
      <c r="C272" s="6" t="s">
        <v>1379</v>
      </c>
      <c r="D272" s="5" t="s">
        <v>33</v>
      </c>
      <c r="E272" s="5" t="s">
        <v>1375</v>
      </c>
      <c r="F272" s="5" t="s">
        <v>1380</v>
      </c>
      <c r="G272" s="7" t="s">
        <v>36</v>
      </c>
      <c r="H272" s="8">
        <v>212826.99</v>
      </c>
      <c r="I272" s="7" t="s">
        <v>1367</v>
      </c>
      <c r="J272" s="7" t="s">
        <v>453</v>
      </c>
      <c r="K272" s="7" t="s">
        <v>1377</v>
      </c>
      <c r="L272" s="9" t="s">
        <v>1378</v>
      </c>
      <c r="M272" s="10">
        <v>45320</v>
      </c>
      <c r="N272" s="5" t="s">
        <v>67</v>
      </c>
      <c r="O272" s="7" t="s">
        <v>1357</v>
      </c>
      <c r="P272" s="20"/>
      <c r="Q272" s="39">
        <v>315</v>
      </c>
      <c r="R272" s="1">
        <v>124</v>
      </c>
      <c r="S272" s="1">
        <v>254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f t="shared" si="22"/>
        <v>3</v>
      </c>
      <c r="AF272" s="1">
        <f t="shared" si="20"/>
        <v>231</v>
      </c>
      <c r="AG272" s="11" t="str">
        <f t="shared" si="21"/>
        <v>APROVADO</v>
      </c>
    </row>
    <row r="273" spans="2:33" ht="25.5" hidden="1" x14ac:dyDescent="0.25">
      <c r="B273" s="5">
        <v>268</v>
      </c>
      <c r="C273" s="6" t="s">
        <v>1381</v>
      </c>
      <c r="D273" s="5" t="s">
        <v>33</v>
      </c>
      <c r="E273" s="7" t="s">
        <v>1382</v>
      </c>
      <c r="F273" s="7" t="s">
        <v>1383</v>
      </c>
      <c r="G273" s="7" t="s">
        <v>36</v>
      </c>
      <c r="H273" s="8">
        <v>100000</v>
      </c>
      <c r="I273" s="7" t="s">
        <v>1384</v>
      </c>
      <c r="J273" s="7" t="s">
        <v>223</v>
      </c>
      <c r="K273" s="7" t="s">
        <v>1385</v>
      </c>
      <c r="L273" s="9" t="s">
        <v>1386</v>
      </c>
      <c r="M273" s="10">
        <v>45320</v>
      </c>
      <c r="N273" s="7" t="s">
        <v>67</v>
      </c>
      <c r="O273" s="7"/>
      <c r="P273" s="20"/>
      <c r="Q273" s="40">
        <v>293</v>
      </c>
      <c r="R273" s="1"/>
      <c r="S273" s="1"/>
      <c r="T273" s="1"/>
      <c r="U273" s="1"/>
      <c r="V273" s="1"/>
      <c r="W273" s="1">
        <v>328</v>
      </c>
      <c r="X273" s="1"/>
      <c r="Y273" s="1">
        <v>340</v>
      </c>
      <c r="Z273" s="1"/>
      <c r="AA273" s="1"/>
      <c r="AB273" s="1"/>
      <c r="AC273" s="1"/>
      <c r="AD273" s="1"/>
      <c r="AE273" s="1">
        <f t="shared" si="22"/>
        <v>3</v>
      </c>
      <c r="AF273" s="1">
        <f t="shared" si="20"/>
        <v>320.33333333333331</v>
      </c>
      <c r="AG273" s="11" t="str">
        <f t="shared" si="21"/>
        <v>APROVADO</v>
      </c>
    </row>
    <row r="274" spans="2:33" ht="26.25" hidden="1" x14ac:dyDescent="0.25">
      <c r="B274" s="5">
        <v>269</v>
      </c>
      <c r="C274" s="32" t="s">
        <v>1387</v>
      </c>
      <c r="D274" s="5" t="s">
        <v>51</v>
      </c>
      <c r="E274" s="13" t="s">
        <v>1388</v>
      </c>
      <c r="F274" s="14" t="s">
        <v>1389</v>
      </c>
      <c r="G274" s="7" t="s">
        <v>45</v>
      </c>
      <c r="H274" s="28">
        <v>275712</v>
      </c>
      <c r="I274" s="13" t="s">
        <v>1367</v>
      </c>
      <c r="J274" s="11" t="s">
        <v>453</v>
      </c>
      <c r="K274" s="14" t="s">
        <v>1390</v>
      </c>
      <c r="L274" s="14" t="s">
        <v>1391</v>
      </c>
      <c r="M274" s="26">
        <v>45320</v>
      </c>
      <c r="N274" s="7" t="s">
        <v>82</v>
      </c>
      <c r="O274" s="7" t="s">
        <v>845</v>
      </c>
      <c r="P274" s="20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0"/>
      <c r="AD274" s="20"/>
      <c r="AE274" s="20"/>
      <c r="AF274" s="1" t="e">
        <f t="shared" si="20"/>
        <v>#DIV/0!</v>
      </c>
      <c r="AG274" s="11" t="e">
        <f t="shared" si="21"/>
        <v>#DIV/0!</v>
      </c>
    </row>
    <row r="275" spans="2:33" ht="63.75" hidden="1" x14ac:dyDescent="0.25">
      <c r="B275" s="5">
        <v>270</v>
      </c>
      <c r="C275" s="27" t="s">
        <v>1392</v>
      </c>
      <c r="D275" s="5" t="s">
        <v>33</v>
      </c>
      <c r="E275" s="7" t="s">
        <v>1393</v>
      </c>
      <c r="F275" s="7" t="s">
        <v>1394</v>
      </c>
      <c r="G275" s="5" t="s">
        <v>62</v>
      </c>
      <c r="H275" s="8">
        <v>445266.8</v>
      </c>
      <c r="I275" s="7" t="s">
        <v>63</v>
      </c>
      <c r="J275" s="5" t="s">
        <v>64</v>
      </c>
      <c r="K275" s="7" t="s">
        <v>1395</v>
      </c>
      <c r="L275" s="9" t="s">
        <v>1396</v>
      </c>
      <c r="M275" s="10">
        <v>45320</v>
      </c>
      <c r="N275" s="7" t="s">
        <v>41</v>
      </c>
      <c r="O275" s="7"/>
      <c r="P275" s="20"/>
      <c r="Q275" s="40">
        <v>340</v>
      </c>
      <c r="R275" s="1">
        <v>167</v>
      </c>
      <c r="S275" s="1">
        <v>248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>
        <f>COUNT(Q275:AD275)</f>
        <v>3</v>
      </c>
      <c r="AF275" s="1">
        <f t="shared" si="20"/>
        <v>251.66666666666666</v>
      </c>
      <c r="AG275" s="11" t="str">
        <f t="shared" si="21"/>
        <v>APROVADO</v>
      </c>
    </row>
    <row r="276" spans="2:33" ht="25.5" hidden="1" x14ac:dyDescent="0.25">
      <c r="B276" s="5">
        <v>271</v>
      </c>
      <c r="C276" s="27" t="s">
        <v>1397</v>
      </c>
      <c r="D276" s="5" t="s">
        <v>33</v>
      </c>
      <c r="E276" s="7" t="s">
        <v>1398</v>
      </c>
      <c r="F276" s="7" t="s">
        <v>1399</v>
      </c>
      <c r="G276" s="7" t="s">
        <v>36</v>
      </c>
      <c r="H276" s="8">
        <v>223240.63</v>
      </c>
      <c r="I276" s="7" t="s">
        <v>993</v>
      </c>
      <c r="J276" s="9" t="s">
        <v>235</v>
      </c>
      <c r="K276" s="7" t="s">
        <v>1400</v>
      </c>
      <c r="L276" s="9" t="s">
        <v>1401</v>
      </c>
      <c r="M276" s="10">
        <v>45320</v>
      </c>
      <c r="N276" s="7" t="s">
        <v>41</v>
      </c>
      <c r="O276" s="7"/>
      <c r="P276" s="20"/>
      <c r="Q276" s="40">
        <v>327</v>
      </c>
      <c r="R276" s="1">
        <v>197</v>
      </c>
      <c r="S276" s="1">
        <v>247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>
        <f>COUNT(Q276:AD276)</f>
        <v>3</v>
      </c>
      <c r="AF276" s="1">
        <f t="shared" si="20"/>
        <v>257</v>
      </c>
      <c r="AG276" s="11" t="str">
        <f t="shared" si="21"/>
        <v>APROVADO</v>
      </c>
    </row>
    <row r="277" spans="2:33" ht="25.5" hidden="1" x14ac:dyDescent="0.25">
      <c r="B277" s="5">
        <v>272</v>
      </c>
      <c r="C277" s="27" t="s">
        <v>1402</v>
      </c>
      <c r="D277" s="5" t="s">
        <v>33</v>
      </c>
      <c r="E277" s="7" t="s">
        <v>1398</v>
      </c>
      <c r="F277" s="7" t="s">
        <v>1403</v>
      </c>
      <c r="G277" s="7" t="s">
        <v>36</v>
      </c>
      <c r="H277" s="8">
        <v>193561.25</v>
      </c>
      <c r="I277" s="7" t="s">
        <v>993</v>
      </c>
      <c r="J277" s="9" t="s">
        <v>235</v>
      </c>
      <c r="K277" s="7" t="s">
        <v>1400</v>
      </c>
      <c r="L277" s="9" t="s">
        <v>1401</v>
      </c>
      <c r="M277" s="10">
        <v>45320</v>
      </c>
      <c r="N277" s="7" t="s">
        <v>41</v>
      </c>
      <c r="O277" s="7"/>
      <c r="P277" s="20"/>
      <c r="Q277" s="40">
        <v>340</v>
      </c>
      <c r="R277" s="1">
        <v>188</v>
      </c>
      <c r="S277" s="1">
        <v>231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>
        <f>COUNT(Q277:AD277)</f>
        <v>3</v>
      </c>
      <c r="AF277" s="1">
        <f t="shared" si="20"/>
        <v>253</v>
      </c>
      <c r="AG277" s="11" t="str">
        <f t="shared" si="21"/>
        <v>APROVADO</v>
      </c>
    </row>
    <row r="278" spans="2:33" ht="25.5" hidden="1" x14ac:dyDescent="0.25">
      <c r="B278" s="5">
        <v>273</v>
      </c>
      <c r="C278" s="27" t="s">
        <v>1404</v>
      </c>
      <c r="D278" s="5" t="s">
        <v>33</v>
      </c>
      <c r="E278" s="7" t="s">
        <v>1398</v>
      </c>
      <c r="F278" s="7" t="s">
        <v>1405</v>
      </c>
      <c r="G278" s="7" t="s">
        <v>36</v>
      </c>
      <c r="H278" s="8">
        <v>205034.04</v>
      </c>
      <c r="I278" s="7" t="s">
        <v>993</v>
      </c>
      <c r="J278" s="9" t="s">
        <v>235</v>
      </c>
      <c r="K278" s="7" t="s">
        <v>1400</v>
      </c>
      <c r="L278" s="9" t="s">
        <v>1401</v>
      </c>
      <c r="M278" s="10">
        <v>45320</v>
      </c>
      <c r="N278" s="7" t="s">
        <v>41</v>
      </c>
      <c r="O278" s="7"/>
      <c r="P278" s="20"/>
      <c r="Q278" s="40">
        <v>340</v>
      </c>
      <c r="R278" s="1">
        <v>136</v>
      </c>
      <c r="S278" s="1">
        <v>270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>
        <f>COUNT(Q278:AD278)</f>
        <v>3</v>
      </c>
      <c r="AF278" s="1">
        <f t="shared" si="20"/>
        <v>248.66666666666666</v>
      </c>
      <c r="AG278" s="11" t="str">
        <f t="shared" si="21"/>
        <v>APROVADO</v>
      </c>
    </row>
    <row r="279" spans="2:33" hidden="1" x14ac:dyDescent="0.25">
      <c r="B279" s="5">
        <v>274</v>
      </c>
      <c r="C279" s="27" t="s">
        <v>1406</v>
      </c>
      <c r="D279" s="5" t="s">
        <v>33</v>
      </c>
      <c r="E279" s="7" t="s">
        <v>1407</v>
      </c>
      <c r="F279" s="7" t="s">
        <v>1258</v>
      </c>
      <c r="G279" s="7" t="s">
        <v>107</v>
      </c>
      <c r="H279" s="8">
        <v>127800</v>
      </c>
      <c r="I279" s="7" t="s">
        <v>1408</v>
      </c>
      <c r="J279" s="7" t="s">
        <v>223</v>
      </c>
      <c r="K279" s="7" t="s">
        <v>1409</v>
      </c>
      <c r="L279" s="9" t="s">
        <v>1410</v>
      </c>
      <c r="M279" s="10">
        <v>45320</v>
      </c>
      <c r="N279" s="7" t="s">
        <v>41</v>
      </c>
      <c r="O279" s="7"/>
      <c r="P279" s="20"/>
      <c r="Q279" s="40">
        <v>330</v>
      </c>
      <c r="R279" s="1">
        <v>136</v>
      </c>
      <c r="S279" s="1">
        <v>245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>
        <f>COUNT(Q279:AD279)</f>
        <v>3</v>
      </c>
      <c r="AF279" s="1">
        <f t="shared" si="20"/>
        <v>237</v>
      </c>
      <c r="AG279" s="11" t="str">
        <f t="shared" si="21"/>
        <v>APROVADO</v>
      </c>
    </row>
    <row r="280" spans="2:33" ht="25.5" hidden="1" x14ac:dyDescent="0.25">
      <c r="B280" s="5">
        <v>275</v>
      </c>
      <c r="C280" s="16" t="s">
        <v>1411</v>
      </c>
      <c r="D280" s="5" t="s">
        <v>33</v>
      </c>
      <c r="E280" s="7" t="s">
        <v>1412</v>
      </c>
      <c r="F280" s="7" t="s">
        <v>458</v>
      </c>
      <c r="G280" s="7" t="s">
        <v>36</v>
      </c>
      <c r="H280" s="8">
        <v>1720000</v>
      </c>
      <c r="I280" s="7" t="s">
        <v>1413</v>
      </c>
      <c r="J280" s="7" t="s">
        <v>1414</v>
      </c>
      <c r="K280" s="7" t="s">
        <v>1415</v>
      </c>
      <c r="L280" s="9" t="s">
        <v>1416</v>
      </c>
      <c r="M280" s="10">
        <v>45320</v>
      </c>
      <c r="N280" s="13" t="s">
        <v>226</v>
      </c>
      <c r="O280" s="7" t="s">
        <v>600</v>
      </c>
      <c r="P280" s="20"/>
      <c r="Q280" s="40">
        <v>0</v>
      </c>
      <c r="R280" s="1">
        <v>0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>
        <f t="shared" si="20"/>
        <v>0</v>
      </c>
      <c r="AG280" s="11" t="str">
        <f t="shared" si="21"/>
        <v>REPROVADO</v>
      </c>
    </row>
    <row r="281" spans="2:33" ht="25.5" hidden="1" x14ac:dyDescent="0.25">
      <c r="B281" s="5">
        <v>276</v>
      </c>
      <c r="C281" s="6" t="s">
        <v>1417</v>
      </c>
      <c r="D281" s="5" t="s">
        <v>51</v>
      </c>
      <c r="E281" s="7" t="s">
        <v>1418</v>
      </c>
      <c r="F281" s="7" t="s">
        <v>1419</v>
      </c>
      <c r="G281" s="7" t="s">
        <v>62</v>
      </c>
      <c r="H281" s="28">
        <v>310000</v>
      </c>
      <c r="I281" s="7" t="s">
        <v>1420</v>
      </c>
      <c r="J281" s="11" t="s">
        <v>597</v>
      </c>
      <c r="K281" s="7" t="s">
        <v>1421</v>
      </c>
      <c r="L281" s="44" t="s">
        <v>1422</v>
      </c>
      <c r="M281" s="26">
        <v>45320</v>
      </c>
      <c r="N281" s="7" t="s">
        <v>57</v>
      </c>
      <c r="O281" s="20"/>
      <c r="P281" s="20"/>
      <c r="Q281" s="1">
        <v>164</v>
      </c>
      <c r="R281" s="1"/>
      <c r="S281" s="1"/>
      <c r="T281" s="1"/>
      <c r="U281" s="1"/>
      <c r="V281" s="1">
        <v>204</v>
      </c>
      <c r="W281" s="1">
        <v>190</v>
      </c>
      <c r="X281" s="1"/>
      <c r="Y281" s="1"/>
      <c r="Z281" s="1"/>
      <c r="AA281" s="1"/>
      <c r="AB281" s="1"/>
      <c r="AC281" s="20"/>
      <c r="AD281" s="20"/>
      <c r="AE281" s="20"/>
      <c r="AF281" s="1">
        <f t="shared" si="20"/>
        <v>186</v>
      </c>
      <c r="AG281" s="11" t="str">
        <f t="shared" si="21"/>
        <v>REPROVADO</v>
      </c>
    </row>
    <row r="282" spans="2:33" hidden="1" x14ac:dyDescent="0.25">
      <c r="B282" s="5">
        <v>277</v>
      </c>
      <c r="C282" s="24" t="s">
        <v>1423</v>
      </c>
      <c r="D282" s="5" t="s">
        <v>51</v>
      </c>
      <c r="E282" s="13" t="s">
        <v>1424</v>
      </c>
      <c r="F282" s="13" t="s">
        <v>1425</v>
      </c>
      <c r="G282" s="14" t="s">
        <v>62</v>
      </c>
      <c r="H282" s="28">
        <v>445040.3</v>
      </c>
      <c r="I282" s="13" t="s">
        <v>1426</v>
      </c>
      <c r="J282" s="11" t="s">
        <v>154</v>
      </c>
      <c r="K282" s="14" t="s">
        <v>1427</v>
      </c>
      <c r="L282" s="43" t="s">
        <v>1428</v>
      </c>
      <c r="M282" s="26">
        <v>45320</v>
      </c>
      <c r="N282" s="13" t="s">
        <v>57</v>
      </c>
      <c r="O282" s="13"/>
      <c r="P282" s="20"/>
      <c r="Q282" s="1">
        <v>330</v>
      </c>
      <c r="R282" s="1"/>
      <c r="S282" s="1"/>
      <c r="T282" s="1"/>
      <c r="U282" s="1"/>
      <c r="V282" s="1"/>
      <c r="W282" s="1"/>
      <c r="X282" s="1">
        <v>318</v>
      </c>
      <c r="Y282" s="1">
        <v>340</v>
      </c>
      <c r="Z282" s="1"/>
      <c r="AA282" s="1"/>
      <c r="AB282" s="1"/>
      <c r="AC282" s="20"/>
      <c r="AD282" s="20"/>
      <c r="AE282" s="1">
        <f t="shared" ref="AE282:AE303" si="23">COUNT(Q282:AD282)</f>
        <v>3</v>
      </c>
      <c r="AF282" s="1">
        <f t="shared" si="20"/>
        <v>329.33333333333331</v>
      </c>
      <c r="AG282" s="11" t="str">
        <f t="shared" si="21"/>
        <v>APROVADO</v>
      </c>
    </row>
    <row r="283" spans="2:33" hidden="1" x14ac:dyDescent="0.25">
      <c r="B283" s="5">
        <v>278</v>
      </c>
      <c r="C283" s="27" t="s">
        <v>1429</v>
      </c>
      <c r="D283" s="5" t="s">
        <v>33</v>
      </c>
      <c r="E283" s="7" t="s">
        <v>1430</v>
      </c>
      <c r="F283" s="7" t="s">
        <v>1431</v>
      </c>
      <c r="G283" s="7" t="s">
        <v>36</v>
      </c>
      <c r="H283" s="8">
        <v>136960</v>
      </c>
      <c r="I283" s="7" t="s">
        <v>1426</v>
      </c>
      <c r="J283" s="7" t="s">
        <v>154</v>
      </c>
      <c r="K283" s="7" t="s">
        <v>1432</v>
      </c>
      <c r="L283" s="9" t="s">
        <v>1433</v>
      </c>
      <c r="M283" s="10">
        <v>45320</v>
      </c>
      <c r="N283" s="7" t="s">
        <v>41</v>
      </c>
      <c r="O283" s="7"/>
      <c r="P283" s="20"/>
      <c r="Q283" s="40">
        <v>340</v>
      </c>
      <c r="R283" s="1">
        <v>141</v>
      </c>
      <c r="S283" s="1"/>
      <c r="T283" s="1"/>
      <c r="U283" s="1"/>
      <c r="V283" s="1"/>
      <c r="W283" s="1"/>
      <c r="X283" s="1"/>
      <c r="Y283" s="1"/>
      <c r="Z283" s="1"/>
      <c r="AA283" s="1"/>
      <c r="AB283" s="1">
        <v>332</v>
      </c>
      <c r="AC283" s="1"/>
      <c r="AD283" s="1"/>
      <c r="AE283" s="1">
        <f t="shared" si="23"/>
        <v>3</v>
      </c>
      <c r="AF283" s="1">
        <f t="shared" si="20"/>
        <v>271</v>
      </c>
      <c r="AG283" s="11" t="str">
        <f t="shared" si="21"/>
        <v>APROVADO</v>
      </c>
    </row>
    <row r="284" spans="2:33" ht="25.5" hidden="1" x14ac:dyDescent="0.25">
      <c r="B284" s="5">
        <v>279</v>
      </c>
      <c r="C284" s="27" t="s">
        <v>1434</v>
      </c>
      <c r="D284" s="5" t="s">
        <v>33</v>
      </c>
      <c r="E284" s="7" t="s">
        <v>1435</v>
      </c>
      <c r="F284" s="7" t="s">
        <v>1436</v>
      </c>
      <c r="G284" s="7" t="s">
        <v>300</v>
      </c>
      <c r="H284" s="8">
        <v>60900.34</v>
      </c>
      <c r="I284" s="7" t="s">
        <v>73</v>
      </c>
      <c r="J284" s="7" t="s">
        <v>74</v>
      </c>
      <c r="K284" s="7" t="s">
        <v>1437</v>
      </c>
      <c r="L284" s="9" t="s">
        <v>1438</v>
      </c>
      <c r="M284" s="10">
        <v>45320</v>
      </c>
      <c r="N284" s="7" t="s">
        <v>41</v>
      </c>
      <c r="O284" s="7"/>
      <c r="P284" s="20"/>
      <c r="Q284" s="40">
        <v>302</v>
      </c>
      <c r="R284" s="1">
        <v>217</v>
      </c>
      <c r="S284" s="1">
        <v>232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>
        <f t="shared" si="23"/>
        <v>3</v>
      </c>
      <c r="AF284" s="1">
        <f t="shared" si="20"/>
        <v>250.33333333333334</v>
      </c>
      <c r="AG284" s="11" t="str">
        <f t="shared" si="21"/>
        <v>APROVADO</v>
      </c>
    </row>
    <row r="285" spans="2:33" ht="25.5" hidden="1" x14ac:dyDescent="0.25">
      <c r="B285" s="5">
        <v>280</v>
      </c>
      <c r="C285" s="27" t="s">
        <v>1439</v>
      </c>
      <c r="D285" s="5" t="s">
        <v>33</v>
      </c>
      <c r="E285" s="7" t="s">
        <v>1440</v>
      </c>
      <c r="F285" s="7" t="s">
        <v>1441</v>
      </c>
      <c r="G285" s="7" t="s">
        <v>36</v>
      </c>
      <c r="H285" s="8">
        <v>178800</v>
      </c>
      <c r="I285" s="7" t="s">
        <v>1442</v>
      </c>
      <c r="J285" s="7" t="s">
        <v>254</v>
      </c>
      <c r="K285" s="7" t="s">
        <v>1443</v>
      </c>
      <c r="L285" s="9" t="s">
        <v>1444</v>
      </c>
      <c r="M285" s="10">
        <v>45320</v>
      </c>
      <c r="N285" s="7" t="s">
        <v>41</v>
      </c>
      <c r="O285" s="7"/>
      <c r="P285" s="20"/>
      <c r="Q285" s="40">
        <v>320</v>
      </c>
      <c r="R285" s="1">
        <v>176</v>
      </c>
      <c r="S285" s="1"/>
      <c r="T285" s="1"/>
      <c r="U285" s="1"/>
      <c r="V285" s="1"/>
      <c r="W285" s="1"/>
      <c r="X285" s="1"/>
      <c r="Y285" s="1"/>
      <c r="Z285" s="1"/>
      <c r="AA285" s="1"/>
      <c r="AB285" s="1">
        <v>300</v>
      </c>
      <c r="AC285" s="1"/>
      <c r="AD285" s="1"/>
      <c r="AE285" s="1">
        <f t="shared" si="23"/>
        <v>3</v>
      </c>
      <c r="AF285" s="1">
        <f t="shared" si="20"/>
        <v>265.33333333333331</v>
      </c>
      <c r="AG285" s="11" t="str">
        <f t="shared" si="21"/>
        <v>APROVADO</v>
      </c>
    </row>
    <row r="286" spans="2:33" ht="26.25" hidden="1" x14ac:dyDescent="0.25">
      <c r="B286" s="5">
        <v>281</v>
      </c>
      <c r="C286" s="24" t="s">
        <v>1445</v>
      </c>
      <c r="D286" s="5" t="s">
        <v>51</v>
      </c>
      <c r="E286" s="14" t="s">
        <v>1446</v>
      </c>
      <c r="F286" s="14" t="s">
        <v>1447</v>
      </c>
      <c r="G286" s="14" t="s">
        <v>107</v>
      </c>
      <c r="H286" s="28">
        <v>921684</v>
      </c>
      <c r="I286" s="13" t="s">
        <v>1448</v>
      </c>
      <c r="J286" s="11" t="s">
        <v>235</v>
      </c>
      <c r="K286" s="14" t="s">
        <v>1449</v>
      </c>
      <c r="L286" s="43" t="s">
        <v>1428</v>
      </c>
      <c r="M286" s="26">
        <v>45320</v>
      </c>
      <c r="N286" s="13" t="s">
        <v>57</v>
      </c>
      <c r="O286" s="13"/>
      <c r="P286" s="20"/>
      <c r="Q286" s="1">
        <v>264</v>
      </c>
      <c r="R286" s="1"/>
      <c r="S286" s="1"/>
      <c r="T286" s="1"/>
      <c r="U286" s="1"/>
      <c r="V286" s="1"/>
      <c r="W286" s="1"/>
      <c r="X286" s="1">
        <v>310</v>
      </c>
      <c r="Y286" s="1">
        <v>340</v>
      </c>
      <c r="Z286" s="1"/>
      <c r="AA286" s="1"/>
      <c r="AB286" s="1"/>
      <c r="AC286" s="20"/>
      <c r="AD286" s="20"/>
      <c r="AE286" s="1">
        <f t="shared" si="23"/>
        <v>3</v>
      </c>
      <c r="AF286" s="1">
        <f t="shared" si="20"/>
        <v>304.66666666666669</v>
      </c>
      <c r="AG286" s="11" t="str">
        <f t="shared" si="21"/>
        <v>APROVADO</v>
      </c>
    </row>
    <row r="287" spans="2:33" ht="25.5" hidden="1" x14ac:dyDescent="0.25">
      <c r="B287" s="5">
        <v>282</v>
      </c>
      <c r="C287" s="27" t="s">
        <v>1450</v>
      </c>
      <c r="D287" s="5" t="s">
        <v>33</v>
      </c>
      <c r="E287" s="7" t="s">
        <v>1451</v>
      </c>
      <c r="F287" s="7" t="s">
        <v>1452</v>
      </c>
      <c r="G287" s="7" t="s">
        <v>1453</v>
      </c>
      <c r="H287" s="8">
        <v>267625.44</v>
      </c>
      <c r="I287" s="7" t="s">
        <v>1033</v>
      </c>
      <c r="J287" s="7" t="s">
        <v>445</v>
      </c>
      <c r="K287" s="7" t="s">
        <v>1454</v>
      </c>
      <c r="L287" s="9" t="s">
        <v>1455</v>
      </c>
      <c r="M287" s="10">
        <v>45320</v>
      </c>
      <c r="N287" s="7" t="s">
        <v>41</v>
      </c>
      <c r="O287" s="7"/>
      <c r="P287" s="20"/>
      <c r="Q287" s="40">
        <v>340</v>
      </c>
      <c r="R287" s="1">
        <v>156</v>
      </c>
      <c r="S287" s="1"/>
      <c r="T287" s="1"/>
      <c r="U287" s="1"/>
      <c r="V287" s="1"/>
      <c r="W287" s="1"/>
      <c r="X287" s="1"/>
      <c r="Y287" s="1"/>
      <c r="Z287" s="1"/>
      <c r="AA287" s="1"/>
      <c r="AB287" s="1">
        <v>252</v>
      </c>
      <c r="AC287" s="1"/>
      <c r="AD287" s="1"/>
      <c r="AE287" s="1">
        <f t="shared" si="23"/>
        <v>3</v>
      </c>
      <c r="AF287" s="1">
        <f t="shared" si="20"/>
        <v>249.33333333333334</v>
      </c>
      <c r="AG287" s="11" t="str">
        <f t="shared" si="21"/>
        <v>APROVADO</v>
      </c>
    </row>
    <row r="288" spans="2:33" ht="38.25" hidden="1" x14ac:dyDescent="0.25">
      <c r="B288" s="5">
        <v>283</v>
      </c>
      <c r="C288" s="6" t="s">
        <v>1456</v>
      </c>
      <c r="D288" s="5" t="s">
        <v>33</v>
      </c>
      <c r="E288" s="5" t="s">
        <v>1457</v>
      </c>
      <c r="F288" s="5" t="s">
        <v>1458</v>
      </c>
      <c r="G288" s="5" t="s">
        <v>36</v>
      </c>
      <c r="H288" s="17">
        <v>96807.1</v>
      </c>
      <c r="I288" s="45" t="s">
        <v>1459</v>
      </c>
      <c r="J288" s="45" t="s">
        <v>270</v>
      </c>
      <c r="K288" s="45" t="s">
        <v>1460</v>
      </c>
      <c r="L288" s="46" t="s">
        <v>1461</v>
      </c>
      <c r="M288" s="10">
        <v>45321</v>
      </c>
      <c r="N288" s="5" t="s">
        <v>41</v>
      </c>
      <c r="O288" s="5"/>
      <c r="P288" s="20"/>
      <c r="Q288" s="39">
        <v>265</v>
      </c>
      <c r="R288" s="1">
        <v>162</v>
      </c>
      <c r="S288" s="1"/>
      <c r="T288" s="1"/>
      <c r="U288" s="1"/>
      <c r="V288" s="1"/>
      <c r="W288" s="1"/>
      <c r="X288" s="1"/>
      <c r="Y288" s="1"/>
      <c r="Z288" s="1"/>
      <c r="AA288" s="1"/>
      <c r="AB288" s="1">
        <v>281</v>
      </c>
      <c r="AC288" s="1"/>
      <c r="AD288" s="1"/>
      <c r="AE288" s="1">
        <f t="shared" si="23"/>
        <v>3</v>
      </c>
      <c r="AF288" s="1">
        <f t="shared" si="20"/>
        <v>236</v>
      </c>
      <c r="AG288" s="11" t="str">
        <f t="shared" si="21"/>
        <v>APROVADO</v>
      </c>
    </row>
    <row r="289" spans="2:33" ht="38.25" hidden="1" x14ac:dyDescent="0.25">
      <c r="B289" s="5">
        <v>284</v>
      </c>
      <c r="C289" s="27" t="s">
        <v>1462</v>
      </c>
      <c r="D289" s="5" t="s">
        <v>33</v>
      </c>
      <c r="E289" s="7" t="s">
        <v>1457</v>
      </c>
      <c r="F289" s="7" t="s">
        <v>1463</v>
      </c>
      <c r="G289" s="7" t="s">
        <v>36</v>
      </c>
      <c r="H289" s="8">
        <v>200750</v>
      </c>
      <c r="I289" s="7" t="s">
        <v>1459</v>
      </c>
      <c r="J289" s="7" t="s">
        <v>270</v>
      </c>
      <c r="K289" s="7" t="s">
        <v>1460</v>
      </c>
      <c r="L289" s="9" t="s">
        <v>1461</v>
      </c>
      <c r="M289" s="10">
        <v>45321</v>
      </c>
      <c r="N289" s="7" t="s">
        <v>41</v>
      </c>
      <c r="O289" s="7"/>
      <c r="P289" s="20"/>
      <c r="Q289" s="40">
        <v>328</v>
      </c>
      <c r="R289" s="1">
        <v>178</v>
      </c>
      <c r="S289" s="1">
        <v>251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f t="shared" si="23"/>
        <v>3</v>
      </c>
      <c r="AF289" s="1">
        <f t="shared" si="20"/>
        <v>252.33333333333334</v>
      </c>
      <c r="AG289" s="11" t="str">
        <f t="shared" si="21"/>
        <v>APROVADO</v>
      </c>
    </row>
    <row r="290" spans="2:33" ht="25.5" hidden="1" x14ac:dyDescent="0.25">
      <c r="B290" s="5">
        <v>285</v>
      </c>
      <c r="C290" s="6" t="s">
        <v>1464</v>
      </c>
      <c r="D290" s="5" t="s">
        <v>33</v>
      </c>
      <c r="E290" s="7" t="s">
        <v>1457</v>
      </c>
      <c r="F290" s="7" t="s">
        <v>1465</v>
      </c>
      <c r="G290" s="7" t="s">
        <v>36</v>
      </c>
      <c r="H290" s="8">
        <v>141000</v>
      </c>
      <c r="I290" s="7" t="s">
        <v>1459</v>
      </c>
      <c r="J290" s="7" t="s">
        <v>270</v>
      </c>
      <c r="K290" s="7" t="s">
        <v>1460</v>
      </c>
      <c r="L290" s="9" t="s">
        <v>1461</v>
      </c>
      <c r="M290" s="10">
        <v>45321</v>
      </c>
      <c r="N290" s="7" t="s">
        <v>67</v>
      </c>
      <c r="O290" s="7"/>
      <c r="P290" s="20"/>
      <c r="Q290" s="40">
        <v>340</v>
      </c>
      <c r="R290" s="1"/>
      <c r="S290" s="1"/>
      <c r="T290" s="1"/>
      <c r="U290" s="1"/>
      <c r="V290" s="1">
        <v>340</v>
      </c>
      <c r="W290" s="1">
        <v>340</v>
      </c>
      <c r="X290" s="1"/>
      <c r="Y290" s="1"/>
      <c r="Z290" s="1"/>
      <c r="AA290" s="1"/>
      <c r="AB290" s="1"/>
      <c r="AC290" s="1"/>
      <c r="AD290" s="1"/>
      <c r="AE290" s="1">
        <f t="shared" si="23"/>
        <v>3</v>
      </c>
      <c r="AF290" s="1">
        <f t="shared" si="20"/>
        <v>340</v>
      </c>
      <c r="AG290" s="11" t="str">
        <f t="shared" si="21"/>
        <v>APROVADO</v>
      </c>
    </row>
    <row r="291" spans="2:33" ht="25.5" hidden="1" x14ac:dyDescent="0.25">
      <c r="B291" s="5">
        <v>286</v>
      </c>
      <c r="C291" s="6" t="s">
        <v>1466</v>
      </c>
      <c r="D291" s="5" t="s">
        <v>33</v>
      </c>
      <c r="E291" s="5" t="s">
        <v>1467</v>
      </c>
      <c r="F291" s="5" t="s">
        <v>1468</v>
      </c>
      <c r="G291" s="7" t="s">
        <v>36</v>
      </c>
      <c r="H291" s="8">
        <v>71000</v>
      </c>
      <c r="I291" s="7" t="s">
        <v>1469</v>
      </c>
      <c r="J291" s="7" t="s">
        <v>597</v>
      </c>
      <c r="K291" s="7" t="s">
        <v>1470</v>
      </c>
      <c r="L291" s="9" t="s">
        <v>1471</v>
      </c>
      <c r="M291" s="10">
        <v>45321</v>
      </c>
      <c r="N291" s="5" t="s">
        <v>67</v>
      </c>
      <c r="O291" s="7"/>
      <c r="P291" s="20"/>
      <c r="Q291" s="39">
        <v>312</v>
      </c>
      <c r="R291" s="1">
        <v>227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>
        <v>338</v>
      </c>
      <c r="AD291" s="1"/>
      <c r="AE291" s="1">
        <f t="shared" si="23"/>
        <v>3</v>
      </c>
      <c r="AF291" s="1">
        <f t="shared" si="20"/>
        <v>292.33333333333331</v>
      </c>
      <c r="AG291" s="11" t="str">
        <f t="shared" si="21"/>
        <v>APROVADO</v>
      </c>
    </row>
    <row r="292" spans="2:33" ht="38.25" hidden="1" x14ac:dyDescent="0.25">
      <c r="B292" s="5">
        <v>287</v>
      </c>
      <c r="C292" s="6" t="s">
        <v>1472</v>
      </c>
      <c r="D292" s="5" t="s">
        <v>33</v>
      </c>
      <c r="E292" s="7" t="s">
        <v>1473</v>
      </c>
      <c r="F292" s="7" t="s">
        <v>1474</v>
      </c>
      <c r="G292" s="7" t="s">
        <v>36</v>
      </c>
      <c r="H292" s="8">
        <v>302200</v>
      </c>
      <c r="I292" s="7" t="s">
        <v>1475</v>
      </c>
      <c r="J292" s="7" t="s">
        <v>64</v>
      </c>
      <c r="K292" s="7" t="s">
        <v>1476</v>
      </c>
      <c r="L292" s="9" t="s">
        <v>1477</v>
      </c>
      <c r="M292" s="10">
        <v>45321</v>
      </c>
      <c r="N292" s="7" t="s">
        <v>67</v>
      </c>
      <c r="O292" s="7"/>
      <c r="P292" s="20"/>
      <c r="Q292" s="40">
        <v>340</v>
      </c>
      <c r="R292" s="1">
        <v>223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>
        <v>340</v>
      </c>
      <c r="AE292" s="1">
        <f t="shared" si="23"/>
        <v>3</v>
      </c>
      <c r="AF292" s="1">
        <f t="shared" si="20"/>
        <v>301</v>
      </c>
      <c r="AG292" s="11" t="str">
        <f t="shared" si="21"/>
        <v>APROVADO</v>
      </c>
    </row>
    <row r="293" spans="2:33" ht="25.5" hidden="1" x14ac:dyDescent="0.25">
      <c r="B293" s="5">
        <v>288</v>
      </c>
      <c r="C293" s="6" t="s">
        <v>1478</v>
      </c>
      <c r="D293" s="5" t="s">
        <v>33</v>
      </c>
      <c r="E293" s="5" t="s">
        <v>1467</v>
      </c>
      <c r="F293" s="5" t="s">
        <v>1479</v>
      </c>
      <c r="G293" s="7" t="s">
        <v>36</v>
      </c>
      <c r="H293" s="8">
        <v>266999.78000000003</v>
      </c>
      <c r="I293" s="7" t="s">
        <v>1469</v>
      </c>
      <c r="J293" s="7" t="s">
        <v>597</v>
      </c>
      <c r="K293" s="7" t="s">
        <v>1480</v>
      </c>
      <c r="L293" s="9" t="s">
        <v>1471</v>
      </c>
      <c r="M293" s="10">
        <v>45321</v>
      </c>
      <c r="N293" s="5" t="s">
        <v>67</v>
      </c>
      <c r="O293" s="7"/>
      <c r="P293" s="20"/>
      <c r="Q293" s="39">
        <v>322</v>
      </c>
      <c r="R293" s="1">
        <v>203</v>
      </c>
      <c r="S293" s="1"/>
      <c r="T293" s="1"/>
      <c r="U293" s="1"/>
      <c r="V293" s="1">
        <v>312</v>
      </c>
      <c r="W293" s="1"/>
      <c r="X293" s="1"/>
      <c r="Y293" s="1"/>
      <c r="Z293" s="1"/>
      <c r="AA293" s="1"/>
      <c r="AB293" s="1"/>
      <c r="AC293" s="1"/>
      <c r="AD293" s="1"/>
      <c r="AE293" s="1">
        <f t="shared" si="23"/>
        <v>3</v>
      </c>
      <c r="AF293" s="1">
        <f t="shared" si="20"/>
        <v>279</v>
      </c>
      <c r="AG293" s="11" t="str">
        <f t="shared" si="21"/>
        <v>APROVADO</v>
      </c>
    </row>
    <row r="294" spans="2:33" ht="25.5" hidden="1" x14ac:dyDescent="0.25">
      <c r="B294" s="5">
        <v>289</v>
      </c>
      <c r="C294" s="6" t="s">
        <v>1481</v>
      </c>
      <c r="D294" s="5" t="s">
        <v>33</v>
      </c>
      <c r="E294" s="7" t="s">
        <v>1482</v>
      </c>
      <c r="F294" s="7" t="s">
        <v>1483</v>
      </c>
      <c r="G294" s="7" t="s">
        <v>36</v>
      </c>
      <c r="H294" s="8">
        <v>160000</v>
      </c>
      <c r="I294" s="7" t="s">
        <v>1484</v>
      </c>
      <c r="J294" s="7" t="s">
        <v>181</v>
      </c>
      <c r="K294" s="7" t="s">
        <v>1485</v>
      </c>
      <c r="L294" s="9" t="s">
        <v>1486</v>
      </c>
      <c r="M294" s="10">
        <v>45321</v>
      </c>
      <c r="N294" s="7" t="s">
        <v>67</v>
      </c>
      <c r="O294" s="7"/>
      <c r="P294" s="20"/>
      <c r="Q294" s="40">
        <v>321</v>
      </c>
      <c r="R294" s="1"/>
      <c r="S294" s="1"/>
      <c r="T294" s="1"/>
      <c r="U294" s="1"/>
      <c r="V294" s="1"/>
      <c r="W294" s="1"/>
      <c r="X294" s="1">
        <v>240</v>
      </c>
      <c r="Y294" s="1">
        <v>340</v>
      </c>
      <c r="Z294" s="1"/>
      <c r="AA294" s="1"/>
      <c r="AB294" s="1"/>
      <c r="AC294" s="1"/>
      <c r="AD294" s="1"/>
      <c r="AE294" s="1">
        <f t="shared" si="23"/>
        <v>3</v>
      </c>
      <c r="AF294" s="1">
        <f t="shared" si="20"/>
        <v>300.33333333333331</v>
      </c>
      <c r="AG294" s="11" t="str">
        <f t="shared" si="21"/>
        <v>APROVADO</v>
      </c>
    </row>
    <row r="295" spans="2:33" hidden="1" x14ac:dyDescent="0.25">
      <c r="B295" s="5">
        <v>290</v>
      </c>
      <c r="C295" s="24" t="s">
        <v>1487</v>
      </c>
      <c r="D295" s="5" t="s">
        <v>51</v>
      </c>
      <c r="E295" s="13" t="s">
        <v>1488</v>
      </c>
      <c r="F295" s="13" t="s">
        <v>1489</v>
      </c>
      <c r="G295" s="7" t="s">
        <v>45</v>
      </c>
      <c r="H295" s="28">
        <v>51420</v>
      </c>
      <c r="I295" s="13" t="s">
        <v>1490</v>
      </c>
      <c r="J295" s="11" t="s">
        <v>1414</v>
      </c>
      <c r="K295" s="13" t="s">
        <v>1491</v>
      </c>
      <c r="L295" s="30" t="s">
        <v>1492</v>
      </c>
      <c r="M295" s="26">
        <v>45321</v>
      </c>
      <c r="N295" s="13" t="s">
        <v>57</v>
      </c>
      <c r="O295" s="20"/>
      <c r="P295" s="20"/>
      <c r="Q295" s="1">
        <v>318</v>
      </c>
      <c r="R295" s="1"/>
      <c r="S295" s="1"/>
      <c r="T295" s="1"/>
      <c r="U295" s="1"/>
      <c r="V295" s="1">
        <v>332</v>
      </c>
      <c r="W295" s="1">
        <v>316</v>
      </c>
      <c r="X295" s="1"/>
      <c r="Y295" s="1"/>
      <c r="Z295" s="1"/>
      <c r="AA295" s="1"/>
      <c r="AB295" s="1"/>
      <c r="AC295" s="20"/>
      <c r="AD295" s="20"/>
      <c r="AE295" s="1">
        <f t="shared" si="23"/>
        <v>3</v>
      </c>
      <c r="AF295" s="1">
        <f t="shared" si="20"/>
        <v>322</v>
      </c>
      <c r="AG295" s="11" t="str">
        <f t="shared" si="21"/>
        <v>APROVADO</v>
      </c>
    </row>
    <row r="296" spans="2:33" ht="39" hidden="1" x14ac:dyDescent="0.25">
      <c r="B296" s="5">
        <v>291</v>
      </c>
      <c r="C296" s="24" t="s">
        <v>1493</v>
      </c>
      <c r="D296" s="5" t="s">
        <v>51</v>
      </c>
      <c r="E296" s="13" t="s">
        <v>1488</v>
      </c>
      <c r="F296" s="14" t="s">
        <v>1494</v>
      </c>
      <c r="G296" s="14" t="s">
        <v>36</v>
      </c>
      <c r="H296" s="28">
        <v>87500</v>
      </c>
      <c r="I296" s="13" t="s">
        <v>1490</v>
      </c>
      <c r="J296" s="11" t="s">
        <v>1414</v>
      </c>
      <c r="K296" s="13" t="s">
        <v>1495</v>
      </c>
      <c r="L296" s="42" t="s">
        <v>1492</v>
      </c>
      <c r="M296" s="26">
        <v>45321</v>
      </c>
      <c r="N296" s="13" t="s">
        <v>57</v>
      </c>
      <c r="O296" s="13"/>
      <c r="P296" s="20"/>
      <c r="Q296" s="1">
        <v>336</v>
      </c>
      <c r="R296" s="1"/>
      <c r="S296" s="1"/>
      <c r="T296" s="1"/>
      <c r="U296" s="1"/>
      <c r="V296" s="1"/>
      <c r="W296" s="1"/>
      <c r="X296" s="1">
        <v>298</v>
      </c>
      <c r="Y296" s="1">
        <v>303</v>
      </c>
      <c r="Z296" s="1"/>
      <c r="AA296" s="1"/>
      <c r="AB296" s="1"/>
      <c r="AC296" s="20"/>
      <c r="AD296" s="20"/>
      <c r="AE296" s="1">
        <f t="shared" si="23"/>
        <v>3</v>
      </c>
      <c r="AF296" s="1">
        <f t="shared" si="20"/>
        <v>312.33333333333331</v>
      </c>
      <c r="AG296" s="11" t="str">
        <f t="shared" si="21"/>
        <v>APROVADO</v>
      </c>
    </row>
    <row r="297" spans="2:33" hidden="1" x14ac:dyDescent="0.25">
      <c r="B297" s="5">
        <v>292</v>
      </c>
      <c r="C297" s="6" t="s">
        <v>1496</v>
      </c>
      <c r="D297" s="5" t="s">
        <v>33</v>
      </c>
      <c r="E297" s="5" t="s">
        <v>1497</v>
      </c>
      <c r="F297" s="5" t="s">
        <v>1498</v>
      </c>
      <c r="G297" s="7" t="s">
        <v>36</v>
      </c>
      <c r="H297" s="8">
        <v>40000</v>
      </c>
      <c r="I297" s="7" t="s">
        <v>1490</v>
      </c>
      <c r="J297" s="7" t="s">
        <v>1414</v>
      </c>
      <c r="K297" s="7" t="s">
        <v>1499</v>
      </c>
      <c r="L297" s="9" t="s">
        <v>1500</v>
      </c>
      <c r="M297" s="10">
        <v>45321</v>
      </c>
      <c r="N297" s="5" t="s">
        <v>67</v>
      </c>
      <c r="O297" s="7"/>
      <c r="P297" s="20"/>
      <c r="Q297" s="39">
        <v>270</v>
      </c>
      <c r="R297" s="1">
        <v>243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>
        <v>247</v>
      </c>
      <c r="AD297" s="1"/>
      <c r="AE297" s="1">
        <f t="shared" si="23"/>
        <v>3</v>
      </c>
      <c r="AF297" s="1">
        <f t="shared" si="20"/>
        <v>253.33333333333334</v>
      </c>
      <c r="AG297" s="11" t="str">
        <f t="shared" si="21"/>
        <v>APROVADO</v>
      </c>
    </row>
    <row r="298" spans="2:33" hidden="1" x14ac:dyDescent="0.25">
      <c r="B298" s="5">
        <v>293</v>
      </c>
      <c r="C298" s="6" t="s">
        <v>1501</v>
      </c>
      <c r="D298" s="5" t="s">
        <v>33</v>
      </c>
      <c r="E298" s="7" t="s">
        <v>1502</v>
      </c>
      <c r="F298" s="7" t="s">
        <v>1503</v>
      </c>
      <c r="G298" s="7" t="s">
        <v>107</v>
      </c>
      <c r="H298" s="8">
        <v>42947</v>
      </c>
      <c r="I298" s="7" t="s">
        <v>269</v>
      </c>
      <c r="J298" s="7" t="s">
        <v>270</v>
      </c>
      <c r="K298" s="7" t="s">
        <v>1504</v>
      </c>
      <c r="L298" s="9" t="s">
        <v>1505</v>
      </c>
      <c r="M298" s="10">
        <v>45321</v>
      </c>
      <c r="N298" s="7" t="s">
        <v>67</v>
      </c>
      <c r="O298" s="7"/>
      <c r="P298" s="20"/>
      <c r="Q298" s="40">
        <v>228</v>
      </c>
      <c r="R298" s="1"/>
      <c r="S298" s="1"/>
      <c r="T298" s="1"/>
      <c r="U298" s="1"/>
      <c r="V298" s="1">
        <v>314</v>
      </c>
      <c r="W298" s="1"/>
      <c r="X298" s="1"/>
      <c r="Y298" s="1"/>
      <c r="Z298" s="1"/>
      <c r="AA298" s="1"/>
      <c r="AB298" s="1"/>
      <c r="AC298" s="1">
        <v>322</v>
      </c>
      <c r="AD298" s="1"/>
      <c r="AE298" s="1">
        <f t="shared" si="23"/>
        <v>3</v>
      </c>
      <c r="AF298" s="1">
        <f t="shared" si="20"/>
        <v>288</v>
      </c>
      <c r="AG298" s="11" t="str">
        <f t="shared" si="21"/>
        <v>APROVADO</v>
      </c>
    </row>
    <row r="299" spans="2:33" ht="38.25" hidden="1" x14ac:dyDescent="0.25">
      <c r="B299" s="5">
        <v>294</v>
      </c>
      <c r="C299" s="6" t="s">
        <v>1506</v>
      </c>
      <c r="D299" s="5" t="s">
        <v>33</v>
      </c>
      <c r="E299" s="5" t="s">
        <v>1507</v>
      </c>
      <c r="F299" s="5" t="s">
        <v>1508</v>
      </c>
      <c r="G299" s="7" t="s">
        <v>36</v>
      </c>
      <c r="H299" s="8">
        <v>777859.48</v>
      </c>
      <c r="I299" s="7" t="s">
        <v>73</v>
      </c>
      <c r="J299" s="5" t="s">
        <v>74</v>
      </c>
      <c r="K299" s="7" t="s">
        <v>1509</v>
      </c>
      <c r="L299" s="9" t="s">
        <v>1510</v>
      </c>
      <c r="M299" s="10">
        <v>45321</v>
      </c>
      <c r="N299" s="5" t="s">
        <v>67</v>
      </c>
      <c r="O299" s="7" t="s">
        <v>375</v>
      </c>
      <c r="P299" s="20"/>
      <c r="Q299" s="39">
        <v>330</v>
      </c>
      <c r="R299" s="1">
        <v>107</v>
      </c>
      <c r="S299" s="1"/>
      <c r="T299" s="1"/>
      <c r="U299" s="1"/>
      <c r="V299" s="1"/>
      <c r="W299" s="1">
        <v>242</v>
      </c>
      <c r="X299" s="1"/>
      <c r="Y299" s="1"/>
      <c r="Z299" s="1"/>
      <c r="AA299" s="1"/>
      <c r="AB299" s="1"/>
      <c r="AC299" s="1"/>
      <c r="AD299" s="1"/>
      <c r="AE299" s="1">
        <f t="shared" si="23"/>
        <v>3</v>
      </c>
      <c r="AF299" s="1">
        <f t="shared" si="20"/>
        <v>226.33333333333334</v>
      </c>
      <c r="AG299" s="11" t="str">
        <f t="shared" si="21"/>
        <v>APROVADO</v>
      </c>
    </row>
    <row r="300" spans="2:33" ht="38.25" hidden="1" x14ac:dyDescent="0.25">
      <c r="B300" s="5">
        <v>295</v>
      </c>
      <c r="C300" s="6" t="s">
        <v>1511</v>
      </c>
      <c r="D300" s="5" t="s">
        <v>33</v>
      </c>
      <c r="E300" s="7" t="s">
        <v>1512</v>
      </c>
      <c r="F300" s="7" t="s">
        <v>1513</v>
      </c>
      <c r="G300" s="5" t="s">
        <v>62</v>
      </c>
      <c r="H300" s="8">
        <v>85411.67</v>
      </c>
      <c r="I300" s="7" t="s">
        <v>1514</v>
      </c>
      <c r="J300" s="5" t="s">
        <v>95</v>
      </c>
      <c r="K300" s="7" t="s">
        <v>1515</v>
      </c>
      <c r="L300" s="9" t="s">
        <v>1516</v>
      </c>
      <c r="M300" s="10">
        <v>45321</v>
      </c>
      <c r="N300" s="7" t="s">
        <v>67</v>
      </c>
      <c r="O300" s="7"/>
      <c r="P300" s="20"/>
      <c r="Q300" s="40">
        <v>335</v>
      </c>
      <c r="R300" s="1"/>
      <c r="S300" s="1"/>
      <c r="T300" s="1"/>
      <c r="U300" s="1"/>
      <c r="V300" s="1"/>
      <c r="W300" s="1"/>
      <c r="X300" s="1"/>
      <c r="Y300" s="1">
        <v>335</v>
      </c>
      <c r="Z300" s="1"/>
      <c r="AA300" s="1"/>
      <c r="AB300" s="1"/>
      <c r="AC300" s="1">
        <v>338</v>
      </c>
      <c r="AD300" s="1"/>
      <c r="AE300" s="1">
        <f t="shared" si="23"/>
        <v>3</v>
      </c>
      <c r="AF300" s="1">
        <f t="shared" si="20"/>
        <v>336</v>
      </c>
      <c r="AG300" s="11" t="str">
        <f t="shared" si="21"/>
        <v>APROVADO</v>
      </c>
    </row>
    <row r="301" spans="2:33" ht="38.25" hidden="1" x14ac:dyDescent="0.25">
      <c r="B301" s="5">
        <v>296</v>
      </c>
      <c r="C301" s="6" t="s">
        <v>1517</v>
      </c>
      <c r="D301" s="5" t="s">
        <v>33</v>
      </c>
      <c r="E301" s="7" t="s">
        <v>1518</v>
      </c>
      <c r="F301" s="7" t="s">
        <v>1519</v>
      </c>
      <c r="G301" s="7" t="s">
        <v>36</v>
      </c>
      <c r="H301" s="8">
        <v>150000</v>
      </c>
      <c r="I301" s="7" t="s">
        <v>147</v>
      </c>
      <c r="J301" s="5" t="s">
        <v>95</v>
      </c>
      <c r="K301" s="7" t="s">
        <v>1520</v>
      </c>
      <c r="L301" s="9" t="s">
        <v>1521</v>
      </c>
      <c r="M301" s="10">
        <v>45321</v>
      </c>
      <c r="N301" s="7" t="s">
        <v>67</v>
      </c>
      <c r="O301" s="7"/>
      <c r="P301" s="20"/>
      <c r="Q301" s="40">
        <v>324</v>
      </c>
      <c r="R301" s="1"/>
      <c r="S301" s="1"/>
      <c r="T301" s="1"/>
      <c r="U301" s="1"/>
      <c r="V301" s="1">
        <v>340</v>
      </c>
      <c r="W301" s="1">
        <v>340</v>
      </c>
      <c r="X301" s="1"/>
      <c r="Y301" s="1"/>
      <c r="Z301" s="1"/>
      <c r="AA301" s="1"/>
      <c r="AB301" s="1"/>
      <c r="AC301" s="1"/>
      <c r="AD301" s="1"/>
      <c r="AE301" s="1">
        <f t="shared" si="23"/>
        <v>3</v>
      </c>
      <c r="AF301" s="1">
        <f t="shared" si="20"/>
        <v>334.66666666666669</v>
      </c>
      <c r="AG301" s="11" t="str">
        <f t="shared" si="21"/>
        <v>APROVADO</v>
      </c>
    </row>
    <row r="302" spans="2:33" hidden="1" x14ac:dyDescent="0.25">
      <c r="B302" s="5">
        <v>297</v>
      </c>
      <c r="C302" s="24" t="s">
        <v>1522</v>
      </c>
      <c r="D302" s="5" t="s">
        <v>51</v>
      </c>
      <c r="E302" s="13" t="s">
        <v>1523</v>
      </c>
      <c r="F302" s="13" t="s">
        <v>1524</v>
      </c>
      <c r="G302" s="14" t="s">
        <v>107</v>
      </c>
      <c r="H302" s="28">
        <v>35000</v>
      </c>
      <c r="I302" s="13" t="s">
        <v>1525</v>
      </c>
      <c r="J302" s="11" t="s">
        <v>181</v>
      </c>
      <c r="K302" s="13" t="s">
        <v>1526</v>
      </c>
      <c r="L302" s="47" t="s">
        <v>1527</v>
      </c>
      <c r="M302" s="26">
        <v>45321</v>
      </c>
      <c r="N302" s="13" t="s">
        <v>57</v>
      </c>
      <c r="O302" s="20"/>
      <c r="P302" s="20"/>
      <c r="Q302" s="1">
        <v>340</v>
      </c>
      <c r="R302" s="1"/>
      <c r="S302" s="1"/>
      <c r="T302" s="1"/>
      <c r="U302" s="1"/>
      <c r="V302" s="1">
        <v>340</v>
      </c>
      <c r="W302" s="1">
        <v>340</v>
      </c>
      <c r="X302" s="1"/>
      <c r="Y302" s="1"/>
      <c r="Z302" s="1"/>
      <c r="AA302" s="1"/>
      <c r="AB302" s="1"/>
      <c r="AC302" s="20"/>
      <c r="AD302" s="20"/>
      <c r="AE302" s="1">
        <f t="shared" si="23"/>
        <v>3</v>
      </c>
      <c r="AF302" s="1">
        <f t="shared" si="20"/>
        <v>340</v>
      </c>
      <c r="AG302" s="11" t="str">
        <f t="shared" si="21"/>
        <v>APROVADO</v>
      </c>
    </row>
    <row r="303" spans="2:33" ht="25.5" hidden="1" x14ac:dyDescent="0.25">
      <c r="B303" s="5">
        <v>298</v>
      </c>
      <c r="C303" s="6" t="s">
        <v>1528</v>
      </c>
      <c r="D303" s="5" t="s">
        <v>33</v>
      </c>
      <c r="E303" s="7" t="s">
        <v>1529</v>
      </c>
      <c r="F303" s="7" t="s">
        <v>1530</v>
      </c>
      <c r="G303" s="7" t="s">
        <v>107</v>
      </c>
      <c r="H303" s="8">
        <v>209880</v>
      </c>
      <c r="I303" s="7" t="s">
        <v>73</v>
      </c>
      <c r="J303" s="7" t="s">
        <v>74</v>
      </c>
      <c r="K303" s="7" t="s">
        <v>1531</v>
      </c>
      <c r="L303" s="7" t="s">
        <v>1532</v>
      </c>
      <c r="M303" s="10">
        <v>45321</v>
      </c>
      <c r="N303" s="7" t="s">
        <v>67</v>
      </c>
      <c r="O303" s="7"/>
      <c r="P303" s="20"/>
      <c r="Q303" s="40">
        <v>292</v>
      </c>
      <c r="R303" s="1"/>
      <c r="S303" s="1"/>
      <c r="T303" s="1"/>
      <c r="U303" s="1"/>
      <c r="V303" s="1"/>
      <c r="W303" s="1"/>
      <c r="X303" s="1">
        <v>310</v>
      </c>
      <c r="Y303" s="1">
        <v>340</v>
      </c>
      <c r="Z303" s="1"/>
      <c r="AA303" s="1"/>
      <c r="AB303" s="1"/>
      <c r="AC303" s="1"/>
      <c r="AD303" s="1"/>
      <c r="AE303" s="1">
        <f t="shared" si="23"/>
        <v>3</v>
      </c>
      <c r="AF303" s="1">
        <f t="shared" si="20"/>
        <v>314</v>
      </c>
      <c r="AG303" s="11" t="str">
        <f t="shared" si="21"/>
        <v>APROVADO</v>
      </c>
    </row>
    <row r="304" spans="2:33" ht="25.5" hidden="1" x14ac:dyDescent="0.25">
      <c r="B304" s="5">
        <v>299</v>
      </c>
      <c r="C304" s="16" t="s">
        <v>1533</v>
      </c>
      <c r="D304" s="5" t="s">
        <v>33</v>
      </c>
      <c r="E304" s="7" t="s">
        <v>1534</v>
      </c>
      <c r="F304" s="7" t="s">
        <v>1535</v>
      </c>
      <c r="G304" s="7" t="s">
        <v>36</v>
      </c>
      <c r="H304" s="8">
        <v>73900</v>
      </c>
      <c r="I304" s="7" t="s">
        <v>1536</v>
      </c>
      <c r="J304" s="7" t="s">
        <v>445</v>
      </c>
      <c r="K304" s="7" t="s">
        <v>1537</v>
      </c>
      <c r="L304" s="9" t="s">
        <v>1538</v>
      </c>
      <c r="M304" s="10">
        <v>45321</v>
      </c>
      <c r="N304" s="7" t="s">
        <v>82</v>
      </c>
      <c r="O304" s="7" t="s">
        <v>845</v>
      </c>
      <c r="P304" s="20"/>
      <c r="Q304" s="40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 t="e">
        <f t="shared" si="20"/>
        <v>#DIV/0!</v>
      </c>
      <c r="AG304" s="11" t="e">
        <f t="shared" si="21"/>
        <v>#DIV/0!</v>
      </c>
    </row>
    <row r="305" spans="2:33" ht="38.25" hidden="1" x14ac:dyDescent="0.25">
      <c r="B305" s="5">
        <v>300</v>
      </c>
      <c r="C305" s="6" t="s">
        <v>1539</v>
      </c>
      <c r="D305" s="5" t="s">
        <v>33</v>
      </c>
      <c r="E305" s="7" t="s">
        <v>1540</v>
      </c>
      <c r="F305" s="7" t="s">
        <v>1541</v>
      </c>
      <c r="G305" s="7" t="s">
        <v>36</v>
      </c>
      <c r="H305" s="8">
        <v>593611.06000000006</v>
      </c>
      <c r="I305" s="7" t="s">
        <v>73</v>
      </c>
      <c r="J305" s="5" t="s">
        <v>74</v>
      </c>
      <c r="K305" s="7" t="s">
        <v>1542</v>
      </c>
      <c r="L305" s="31" t="s">
        <v>1543</v>
      </c>
      <c r="M305" s="10">
        <v>45321</v>
      </c>
      <c r="N305" s="7" t="s">
        <v>67</v>
      </c>
      <c r="O305" s="7"/>
      <c r="P305" s="20"/>
      <c r="Q305" s="40">
        <v>302</v>
      </c>
      <c r="R305" s="1">
        <v>248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>
        <v>306</v>
      </c>
      <c r="AE305" s="1">
        <f t="shared" ref="AE305:AE317" si="24">COUNT(Q305:AD305)</f>
        <v>3</v>
      </c>
      <c r="AF305" s="1">
        <f t="shared" si="20"/>
        <v>285.33333333333331</v>
      </c>
      <c r="AG305" s="11" t="str">
        <f t="shared" si="21"/>
        <v>APROVADO</v>
      </c>
    </row>
    <row r="306" spans="2:33" ht="25.5" hidden="1" x14ac:dyDescent="0.25">
      <c r="B306" s="5">
        <v>301</v>
      </c>
      <c r="C306" s="27" t="s">
        <v>1544</v>
      </c>
      <c r="D306" s="5" t="s">
        <v>33</v>
      </c>
      <c r="E306" s="7" t="s">
        <v>1545</v>
      </c>
      <c r="F306" s="7" t="s">
        <v>1546</v>
      </c>
      <c r="G306" s="7" t="s">
        <v>36</v>
      </c>
      <c r="H306" s="8">
        <v>49740</v>
      </c>
      <c r="I306" s="7" t="s">
        <v>1547</v>
      </c>
      <c r="J306" s="7" t="s">
        <v>445</v>
      </c>
      <c r="K306" s="7" t="s">
        <v>1548</v>
      </c>
      <c r="L306" s="9" t="s">
        <v>1549</v>
      </c>
      <c r="M306" s="10">
        <v>45321</v>
      </c>
      <c r="N306" s="7" t="s">
        <v>41</v>
      </c>
      <c r="O306" s="7"/>
      <c r="P306" s="20"/>
      <c r="Q306" s="40">
        <v>340</v>
      </c>
      <c r="R306" s="1">
        <v>178</v>
      </c>
      <c r="S306" s="1">
        <v>251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>
        <f t="shared" si="24"/>
        <v>3</v>
      </c>
      <c r="AF306" s="1">
        <f t="shared" si="20"/>
        <v>256.33333333333331</v>
      </c>
      <c r="AG306" s="11" t="str">
        <f t="shared" si="21"/>
        <v>APROVADO</v>
      </c>
    </row>
    <row r="307" spans="2:33" ht="38.25" hidden="1" x14ac:dyDescent="0.25">
      <c r="B307" s="5">
        <v>302</v>
      </c>
      <c r="C307" s="27" t="s">
        <v>1550</v>
      </c>
      <c r="D307" s="5" t="s">
        <v>33</v>
      </c>
      <c r="E307" s="7" t="s">
        <v>1551</v>
      </c>
      <c r="F307" s="7" t="s">
        <v>1552</v>
      </c>
      <c r="G307" s="7" t="s">
        <v>36</v>
      </c>
      <c r="H307" s="8">
        <v>28800</v>
      </c>
      <c r="I307" s="7" t="s">
        <v>1553</v>
      </c>
      <c r="J307" s="7" t="s">
        <v>64</v>
      </c>
      <c r="K307" s="7" t="s">
        <v>1554</v>
      </c>
      <c r="L307" s="9" t="s">
        <v>1555</v>
      </c>
      <c r="M307" s="10">
        <v>45321</v>
      </c>
      <c r="N307" s="7" t="s">
        <v>41</v>
      </c>
      <c r="O307" s="7"/>
      <c r="P307" s="20"/>
      <c r="Q307" s="40">
        <v>334</v>
      </c>
      <c r="R307" s="1">
        <v>275</v>
      </c>
      <c r="S307" s="1">
        <v>253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>
        <f t="shared" si="24"/>
        <v>3</v>
      </c>
      <c r="AF307" s="1">
        <f t="shared" si="20"/>
        <v>287.33333333333331</v>
      </c>
      <c r="AG307" s="11" t="str">
        <f t="shared" si="21"/>
        <v>APROVADO</v>
      </c>
    </row>
    <row r="308" spans="2:33" ht="25.5" hidden="1" x14ac:dyDescent="0.25">
      <c r="B308" s="5">
        <v>303</v>
      </c>
      <c r="C308" s="27" t="s">
        <v>1556</v>
      </c>
      <c r="D308" s="5" t="s">
        <v>33</v>
      </c>
      <c r="E308" s="7" t="s">
        <v>172</v>
      </c>
      <c r="F308" s="7" t="s">
        <v>1557</v>
      </c>
      <c r="G308" s="7" t="s">
        <v>36</v>
      </c>
      <c r="H308" s="8">
        <v>69500</v>
      </c>
      <c r="I308" s="7" t="s">
        <v>1558</v>
      </c>
      <c r="J308" s="7" t="s">
        <v>445</v>
      </c>
      <c r="K308" s="7" t="s">
        <v>1559</v>
      </c>
      <c r="L308" s="9" t="s">
        <v>1560</v>
      </c>
      <c r="M308" s="10">
        <v>45321</v>
      </c>
      <c r="N308" s="7" t="s">
        <v>41</v>
      </c>
      <c r="O308" s="7"/>
      <c r="P308" s="20"/>
      <c r="Q308" s="40">
        <v>340</v>
      </c>
      <c r="R308" s="1">
        <v>169</v>
      </c>
      <c r="S308" s="1"/>
      <c r="T308" s="1"/>
      <c r="U308" s="1"/>
      <c r="V308" s="1"/>
      <c r="W308" s="1"/>
      <c r="X308" s="1"/>
      <c r="Y308" s="1"/>
      <c r="Z308" s="1"/>
      <c r="AA308" s="1"/>
      <c r="AB308" s="1">
        <v>331</v>
      </c>
      <c r="AC308" s="1"/>
      <c r="AD308" s="1"/>
      <c r="AE308" s="1">
        <f t="shared" si="24"/>
        <v>3</v>
      </c>
      <c r="AF308" s="1">
        <f t="shared" si="20"/>
        <v>280</v>
      </c>
      <c r="AG308" s="11" t="str">
        <f t="shared" si="21"/>
        <v>APROVADO</v>
      </c>
    </row>
    <row r="309" spans="2:33" ht="25.5" hidden="1" x14ac:dyDescent="0.25">
      <c r="B309" s="5">
        <v>304</v>
      </c>
      <c r="C309" s="24" t="s">
        <v>1561</v>
      </c>
      <c r="D309" s="5" t="s">
        <v>51</v>
      </c>
      <c r="E309" s="13" t="s">
        <v>1562</v>
      </c>
      <c r="F309" s="13" t="s">
        <v>1563</v>
      </c>
      <c r="G309" s="14" t="s">
        <v>36</v>
      </c>
      <c r="H309" s="28">
        <v>64375</v>
      </c>
      <c r="I309" s="13" t="s">
        <v>1564</v>
      </c>
      <c r="J309" s="11" t="s">
        <v>189</v>
      </c>
      <c r="K309" s="13" t="s">
        <v>1565</v>
      </c>
      <c r="L309" s="13" t="s">
        <v>1566</v>
      </c>
      <c r="M309" s="26">
        <v>45321</v>
      </c>
      <c r="N309" s="13" t="s">
        <v>41</v>
      </c>
      <c r="O309" s="13"/>
      <c r="P309" s="20"/>
      <c r="Q309" s="1">
        <v>340</v>
      </c>
      <c r="R309" s="1">
        <v>203</v>
      </c>
      <c r="S309" s="1"/>
      <c r="T309" s="1"/>
      <c r="U309" s="1"/>
      <c r="V309" s="1"/>
      <c r="W309" s="1"/>
      <c r="X309" s="1"/>
      <c r="Y309" s="1"/>
      <c r="Z309" s="1">
        <v>326</v>
      </c>
      <c r="AA309" s="1"/>
      <c r="AB309" s="1"/>
      <c r="AC309" s="20"/>
      <c r="AD309" s="20"/>
      <c r="AE309" s="1">
        <f t="shared" si="24"/>
        <v>3</v>
      </c>
      <c r="AF309" s="1">
        <f t="shared" si="20"/>
        <v>289.66666666666669</v>
      </c>
      <c r="AG309" s="11" t="str">
        <f t="shared" si="21"/>
        <v>APROVADO</v>
      </c>
    </row>
    <row r="310" spans="2:33" hidden="1" x14ac:dyDescent="0.25">
      <c r="B310" s="5">
        <v>305</v>
      </c>
      <c r="C310" s="24" t="s">
        <v>1567</v>
      </c>
      <c r="D310" s="5" t="s">
        <v>51</v>
      </c>
      <c r="E310" s="13" t="s">
        <v>1568</v>
      </c>
      <c r="F310" s="13" t="s">
        <v>1569</v>
      </c>
      <c r="G310" s="14" t="s">
        <v>36</v>
      </c>
      <c r="H310" s="28">
        <v>125300</v>
      </c>
      <c r="I310" s="13" t="s">
        <v>1570</v>
      </c>
      <c r="J310" s="11" t="s">
        <v>154</v>
      </c>
      <c r="K310" s="13" t="s">
        <v>1571</v>
      </c>
      <c r="L310" s="30" t="s">
        <v>1572</v>
      </c>
      <c r="M310" s="26">
        <v>45321</v>
      </c>
      <c r="N310" s="13" t="s">
        <v>41</v>
      </c>
      <c r="O310" s="13"/>
      <c r="P310" s="20"/>
      <c r="Q310" s="1">
        <v>310</v>
      </c>
      <c r="R310" s="1">
        <v>200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>
        <v>324</v>
      </c>
      <c r="AD310" s="1"/>
      <c r="AE310" s="1">
        <f t="shared" si="24"/>
        <v>3</v>
      </c>
      <c r="AF310" s="1">
        <f t="shared" si="20"/>
        <v>278</v>
      </c>
      <c r="AG310" s="11" t="str">
        <f t="shared" si="21"/>
        <v>APROVADO</v>
      </c>
    </row>
    <row r="311" spans="2:33" ht="26.25" hidden="1" x14ac:dyDescent="0.25">
      <c r="B311" s="5">
        <v>306</v>
      </c>
      <c r="C311" s="24" t="s">
        <v>1573</v>
      </c>
      <c r="D311" s="5" t="s">
        <v>51</v>
      </c>
      <c r="E311" s="13" t="s">
        <v>1574</v>
      </c>
      <c r="F311" s="13" t="s">
        <v>1575</v>
      </c>
      <c r="G311" s="14" t="s">
        <v>36</v>
      </c>
      <c r="H311" s="28">
        <v>315584</v>
      </c>
      <c r="I311" s="13" t="s">
        <v>1576</v>
      </c>
      <c r="J311" s="11" t="s">
        <v>154</v>
      </c>
      <c r="K311" s="13" t="s">
        <v>1577</v>
      </c>
      <c r="L311" s="14" t="s">
        <v>1578</v>
      </c>
      <c r="M311" s="26">
        <v>45321</v>
      </c>
      <c r="N311" s="13" t="s">
        <v>41</v>
      </c>
      <c r="O311" s="13"/>
      <c r="P311" s="20"/>
      <c r="Q311" s="1">
        <v>326</v>
      </c>
      <c r="R311" s="1">
        <v>207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>
        <v>340</v>
      </c>
      <c r="AD311" s="20"/>
      <c r="AE311" s="1">
        <f t="shared" si="24"/>
        <v>3</v>
      </c>
      <c r="AF311" s="1">
        <f t="shared" si="20"/>
        <v>291</v>
      </c>
      <c r="AG311" s="11" t="str">
        <f t="shared" si="21"/>
        <v>APROVADO</v>
      </c>
    </row>
    <row r="312" spans="2:33" ht="26.25" hidden="1" x14ac:dyDescent="0.25">
      <c r="B312" s="5">
        <v>307</v>
      </c>
      <c r="C312" s="24" t="s">
        <v>1579</v>
      </c>
      <c r="D312" s="5" t="s">
        <v>51</v>
      </c>
      <c r="E312" s="13" t="s">
        <v>1580</v>
      </c>
      <c r="F312" s="14" t="s">
        <v>1581</v>
      </c>
      <c r="G312" s="14" t="s">
        <v>72</v>
      </c>
      <c r="H312" s="28">
        <v>20000</v>
      </c>
      <c r="I312" s="13" t="s">
        <v>1582</v>
      </c>
      <c r="J312" s="11" t="s">
        <v>1414</v>
      </c>
      <c r="K312" s="13" t="s">
        <v>1583</v>
      </c>
      <c r="L312" s="30" t="s">
        <v>1584</v>
      </c>
      <c r="M312" s="26">
        <v>45321</v>
      </c>
      <c r="N312" s="13" t="s">
        <v>57</v>
      </c>
      <c r="O312" s="20"/>
      <c r="P312" s="20"/>
      <c r="Q312" s="1">
        <v>299</v>
      </c>
      <c r="R312" s="1"/>
      <c r="S312" s="1"/>
      <c r="T312" s="1"/>
      <c r="U312" s="1"/>
      <c r="V312" s="1">
        <v>294</v>
      </c>
      <c r="W312" s="1">
        <v>254</v>
      </c>
      <c r="X312" s="1"/>
      <c r="Y312" s="1"/>
      <c r="Z312" s="1"/>
      <c r="AA312" s="1"/>
      <c r="AB312" s="1"/>
      <c r="AC312" s="20"/>
      <c r="AD312" s="20"/>
      <c r="AE312" s="1">
        <f t="shared" si="24"/>
        <v>3</v>
      </c>
      <c r="AF312" s="1">
        <f t="shared" si="20"/>
        <v>282.33333333333331</v>
      </c>
      <c r="AG312" s="11" t="str">
        <f t="shared" si="21"/>
        <v>APROVADO</v>
      </c>
    </row>
    <row r="313" spans="2:33" ht="25.5" hidden="1" x14ac:dyDescent="0.25">
      <c r="B313" s="5">
        <v>308</v>
      </c>
      <c r="C313" s="6" t="s">
        <v>1585</v>
      </c>
      <c r="D313" s="5" t="s">
        <v>33</v>
      </c>
      <c r="E313" s="7" t="s">
        <v>1586</v>
      </c>
      <c r="F313" s="7" t="s">
        <v>1587</v>
      </c>
      <c r="G313" s="7" t="s">
        <v>36</v>
      </c>
      <c r="H313" s="8">
        <v>258000</v>
      </c>
      <c r="I313" s="7" t="s">
        <v>73</v>
      </c>
      <c r="J313" s="5" t="s">
        <v>74</v>
      </c>
      <c r="K313" s="7" t="s">
        <v>1588</v>
      </c>
      <c r="L313" s="9" t="s">
        <v>1589</v>
      </c>
      <c r="M313" s="10">
        <v>45321</v>
      </c>
      <c r="N313" s="7" t="s">
        <v>67</v>
      </c>
      <c r="O313" s="7"/>
      <c r="P313" s="20"/>
      <c r="Q313" s="40">
        <v>340</v>
      </c>
      <c r="R313" s="1">
        <v>232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>
        <v>340</v>
      </c>
      <c r="AE313" s="1">
        <f t="shared" si="24"/>
        <v>3</v>
      </c>
      <c r="AF313" s="1">
        <f t="shared" si="20"/>
        <v>304</v>
      </c>
      <c r="AG313" s="11" t="str">
        <f t="shared" si="21"/>
        <v>APROVADO</v>
      </c>
    </row>
    <row r="314" spans="2:33" ht="25.5" hidden="1" x14ac:dyDescent="0.25">
      <c r="B314" s="5">
        <v>309</v>
      </c>
      <c r="C314" s="6" t="s">
        <v>1590</v>
      </c>
      <c r="D314" s="5" t="s">
        <v>33</v>
      </c>
      <c r="E314" s="7" t="s">
        <v>1591</v>
      </c>
      <c r="F314" s="7" t="s">
        <v>1592</v>
      </c>
      <c r="G314" s="7" t="s">
        <v>36</v>
      </c>
      <c r="H314" s="8">
        <v>250000</v>
      </c>
      <c r="I314" s="7" t="s">
        <v>859</v>
      </c>
      <c r="J314" s="7" t="s">
        <v>181</v>
      </c>
      <c r="K314" s="7" t="s">
        <v>1593</v>
      </c>
      <c r="L314" s="9" t="s">
        <v>1594</v>
      </c>
      <c r="M314" s="10">
        <v>45321</v>
      </c>
      <c r="N314" s="7" t="s">
        <v>67</v>
      </c>
      <c r="O314" s="7"/>
      <c r="P314" s="20"/>
      <c r="Q314" s="40">
        <v>277</v>
      </c>
      <c r="R314" s="1"/>
      <c r="S314" s="1"/>
      <c r="T314" s="1"/>
      <c r="U314" s="1"/>
      <c r="V314" s="1"/>
      <c r="W314" s="1"/>
      <c r="X314" s="1">
        <v>312</v>
      </c>
      <c r="Y314" s="1">
        <v>340</v>
      </c>
      <c r="Z314" s="1"/>
      <c r="AA314" s="1"/>
      <c r="AB314" s="1"/>
      <c r="AC314" s="1"/>
      <c r="AD314" s="1"/>
      <c r="AE314" s="1">
        <f t="shared" si="24"/>
        <v>3</v>
      </c>
      <c r="AF314" s="1">
        <f t="shared" si="20"/>
        <v>309.66666666666669</v>
      </c>
      <c r="AG314" s="11" t="str">
        <f t="shared" si="21"/>
        <v>APROVADO</v>
      </c>
    </row>
    <row r="315" spans="2:33" ht="25.5" hidden="1" x14ac:dyDescent="0.25">
      <c r="B315" s="5">
        <v>310</v>
      </c>
      <c r="C315" s="6" t="s">
        <v>1595</v>
      </c>
      <c r="D315" s="5" t="s">
        <v>33</v>
      </c>
      <c r="E315" s="5" t="s">
        <v>1596</v>
      </c>
      <c r="F315" s="5" t="s">
        <v>1597</v>
      </c>
      <c r="G315" s="7" t="s">
        <v>107</v>
      </c>
      <c r="H315" s="8">
        <v>265000.03999999998</v>
      </c>
      <c r="I315" s="7" t="s">
        <v>859</v>
      </c>
      <c r="J315" s="7" t="s">
        <v>181</v>
      </c>
      <c r="K315" s="7" t="s">
        <v>1598</v>
      </c>
      <c r="L315" s="9" t="s">
        <v>1599</v>
      </c>
      <c r="M315" s="10">
        <v>45321</v>
      </c>
      <c r="N315" s="5" t="s">
        <v>67</v>
      </c>
      <c r="O315" s="7"/>
      <c r="P315" s="20"/>
      <c r="Q315" s="39">
        <v>285</v>
      </c>
      <c r="R315" s="1">
        <v>88</v>
      </c>
      <c r="S315" s="1"/>
      <c r="T315" s="1"/>
      <c r="U315" s="1"/>
      <c r="V315" s="1"/>
      <c r="W315" s="1">
        <v>308</v>
      </c>
      <c r="X315" s="1"/>
      <c r="Y315" s="1"/>
      <c r="Z315" s="1"/>
      <c r="AA315" s="1"/>
      <c r="AB315" s="1"/>
      <c r="AC315" s="1"/>
      <c r="AD315" s="1"/>
      <c r="AE315" s="1">
        <f t="shared" si="24"/>
        <v>3</v>
      </c>
      <c r="AF315" s="1">
        <f t="shared" si="20"/>
        <v>227</v>
      </c>
      <c r="AG315" s="11" t="str">
        <f t="shared" si="21"/>
        <v>APROVADO</v>
      </c>
    </row>
    <row r="316" spans="2:33" hidden="1" x14ac:dyDescent="0.25">
      <c r="B316" s="5">
        <v>311</v>
      </c>
      <c r="C316" s="6" t="s">
        <v>1600</v>
      </c>
      <c r="D316" s="5" t="s">
        <v>33</v>
      </c>
      <c r="E316" s="7" t="s">
        <v>1601</v>
      </c>
      <c r="F316" s="7" t="s">
        <v>1602</v>
      </c>
      <c r="G316" s="7" t="s">
        <v>107</v>
      </c>
      <c r="H316" s="8">
        <v>256600</v>
      </c>
      <c r="I316" s="7" t="s">
        <v>859</v>
      </c>
      <c r="J316" s="7" t="s">
        <v>181</v>
      </c>
      <c r="K316" s="7" t="s">
        <v>1603</v>
      </c>
      <c r="L316" s="9" t="s">
        <v>1604</v>
      </c>
      <c r="M316" s="10">
        <v>45321</v>
      </c>
      <c r="N316" s="7" t="s">
        <v>67</v>
      </c>
      <c r="O316" s="7"/>
      <c r="P316" s="20"/>
      <c r="Q316" s="40">
        <v>286</v>
      </c>
      <c r="R316" s="1"/>
      <c r="S316" s="1"/>
      <c r="T316" s="1"/>
      <c r="U316" s="1"/>
      <c r="V316" s="1">
        <v>265</v>
      </c>
      <c r="W316" s="1">
        <v>292</v>
      </c>
      <c r="X316" s="1"/>
      <c r="Y316" s="1"/>
      <c r="Z316" s="1"/>
      <c r="AA316" s="1"/>
      <c r="AB316" s="1"/>
      <c r="AC316" s="1"/>
      <c r="AD316" s="1"/>
      <c r="AE316" s="1">
        <f t="shared" si="24"/>
        <v>3</v>
      </c>
      <c r="AF316" s="1">
        <f t="shared" si="20"/>
        <v>281</v>
      </c>
      <c r="AG316" s="11" t="str">
        <f t="shared" si="21"/>
        <v>APROVADO</v>
      </c>
    </row>
    <row r="317" spans="2:33" hidden="1" x14ac:dyDescent="0.25">
      <c r="B317" s="5">
        <v>312</v>
      </c>
      <c r="C317" s="6" t="s">
        <v>1605</v>
      </c>
      <c r="D317" s="5" t="s">
        <v>33</v>
      </c>
      <c r="E317" s="5" t="s">
        <v>1606</v>
      </c>
      <c r="F317" s="5" t="s">
        <v>1607</v>
      </c>
      <c r="G317" s="7" t="s">
        <v>36</v>
      </c>
      <c r="H317" s="8">
        <v>436453.9</v>
      </c>
      <c r="I317" s="7" t="s">
        <v>859</v>
      </c>
      <c r="J317" s="7" t="s">
        <v>181</v>
      </c>
      <c r="K317" s="7" t="s">
        <v>1608</v>
      </c>
      <c r="L317" s="9" t="s">
        <v>1609</v>
      </c>
      <c r="M317" s="10">
        <v>45321</v>
      </c>
      <c r="N317" s="5" t="s">
        <v>67</v>
      </c>
      <c r="O317" s="7"/>
      <c r="P317" s="20"/>
      <c r="Q317" s="39">
        <v>340</v>
      </c>
      <c r="R317" s="1">
        <v>183</v>
      </c>
      <c r="S317" s="1"/>
      <c r="T317" s="1"/>
      <c r="U317" s="1"/>
      <c r="V317" s="1"/>
      <c r="W317" s="1">
        <v>294</v>
      </c>
      <c r="X317" s="1"/>
      <c r="Y317" s="1"/>
      <c r="Z317" s="1"/>
      <c r="AA317" s="1"/>
      <c r="AB317" s="1"/>
      <c r="AC317" s="1"/>
      <c r="AD317" s="1"/>
      <c r="AE317" s="1">
        <f t="shared" si="24"/>
        <v>3</v>
      </c>
      <c r="AF317" s="1">
        <f t="shared" si="20"/>
        <v>272.33333333333331</v>
      </c>
      <c r="AG317" s="11" t="str">
        <f t="shared" si="21"/>
        <v>APROVADO</v>
      </c>
    </row>
    <row r="318" spans="2:33" ht="25.5" hidden="1" x14ac:dyDescent="0.25">
      <c r="B318" s="5">
        <v>313</v>
      </c>
      <c r="C318" s="16" t="s">
        <v>1610</v>
      </c>
      <c r="D318" s="5" t="s">
        <v>33</v>
      </c>
      <c r="E318" s="7" t="s">
        <v>1611</v>
      </c>
      <c r="F318" s="7" t="s">
        <v>1612</v>
      </c>
      <c r="G318" s="7" t="s">
        <v>36</v>
      </c>
      <c r="H318" s="8">
        <v>0</v>
      </c>
      <c r="I318" s="7" t="s">
        <v>859</v>
      </c>
      <c r="J318" s="7" t="s">
        <v>181</v>
      </c>
      <c r="K318" s="7" t="s">
        <v>1613</v>
      </c>
      <c r="L318" s="9" t="s">
        <v>1614</v>
      </c>
      <c r="M318" s="10">
        <v>45321</v>
      </c>
      <c r="N318" s="7" t="s">
        <v>82</v>
      </c>
      <c r="O318" s="7" t="s">
        <v>1615</v>
      </c>
      <c r="P318" s="20"/>
      <c r="Q318" s="40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 t="e">
        <f t="shared" si="20"/>
        <v>#DIV/0!</v>
      </c>
      <c r="AG318" s="11" t="e">
        <f t="shared" si="21"/>
        <v>#DIV/0!</v>
      </c>
    </row>
    <row r="319" spans="2:33" ht="38.25" hidden="1" x14ac:dyDescent="0.25">
      <c r="B319" s="5">
        <v>314</v>
      </c>
      <c r="C319" s="27" t="s">
        <v>1616</v>
      </c>
      <c r="D319" s="5" t="s">
        <v>33</v>
      </c>
      <c r="E319" s="7" t="s">
        <v>1617</v>
      </c>
      <c r="F319" s="7" t="s">
        <v>1618</v>
      </c>
      <c r="G319" s="7" t="s">
        <v>36</v>
      </c>
      <c r="H319" s="8">
        <v>527498.06999999995</v>
      </c>
      <c r="I319" s="7" t="s">
        <v>108</v>
      </c>
      <c r="J319" s="7" t="s">
        <v>95</v>
      </c>
      <c r="K319" s="7" t="s">
        <v>1619</v>
      </c>
      <c r="L319" s="9" t="s">
        <v>1620</v>
      </c>
      <c r="M319" s="10">
        <v>45321</v>
      </c>
      <c r="N319" s="7" t="s">
        <v>41</v>
      </c>
      <c r="O319" s="7"/>
      <c r="P319" s="20"/>
      <c r="Q319" s="40">
        <v>340</v>
      </c>
      <c r="R319" s="1">
        <v>300</v>
      </c>
      <c r="S319" s="1"/>
      <c r="T319" s="1"/>
      <c r="U319" s="1"/>
      <c r="V319" s="1"/>
      <c r="W319" s="1"/>
      <c r="X319" s="1"/>
      <c r="Y319" s="1"/>
      <c r="Z319" s="1">
        <v>308</v>
      </c>
      <c r="AA319" s="1"/>
      <c r="AB319" s="1"/>
      <c r="AC319" s="1"/>
      <c r="AD319" s="1"/>
      <c r="AE319" s="1">
        <f>COUNT(Q319:AD319)</f>
        <v>3</v>
      </c>
      <c r="AF319" s="1">
        <f t="shared" si="20"/>
        <v>316</v>
      </c>
      <c r="AG319" s="11" t="str">
        <f t="shared" si="21"/>
        <v>APROVADO</v>
      </c>
    </row>
    <row r="320" spans="2:33" ht="26.25" hidden="1" x14ac:dyDescent="0.25">
      <c r="B320" s="5">
        <v>315</v>
      </c>
      <c r="C320" s="24" t="s">
        <v>1621</v>
      </c>
      <c r="D320" s="5" t="s">
        <v>51</v>
      </c>
      <c r="E320" s="13" t="s">
        <v>1622</v>
      </c>
      <c r="F320" s="14" t="s">
        <v>1623</v>
      </c>
      <c r="G320" s="14" t="s">
        <v>36</v>
      </c>
      <c r="H320" s="28">
        <v>500000</v>
      </c>
      <c r="I320" s="13" t="s">
        <v>1624</v>
      </c>
      <c r="J320" s="11" t="s">
        <v>154</v>
      </c>
      <c r="K320" s="14" t="s">
        <v>1625</v>
      </c>
      <c r="L320" s="14" t="s">
        <v>1626</v>
      </c>
      <c r="M320" s="26">
        <v>45321</v>
      </c>
      <c r="N320" s="13" t="s">
        <v>57</v>
      </c>
      <c r="O320" s="13"/>
      <c r="P320" s="20"/>
      <c r="Q320" s="1">
        <v>254</v>
      </c>
      <c r="R320" s="1"/>
      <c r="S320" s="1"/>
      <c r="T320" s="1"/>
      <c r="U320" s="1"/>
      <c r="V320" s="1">
        <v>270</v>
      </c>
      <c r="W320" s="1">
        <v>252</v>
      </c>
      <c r="X320" s="1"/>
      <c r="Y320" s="1"/>
      <c r="Z320" s="1"/>
      <c r="AA320" s="1"/>
      <c r="AB320" s="1"/>
      <c r="AC320" s="20"/>
      <c r="AD320" s="20"/>
      <c r="AE320" s="1">
        <f>COUNT(Q320:AD320)</f>
        <v>3</v>
      </c>
      <c r="AF320" s="1">
        <f t="shared" si="20"/>
        <v>258.66666666666669</v>
      </c>
      <c r="AG320" s="11" t="str">
        <f t="shared" si="21"/>
        <v>APROVADO</v>
      </c>
    </row>
    <row r="321" spans="2:33" ht="39" hidden="1" x14ac:dyDescent="0.25">
      <c r="B321" s="5">
        <v>316</v>
      </c>
      <c r="C321" s="35" t="s">
        <v>1627</v>
      </c>
      <c r="D321" s="5" t="s">
        <v>51</v>
      </c>
      <c r="E321" s="13" t="s">
        <v>1628</v>
      </c>
      <c r="F321" s="14" t="s">
        <v>1629</v>
      </c>
      <c r="G321" s="14" t="s">
        <v>36</v>
      </c>
      <c r="H321" s="28">
        <v>100000</v>
      </c>
      <c r="I321" s="13" t="s">
        <v>175</v>
      </c>
      <c r="J321" s="11" t="s">
        <v>123</v>
      </c>
      <c r="K321" s="14" t="s">
        <v>1630</v>
      </c>
      <c r="L321" s="47" t="s">
        <v>1631</v>
      </c>
      <c r="M321" s="26">
        <v>45321</v>
      </c>
      <c r="N321" s="13" t="s">
        <v>226</v>
      </c>
      <c r="O321" s="20" t="s">
        <v>227</v>
      </c>
      <c r="P321" s="20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0"/>
      <c r="AD321" s="20"/>
      <c r="AE321" s="20"/>
      <c r="AF321" s="1" t="e">
        <f t="shared" si="20"/>
        <v>#DIV/0!</v>
      </c>
      <c r="AG321" s="11" t="e">
        <f t="shared" si="21"/>
        <v>#DIV/0!</v>
      </c>
    </row>
    <row r="322" spans="2:33" ht="39" hidden="1" x14ac:dyDescent="0.25">
      <c r="B322" s="5">
        <v>317</v>
      </c>
      <c r="C322" s="22" t="s">
        <v>1632</v>
      </c>
      <c r="D322" s="5" t="s">
        <v>51</v>
      </c>
      <c r="E322" s="13" t="s">
        <v>1628</v>
      </c>
      <c r="F322" s="14" t="s">
        <v>1633</v>
      </c>
      <c r="G322" s="14" t="s">
        <v>36</v>
      </c>
      <c r="H322" s="28">
        <v>432000</v>
      </c>
      <c r="I322" s="13" t="s">
        <v>175</v>
      </c>
      <c r="J322" s="11" t="s">
        <v>123</v>
      </c>
      <c r="K322" s="14" t="s">
        <v>1630</v>
      </c>
      <c r="L322" s="43" t="s">
        <v>1631</v>
      </c>
      <c r="M322" s="26">
        <v>45321</v>
      </c>
      <c r="N322" s="13" t="s">
        <v>57</v>
      </c>
      <c r="O322" s="20"/>
      <c r="P322" s="20"/>
      <c r="Q322" s="1">
        <v>323</v>
      </c>
      <c r="R322" s="1"/>
      <c r="S322" s="1"/>
      <c r="T322" s="1"/>
      <c r="U322" s="1"/>
      <c r="V322" s="1"/>
      <c r="W322" s="1"/>
      <c r="X322" s="1"/>
      <c r="Y322" s="1">
        <v>292</v>
      </c>
      <c r="Z322" s="1"/>
      <c r="AA322" s="1"/>
      <c r="AB322" s="1">
        <v>232</v>
      </c>
      <c r="AC322" s="20"/>
      <c r="AD322" s="20"/>
      <c r="AE322" s="1">
        <f>COUNT(Q322:AD322)</f>
        <v>3</v>
      </c>
      <c r="AF322" s="1">
        <f t="shared" si="20"/>
        <v>282.33333333333331</v>
      </c>
      <c r="AG322" s="11" t="str">
        <f t="shared" si="21"/>
        <v>APROVADO</v>
      </c>
    </row>
    <row r="323" spans="2:33" ht="25.5" hidden="1" x14ac:dyDescent="0.25">
      <c r="B323" s="5">
        <v>318</v>
      </c>
      <c r="C323" s="16" t="s">
        <v>1634</v>
      </c>
      <c r="D323" s="5" t="s">
        <v>33</v>
      </c>
      <c r="E323" s="7" t="s">
        <v>1635</v>
      </c>
      <c r="F323" s="7" t="s">
        <v>1636</v>
      </c>
      <c r="G323" s="7" t="s">
        <v>36</v>
      </c>
      <c r="H323" s="8">
        <v>1000000</v>
      </c>
      <c r="I323" s="7" t="s">
        <v>1637</v>
      </c>
      <c r="J323" s="7" t="s">
        <v>235</v>
      </c>
      <c r="K323" s="7" t="s">
        <v>1638</v>
      </c>
      <c r="L323" s="9" t="s">
        <v>1639</v>
      </c>
      <c r="M323" s="10">
        <v>45321</v>
      </c>
      <c r="N323" s="7" t="s">
        <v>82</v>
      </c>
      <c r="O323" s="7" t="s">
        <v>1640</v>
      </c>
      <c r="P323" s="20"/>
      <c r="Q323" s="40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 t="e">
        <f t="shared" si="20"/>
        <v>#DIV/0!</v>
      </c>
      <c r="AG323" s="11" t="e">
        <f t="shared" si="21"/>
        <v>#DIV/0!</v>
      </c>
    </row>
    <row r="324" spans="2:33" ht="38.25" hidden="1" x14ac:dyDescent="0.25">
      <c r="B324" s="5">
        <v>319</v>
      </c>
      <c r="C324" s="16" t="s">
        <v>1641</v>
      </c>
      <c r="D324" s="5" t="s">
        <v>33</v>
      </c>
      <c r="E324" s="7" t="s">
        <v>1642</v>
      </c>
      <c r="F324" s="7" t="s">
        <v>1643</v>
      </c>
      <c r="G324" s="7" t="s">
        <v>36</v>
      </c>
      <c r="H324" s="8">
        <v>161880</v>
      </c>
      <c r="I324" s="7" t="s">
        <v>94</v>
      </c>
      <c r="J324" s="5" t="s">
        <v>95</v>
      </c>
      <c r="K324" s="7" t="s">
        <v>1644</v>
      </c>
      <c r="L324" s="9" t="s">
        <v>1645</v>
      </c>
      <c r="M324" s="10">
        <v>45321</v>
      </c>
      <c r="N324" s="7" t="s">
        <v>82</v>
      </c>
      <c r="O324" s="7" t="s">
        <v>1646</v>
      </c>
      <c r="P324" s="20"/>
      <c r="Q324" s="40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 t="e">
        <f t="shared" si="20"/>
        <v>#DIV/0!</v>
      </c>
      <c r="AG324" s="11" t="e">
        <f t="shared" si="21"/>
        <v>#DIV/0!</v>
      </c>
    </row>
    <row r="325" spans="2:33" ht="38.25" hidden="1" x14ac:dyDescent="0.25">
      <c r="B325" s="5">
        <v>320</v>
      </c>
      <c r="C325" s="16" t="s">
        <v>1647</v>
      </c>
      <c r="D325" s="5" t="s">
        <v>33</v>
      </c>
      <c r="E325" s="7" t="s">
        <v>1642</v>
      </c>
      <c r="F325" s="7" t="s">
        <v>1648</v>
      </c>
      <c r="G325" s="7" t="s">
        <v>36</v>
      </c>
      <c r="H325" s="8">
        <v>190080</v>
      </c>
      <c r="I325" s="7" t="s">
        <v>94</v>
      </c>
      <c r="J325" s="5" t="s">
        <v>95</v>
      </c>
      <c r="K325" s="7" t="s">
        <v>1644</v>
      </c>
      <c r="L325" s="9" t="s">
        <v>1645</v>
      </c>
      <c r="M325" s="10">
        <v>45321</v>
      </c>
      <c r="N325" s="7" t="s">
        <v>82</v>
      </c>
      <c r="O325" s="7" t="s">
        <v>1649</v>
      </c>
      <c r="P325" s="20"/>
      <c r="Q325" s="40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 t="e">
        <f t="shared" ref="AF325:AF388" si="25">AVERAGE(Q325:AD325)</f>
        <v>#DIV/0!</v>
      </c>
      <c r="AG325" s="11" t="e">
        <f t="shared" ref="AG325:AG388" si="26">IF(AF325&gt;=$AG$1,"APROVADO","REPROVADO")</f>
        <v>#DIV/0!</v>
      </c>
    </row>
    <row r="326" spans="2:33" ht="25.5" hidden="1" x14ac:dyDescent="0.25">
      <c r="B326" s="5">
        <v>321</v>
      </c>
      <c r="C326" s="27" t="s">
        <v>1650</v>
      </c>
      <c r="D326" s="5" t="s">
        <v>33</v>
      </c>
      <c r="E326" s="7" t="s">
        <v>1651</v>
      </c>
      <c r="F326" s="7" t="s">
        <v>1652</v>
      </c>
      <c r="G326" s="7" t="s">
        <v>36</v>
      </c>
      <c r="H326" s="8">
        <v>260167.01</v>
      </c>
      <c r="I326" s="7" t="s">
        <v>240</v>
      </c>
      <c r="J326" s="5" t="s">
        <v>241</v>
      </c>
      <c r="K326" s="7" t="s">
        <v>1653</v>
      </c>
      <c r="L326" s="9" t="s">
        <v>1654</v>
      </c>
      <c r="M326" s="10">
        <v>45321</v>
      </c>
      <c r="N326" s="7" t="s">
        <v>41</v>
      </c>
      <c r="O326" s="7"/>
      <c r="P326" s="20"/>
      <c r="Q326" s="40">
        <v>315</v>
      </c>
      <c r="R326" s="1">
        <v>180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>
        <v>328</v>
      </c>
      <c r="AD326" s="1"/>
      <c r="AE326" s="1">
        <f t="shared" ref="AE326:AE334" si="27">COUNT(Q326:AD326)</f>
        <v>3</v>
      </c>
      <c r="AF326" s="1">
        <f t="shared" si="25"/>
        <v>274.33333333333331</v>
      </c>
      <c r="AG326" s="11" t="str">
        <f t="shared" si="26"/>
        <v>APROVADO</v>
      </c>
    </row>
    <row r="327" spans="2:33" ht="25.5" hidden="1" x14ac:dyDescent="0.25">
      <c r="B327" s="5">
        <v>322</v>
      </c>
      <c r="C327" s="6" t="s">
        <v>1655</v>
      </c>
      <c r="D327" s="5" t="s">
        <v>33</v>
      </c>
      <c r="E327" s="5" t="s">
        <v>1656</v>
      </c>
      <c r="F327" s="5" t="s">
        <v>1657</v>
      </c>
      <c r="G327" s="7" t="s">
        <v>36</v>
      </c>
      <c r="H327" s="8">
        <v>489600</v>
      </c>
      <c r="I327" s="7" t="s">
        <v>201</v>
      </c>
      <c r="J327" s="7" t="s">
        <v>202</v>
      </c>
      <c r="K327" s="7" t="s">
        <v>1658</v>
      </c>
      <c r="L327" s="9" t="s">
        <v>1659</v>
      </c>
      <c r="M327" s="10">
        <v>45321</v>
      </c>
      <c r="N327" s="5" t="s">
        <v>67</v>
      </c>
      <c r="O327" s="7"/>
      <c r="P327" s="20"/>
      <c r="Q327" s="39">
        <v>235</v>
      </c>
      <c r="R327" s="1">
        <v>98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>
        <v>323</v>
      </c>
      <c r="AD327" s="1"/>
      <c r="AE327" s="1">
        <f t="shared" si="27"/>
        <v>3</v>
      </c>
      <c r="AF327" s="1">
        <f t="shared" si="25"/>
        <v>218.66666666666666</v>
      </c>
      <c r="AG327" s="11" t="str">
        <f t="shared" si="26"/>
        <v>APROVADO</v>
      </c>
    </row>
    <row r="328" spans="2:33" hidden="1" x14ac:dyDescent="0.25">
      <c r="B328" s="5">
        <v>323</v>
      </c>
      <c r="C328" s="27" t="s">
        <v>1660</v>
      </c>
      <c r="D328" s="5" t="s">
        <v>33</v>
      </c>
      <c r="E328" s="7" t="s">
        <v>1661</v>
      </c>
      <c r="F328" s="7" t="s">
        <v>1662</v>
      </c>
      <c r="G328" s="5" t="s">
        <v>62</v>
      </c>
      <c r="H328" s="8">
        <v>204464</v>
      </c>
      <c r="I328" s="7" t="s">
        <v>1663</v>
      </c>
      <c r="J328" s="7" t="s">
        <v>391</v>
      </c>
      <c r="K328" s="7" t="s">
        <v>1664</v>
      </c>
      <c r="L328" s="9" t="s">
        <v>1665</v>
      </c>
      <c r="M328" s="10">
        <v>45321</v>
      </c>
      <c r="N328" s="7" t="s">
        <v>41</v>
      </c>
      <c r="O328" s="7"/>
      <c r="P328" s="20"/>
      <c r="Q328" s="40">
        <v>336</v>
      </c>
      <c r="R328" s="1">
        <v>229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>
        <v>306</v>
      </c>
      <c r="AD328" s="1"/>
      <c r="AE328" s="1">
        <f t="shared" si="27"/>
        <v>3</v>
      </c>
      <c r="AF328" s="1">
        <f t="shared" si="25"/>
        <v>290.33333333333331</v>
      </c>
      <c r="AG328" s="11" t="str">
        <f t="shared" si="26"/>
        <v>APROVADO</v>
      </c>
    </row>
    <row r="329" spans="2:33" hidden="1" x14ac:dyDescent="0.25">
      <c r="B329" s="5">
        <v>324</v>
      </c>
      <c r="C329" s="27" t="s">
        <v>1666</v>
      </c>
      <c r="D329" s="5" t="s">
        <v>33</v>
      </c>
      <c r="E329" s="7" t="s">
        <v>1667</v>
      </c>
      <c r="F329" s="7" t="s">
        <v>1668</v>
      </c>
      <c r="G329" s="5" t="s">
        <v>62</v>
      </c>
      <c r="H329" s="8">
        <v>166702.20000000001</v>
      </c>
      <c r="I329" s="7" t="s">
        <v>538</v>
      </c>
      <c r="J329" s="7" t="s">
        <v>115</v>
      </c>
      <c r="K329" s="7" t="s">
        <v>1669</v>
      </c>
      <c r="L329" s="9" t="s">
        <v>1670</v>
      </c>
      <c r="M329" s="10">
        <v>45321</v>
      </c>
      <c r="N329" s="7" t="s">
        <v>41</v>
      </c>
      <c r="O329" s="7"/>
      <c r="P329" s="20"/>
      <c r="Q329" s="40">
        <v>314</v>
      </c>
      <c r="R329" s="1">
        <v>269</v>
      </c>
      <c r="S329" s="1"/>
      <c r="T329" s="1"/>
      <c r="U329" s="1"/>
      <c r="V329" s="1"/>
      <c r="W329" s="1"/>
      <c r="X329" s="1"/>
      <c r="Y329" s="1"/>
      <c r="Z329" s="1"/>
      <c r="AA329" s="1"/>
      <c r="AB329" s="1">
        <v>333</v>
      </c>
      <c r="AC329" s="1"/>
      <c r="AD329" s="1"/>
      <c r="AE329" s="1">
        <f t="shared" si="27"/>
        <v>3</v>
      </c>
      <c r="AF329" s="1">
        <f t="shared" si="25"/>
        <v>305.33333333333331</v>
      </c>
      <c r="AG329" s="11" t="str">
        <f t="shared" si="26"/>
        <v>APROVADO</v>
      </c>
    </row>
    <row r="330" spans="2:33" ht="25.5" hidden="1" x14ac:dyDescent="0.25">
      <c r="B330" s="5">
        <v>325</v>
      </c>
      <c r="C330" s="27" t="s">
        <v>1671</v>
      </c>
      <c r="D330" s="5" t="s">
        <v>33</v>
      </c>
      <c r="E330" s="7" t="s">
        <v>1667</v>
      </c>
      <c r="F330" s="7" t="s">
        <v>1672</v>
      </c>
      <c r="G330" s="7" t="s">
        <v>300</v>
      </c>
      <c r="H330" s="8">
        <v>72000</v>
      </c>
      <c r="I330" s="7" t="s">
        <v>538</v>
      </c>
      <c r="J330" s="7" t="s">
        <v>115</v>
      </c>
      <c r="K330" s="7" t="s">
        <v>1669</v>
      </c>
      <c r="L330" s="9" t="s">
        <v>1670</v>
      </c>
      <c r="M330" s="10">
        <v>45321</v>
      </c>
      <c r="N330" s="7" t="s">
        <v>41</v>
      </c>
      <c r="O330" s="7"/>
      <c r="P330" s="20"/>
      <c r="Q330" s="40">
        <v>320</v>
      </c>
      <c r="R330" s="1">
        <v>243</v>
      </c>
      <c r="S330" s="1"/>
      <c r="T330" s="1"/>
      <c r="U330" s="1"/>
      <c r="V330" s="1"/>
      <c r="W330" s="1"/>
      <c r="X330" s="1"/>
      <c r="Y330" s="1"/>
      <c r="Z330" s="1">
        <v>254</v>
      </c>
      <c r="AA330" s="1"/>
      <c r="AB330" s="1"/>
      <c r="AC330" s="1"/>
      <c r="AD330" s="1"/>
      <c r="AE330" s="1">
        <f t="shared" si="27"/>
        <v>3</v>
      </c>
      <c r="AF330" s="1">
        <f t="shared" si="25"/>
        <v>272.33333333333331</v>
      </c>
      <c r="AG330" s="11" t="str">
        <f t="shared" si="26"/>
        <v>APROVADO</v>
      </c>
    </row>
    <row r="331" spans="2:33" ht="38.25" hidden="1" x14ac:dyDescent="0.25">
      <c r="B331" s="5">
        <v>326</v>
      </c>
      <c r="C331" s="27" t="s">
        <v>1673</v>
      </c>
      <c r="D331" s="5" t="s">
        <v>33</v>
      </c>
      <c r="E331" s="7" t="s">
        <v>1667</v>
      </c>
      <c r="F331" s="7" t="s">
        <v>1674</v>
      </c>
      <c r="G331" s="5" t="s">
        <v>62</v>
      </c>
      <c r="H331" s="8">
        <v>521505.34</v>
      </c>
      <c r="I331" s="7" t="s">
        <v>538</v>
      </c>
      <c r="J331" s="7" t="s">
        <v>115</v>
      </c>
      <c r="K331" s="7" t="s">
        <v>1669</v>
      </c>
      <c r="L331" s="9" t="s">
        <v>1670</v>
      </c>
      <c r="M331" s="10">
        <v>45321</v>
      </c>
      <c r="N331" s="7" t="s">
        <v>41</v>
      </c>
      <c r="O331" s="7"/>
      <c r="P331" s="20"/>
      <c r="Q331" s="40">
        <v>340</v>
      </c>
      <c r="R331" s="1">
        <v>244</v>
      </c>
      <c r="S331" s="1"/>
      <c r="T331" s="1"/>
      <c r="U331" s="1"/>
      <c r="V331" s="1"/>
      <c r="W331" s="1"/>
      <c r="X331" s="1"/>
      <c r="Y331" s="1"/>
      <c r="Z331" s="1">
        <v>313</v>
      </c>
      <c r="AA331" s="1"/>
      <c r="AB331" s="1"/>
      <c r="AC331" s="1"/>
      <c r="AD331" s="1"/>
      <c r="AE331" s="1">
        <f t="shared" si="27"/>
        <v>3</v>
      </c>
      <c r="AF331" s="1">
        <f t="shared" si="25"/>
        <v>299</v>
      </c>
      <c r="AG331" s="11" t="str">
        <f t="shared" si="26"/>
        <v>APROVADO</v>
      </c>
    </row>
    <row r="332" spans="2:33" ht="38.25" hidden="1" x14ac:dyDescent="0.25">
      <c r="B332" s="5">
        <v>327</v>
      </c>
      <c r="C332" s="27" t="s">
        <v>1675</v>
      </c>
      <c r="D332" s="5" t="s">
        <v>33</v>
      </c>
      <c r="E332" s="7" t="s">
        <v>1676</v>
      </c>
      <c r="F332" s="7" t="s">
        <v>1677</v>
      </c>
      <c r="G332" s="7" t="s">
        <v>107</v>
      </c>
      <c r="H332" s="8">
        <v>69050</v>
      </c>
      <c r="I332" s="7" t="s">
        <v>108</v>
      </c>
      <c r="J332" s="7" t="s">
        <v>95</v>
      </c>
      <c r="K332" s="7" t="s">
        <v>1678</v>
      </c>
      <c r="L332" s="9" t="s">
        <v>1679</v>
      </c>
      <c r="M332" s="10">
        <v>45321</v>
      </c>
      <c r="N332" s="7" t="s">
        <v>41</v>
      </c>
      <c r="O332" s="7"/>
      <c r="P332" s="20"/>
      <c r="Q332" s="40">
        <v>334</v>
      </c>
      <c r="R332" s="1">
        <v>241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>
        <v>340</v>
      </c>
      <c r="AD332" s="1"/>
      <c r="AE332" s="1">
        <f t="shared" si="27"/>
        <v>3</v>
      </c>
      <c r="AF332" s="1">
        <f t="shared" si="25"/>
        <v>305</v>
      </c>
      <c r="AG332" s="11" t="str">
        <f t="shared" si="26"/>
        <v>APROVADO</v>
      </c>
    </row>
    <row r="333" spans="2:33" ht="38.25" hidden="1" x14ac:dyDescent="0.25">
      <c r="B333" s="5">
        <v>328</v>
      </c>
      <c r="C333" s="27" t="s">
        <v>1680</v>
      </c>
      <c r="D333" s="5" t="s">
        <v>33</v>
      </c>
      <c r="E333" s="7" t="s">
        <v>1676</v>
      </c>
      <c r="F333" s="7" t="s">
        <v>1681</v>
      </c>
      <c r="G333" s="7" t="s">
        <v>107</v>
      </c>
      <c r="H333" s="8">
        <v>145400</v>
      </c>
      <c r="I333" s="7" t="s">
        <v>108</v>
      </c>
      <c r="J333" s="7" t="s">
        <v>95</v>
      </c>
      <c r="K333" s="7" t="s">
        <v>1678</v>
      </c>
      <c r="L333" s="9" t="s">
        <v>1679</v>
      </c>
      <c r="M333" s="10">
        <v>45321</v>
      </c>
      <c r="N333" s="7" t="s">
        <v>41</v>
      </c>
      <c r="O333" s="7"/>
      <c r="P333" s="20"/>
      <c r="Q333" s="40">
        <v>337</v>
      </c>
      <c r="R333" s="1">
        <v>289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>
        <v>340</v>
      </c>
      <c r="AD333" s="1"/>
      <c r="AE333" s="1">
        <f t="shared" si="27"/>
        <v>3</v>
      </c>
      <c r="AF333" s="1">
        <f t="shared" si="25"/>
        <v>322</v>
      </c>
      <c r="AG333" s="11" t="str">
        <f t="shared" si="26"/>
        <v>APROVADO</v>
      </c>
    </row>
    <row r="334" spans="2:33" ht="38.25" hidden="1" x14ac:dyDescent="0.25">
      <c r="B334" s="5">
        <v>329</v>
      </c>
      <c r="C334" s="27" t="s">
        <v>1682</v>
      </c>
      <c r="D334" s="5" t="s">
        <v>33</v>
      </c>
      <c r="E334" s="7" t="s">
        <v>1676</v>
      </c>
      <c r="F334" s="7" t="s">
        <v>1683</v>
      </c>
      <c r="G334" s="7" t="s">
        <v>107</v>
      </c>
      <c r="H334" s="8">
        <v>65300</v>
      </c>
      <c r="I334" s="7" t="s">
        <v>108</v>
      </c>
      <c r="J334" s="7" t="s">
        <v>95</v>
      </c>
      <c r="K334" s="7" t="s">
        <v>1678</v>
      </c>
      <c r="L334" s="9" t="s">
        <v>1679</v>
      </c>
      <c r="M334" s="10">
        <v>45321</v>
      </c>
      <c r="N334" s="7" t="s">
        <v>41</v>
      </c>
      <c r="O334" s="7"/>
      <c r="P334" s="20"/>
      <c r="Q334" s="40">
        <v>340</v>
      </c>
      <c r="R334" s="1">
        <v>229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>
        <v>340</v>
      </c>
      <c r="AD334" s="1"/>
      <c r="AE334" s="1">
        <f t="shared" si="27"/>
        <v>3</v>
      </c>
      <c r="AF334" s="1">
        <f t="shared" si="25"/>
        <v>303</v>
      </c>
      <c r="AG334" s="11" t="str">
        <f t="shared" si="26"/>
        <v>APROVADO</v>
      </c>
    </row>
    <row r="335" spans="2:33" ht="25.5" hidden="1" x14ac:dyDescent="0.25">
      <c r="B335" s="5">
        <v>330</v>
      </c>
      <c r="C335" s="16" t="s">
        <v>1684</v>
      </c>
      <c r="D335" s="5" t="s">
        <v>33</v>
      </c>
      <c r="E335" s="7" t="s">
        <v>1685</v>
      </c>
      <c r="F335" s="7" t="s">
        <v>1686</v>
      </c>
      <c r="G335" s="7" t="s">
        <v>36</v>
      </c>
      <c r="H335" s="8">
        <v>314834.19</v>
      </c>
      <c r="I335" s="7" t="s">
        <v>1033</v>
      </c>
      <c r="J335" s="7" t="s">
        <v>445</v>
      </c>
      <c r="K335" s="7" t="s">
        <v>1687</v>
      </c>
      <c r="L335" s="9" t="s">
        <v>1688</v>
      </c>
      <c r="M335" s="10">
        <v>45321</v>
      </c>
      <c r="N335" s="13" t="s">
        <v>226</v>
      </c>
      <c r="O335" s="13" t="s">
        <v>227</v>
      </c>
      <c r="P335" s="20"/>
      <c r="Q335" s="40">
        <v>0</v>
      </c>
      <c r="R335" s="1">
        <v>0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>
        <f t="shared" si="25"/>
        <v>0</v>
      </c>
      <c r="AG335" s="11" t="str">
        <f t="shared" si="26"/>
        <v>REPROVADO</v>
      </c>
    </row>
    <row r="336" spans="2:33" ht="25.5" hidden="1" x14ac:dyDescent="0.25">
      <c r="B336" s="5">
        <v>331</v>
      </c>
      <c r="C336" s="6" t="s">
        <v>1689</v>
      </c>
      <c r="D336" s="5" t="s">
        <v>33</v>
      </c>
      <c r="E336" s="7" t="s">
        <v>1690</v>
      </c>
      <c r="F336" s="7" t="s">
        <v>1691</v>
      </c>
      <c r="G336" s="7" t="s">
        <v>45</v>
      </c>
      <c r="H336" s="8">
        <v>297841</v>
      </c>
      <c r="I336" s="7" t="s">
        <v>253</v>
      </c>
      <c r="J336" s="7" t="s">
        <v>254</v>
      </c>
      <c r="K336" s="7" t="s">
        <v>1692</v>
      </c>
      <c r="L336" s="9" t="s">
        <v>1693</v>
      </c>
      <c r="M336" s="10">
        <v>45321</v>
      </c>
      <c r="N336" s="7" t="s">
        <v>41</v>
      </c>
      <c r="O336" s="7" t="s">
        <v>1694</v>
      </c>
      <c r="P336" s="20"/>
      <c r="Q336" s="40">
        <v>305</v>
      </c>
      <c r="R336" s="1"/>
      <c r="S336" s="1"/>
      <c r="T336" s="1"/>
      <c r="U336" s="1"/>
      <c r="V336" s="1"/>
      <c r="W336" s="1"/>
      <c r="X336" s="1"/>
      <c r="Y336" s="1"/>
      <c r="Z336" s="1">
        <v>323</v>
      </c>
      <c r="AA336" s="1"/>
      <c r="AB336" s="1"/>
      <c r="AC336" s="1">
        <v>325</v>
      </c>
      <c r="AD336" s="1"/>
      <c r="AE336" s="1">
        <f>COUNT(Q336:AD336)</f>
        <v>3</v>
      </c>
      <c r="AF336" s="1">
        <f t="shared" si="25"/>
        <v>317.66666666666669</v>
      </c>
      <c r="AG336" s="11" t="str">
        <f t="shared" si="26"/>
        <v>APROVADO</v>
      </c>
    </row>
    <row r="337" spans="2:33" ht="38.25" hidden="1" x14ac:dyDescent="0.25">
      <c r="B337" s="5">
        <v>332</v>
      </c>
      <c r="C337" s="6" t="s">
        <v>1695</v>
      </c>
      <c r="D337" s="5" t="s">
        <v>33</v>
      </c>
      <c r="E337" s="7" t="s">
        <v>1696</v>
      </c>
      <c r="F337" s="7" t="s">
        <v>1697</v>
      </c>
      <c r="G337" s="7" t="s">
        <v>36</v>
      </c>
      <c r="H337" s="8">
        <v>101300</v>
      </c>
      <c r="I337" s="7" t="s">
        <v>1698</v>
      </c>
      <c r="J337" s="7" t="s">
        <v>95</v>
      </c>
      <c r="K337" s="7" t="s">
        <v>1699</v>
      </c>
      <c r="L337" s="9" t="s">
        <v>1700</v>
      </c>
      <c r="M337" s="10">
        <v>45321</v>
      </c>
      <c r="N337" s="7" t="s">
        <v>67</v>
      </c>
      <c r="O337" s="7"/>
      <c r="P337" s="20"/>
      <c r="Q337" s="40">
        <v>296</v>
      </c>
      <c r="R337" s="1"/>
      <c r="S337" s="1"/>
      <c r="T337" s="1"/>
      <c r="U337" s="1"/>
      <c r="V337" s="1">
        <v>260</v>
      </c>
      <c r="W337" s="1">
        <v>304</v>
      </c>
      <c r="X337" s="1"/>
      <c r="Y337" s="1"/>
      <c r="Z337" s="1"/>
      <c r="AA337" s="1"/>
      <c r="AB337" s="1"/>
      <c r="AC337" s="1"/>
      <c r="AD337" s="1"/>
      <c r="AE337" s="1">
        <f>COUNT(Q337:AD337)</f>
        <v>3</v>
      </c>
      <c r="AF337" s="1">
        <f t="shared" si="25"/>
        <v>286.66666666666669</v>
      </c>
      <c r="AG337" s="11" t="str">
        <f t="shared" si="26"/>
        <v>APROVADO</v>
      </c>
    </row>
    <row r="338" spans="2:33" ht="38.25" hidden="1" x14ac:dyDescent="0.25">
      <c r="B338" s="5">
        <v>333</v>
      </c>
      <c r="C338" s="32" t="s">
        <v>1701</v>
      </c>
      <c r="D338" s="5" t="s">
        <v>51</v>
      </c>
      <c r="E338" s="13" t="s">
        <v>1702</v>
      </c>
      <c r="F338" s="13" t="s">
        <v>1703</v>
      </c>
      <c r="G338" s="7" t="s">
        <v>36</v>
      </c>
      <c r="H338" s="28">
        <v>335000</v>
      </c>
      <c r="I338" s="13" t="s">
        <v>1704</v>
      </c>
      <c r="J338" s="11" t="s">
        <v>64</v>
      </c>
      <c r="K338" s="13" t="s">
        <v>1705</v>
      </c>
      <c r="L338" s="30" t="s">
        <v>1706</v>
      </c>
      <c r="M338" s="26">
        <v>45321</v>
      </c>
      <c r="N338" s="13" t="s">
        <v>226</v>
      </c>
      <c r="O338" s="13" t="s">
        <v>227</v>
      </c>
      <c r="P338" s="20"/>
      <c r="Q338" s="1">
        <v>0</v>
      </c>
      <c r="R338" s="1">
        <v>0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0"/>
      <c r="AD338" s="20"/>
      <c r="AE338" s="20"/>
      <c r="AF338" s="1">
        <f t="shared" si="25"/>
        <v>0</v>
      </c>
      <c r="AG338" s="11" t="str">
        <f t="shared" si="26"/>
        <v>REPROVADO</v>
      </c>
    </row>
    <row r="339" spans="2:33" ht="38.25" hidden="1" x14ac:dyDescent="0.25">
      <c r="B339" s="5">
        <v>334</v>
      </c>
      <c r="C339" s="16" t="s">
        <v>1707</v>
      </c>
      <c r="D339" s="5" t="s">
        <v>33</v>
      </c>
      <c r="E339" s="7" t="s">
        <v>1708</v>
      </c>
      <c r="F339" s="7" t="s">
        <v>1709</v>
      </c>
      <c r="G339" s="7" t="s">
        <v>336</v>
      </c>
      <c r="H339" s="8">
        <v>388034.49</v>
      </c>
      <c r="I339" s="7" t="s">
        <v>73</v>
      </c>
      <c r="J339" s="5" t="s">
        <v>74</v>
      </c>
      <c r="K339" s="7" t="s">
        <v>1710</v>
      </c>
      <c r="L339" s="9" t="s">
        <v>1711</v>
      </c>
      <c r="M339" s="10">
        <v>45321</v>
      </c>
      <c r="N339" s="7" t="s">
        <v>82</v>
      </c>
      <c r="O339" s="7" t="s">
        <v>845</v>
      </c>
      <c r="P339" s="20"/>
      <c r="Q339" s="40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 t="e">
        <f t="shared" si="25"/>
        <v>#DIV/0!</v>
      </c>
      <c r="AG339" s="11" t="e">
        <f t="shared" si="26"/>
        <v>#DIV/0!</v>
      </c>
    </row>
    <row r="340" spans="2:33" ht="51.75" hidden="1" x14ac:dyDescent="0.25">
      <c r="B340" s="5">
        <v>335</v>
      </c>
      <c r="C340" s="22" t="s">
        <v>1712</v>
      </c>
      <c r="D340" s="5" t="s">
        <v>51</v>
      </c>
      <c r="E340" s="13" t="s">
        <v>1713</v>
      </c>
      <c r="F340" s="14" t="s">
        <v>1714</v>
      </c>
      <c r="G340" s="14" t="s">
        <v>107</v>
      </c>
      <c r="H340" s="28">
        <v>218000</v>
      </c>
      <c r="I340" s="13" t="s">
        <v>1715</v>
      </c>
      <c r="J340" s="11" t="s">
        <v>597</v>
      </c>
      <c r="K340" s="13" t="s">
        <v>1716</v>
      </c>
      <c r="L340" s="30" t="s">
        <v>1717</v>
      </c>
      <c r="M340" s="26">
        <v>45321</v>
      </c>
      <c r="N340" s="13" t="s">
        <v>57</v>
      </c>
      <c r="O340" s="13"/>
      <c r="P340" s="20"/>
      <c r="Q340" s="1">
        <v>340</v>
      </c>
      <c r="R340" s="1"/>
      <c r="S340" s="1"/>
      <c r="T340" s="1"/>
      <c r="U340" s="1"/>
      <c r="V340" s="1"/>
      <c r="W340" s="1">
        <v>340</v>
      </c>
      <c r="X340" s="1"/>
      <c r="Y340" s="1">
        <v>340</v>
      </c>
      <c r="Z340" s="1"/>
      <c r="AA340" s="1"/>
      <c r="AB340" s="1"/>
      <c r="AC340" s="20"/>
      <c r="AD340" s="20"/>
      <c r="AE340" s="1">
        <f>COUNT(Q340:AD340)</f>
        <v>3</v>
      </c>
      <c r="AF340" s="1">
        <f t="shared" si="25"/>
        <v>340</v>
      </c>
      <c r="AG340" s="11" t="str">
        <f t="shared" si="26"/>
        <v>APROVADO</v>
      </c>
    </row>
    <row r="341" spans="2:33" ht="38.25" hidden="1" x14ac:dyDescent="0.25">
      <c r="B341" s="5">
        <v>336</v>
      </c>
      <c r="C341" s="6" t="s">
        <v>1718</v>
      </c>
      <c r="D341" s="5" t="s">
        <v>33</v>
      </c>
      <c r="E341" s="5" t="s">
        <v>1719</v>
      </c>
      <c r="F341" s="5" t="s">
        <v>1720</v>
      </c>
      <c r="G341" s="7" t="s">
        <v>45</v>
      </c>
      <c r="H341" s="8">
        <v>693592.44</v>
      </c>
      <c r="I341" s="7" t="s">
        <v>73</v>
      </c>
      <c r="J341" s="5" t="s">
        <v>74</v>
      </c>
      <c r="K341" s="7" t="s">
        <v>1721</v>
      </c>
      <c r="L341" s="9" t="s">
        <v>1722</v>
      </c>
      <c r="M341" s="10">
        <v>45321</v>
      </c>
      <c r="N341" s="5" t="s">
        <v>57</v>
      </c>
      <c r="O341" s="7" t="s">
        <v>1723</v>
      </c>
      <c r="P341" s="20"/>
      <c r="Q341" s="39">
        <v>241</v>
      </c>
      <c r="R341" s="1">
        <v>80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>
        <v>251</v>
      </c>
      <c r="AD341" s="1"/>
      <c r="AE341" s="1"/>
      <c r="AF341" s="1">
        <f t="shared" si="25"/>
        <v>190.66666666666666</v>
      </c>
      <c r="AG341" s="11" t="str">
        <f t="shared" si="26"/>
        <v>REPROVADO</v>
      </c>
    </row>
    <row r="342" spans="2:33" ht="25.5" hidden="1" x14ac:dyDescent="0.25">
      <c r="B342" s="5">
        <v>337</v>
      </c>
      <c r="C342" s="16" t="s">
        <v>1724</v>
      </c>
      <c r="D342" s="5" t="s">
        <v>33</v>
      </c>
      <c r="E342" s="7" t="s">
        <v>1725</v>
      </c>
      <c r="F342" s="7" t="s">
        <v>1726</v>
      </c>
      <c r="G342" s="7" t="s">
        <v>36</v>
      </c>
      <c r="H342" s="8">
        <v>300000</v>
      </c>
      <c r="I342" s="7" t="s">
        <v>73</v>
      </c>
      <c r="J342" s="7" t="s">
        <v>74</v>
      </c>
      <c r="K342" s="7" t="s">
        <v>1727</v>
      </c>
      <c r="L342" s="9" t="s">
        <v>1728</v>
      </c>
      <c r="M342" s="10">
        <v>45321</v>
      </c>
      <c r="N342" s="7" t="s">
        <v>82</v>
      </c>
      <c r="O342" s="7" t="s">
        <v>845</v>
      </c>
      <c r="P342" s="20"/>
      <c r="Q342" s="40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 t="e">
        <f t="shared" si="25"/>
        <v>#DIV/0!</v>
      </c>
      <c r="AG342" s="11" t="e">
        <f t="shared" si="26"/>
        <v>#DIV/0!</v>
      </c>
    </row>
    <row r="343" spans="2:33" ht="25.5" hidden="1" x14ac:dyDescent="0.25">
      <c r="B343" s="5">
        <v>338</v>
      </c>
      <c r="C343" s="27" t="s">
        <v>1729</v>
      </c>
      <c r="D343" s="5" t="s">
        <v>33</v>
      </c>
      <c r="E343" s="7" t="s">
        <v>1730</v>
      </c>
      <c r="F343" s="7" t="s">
        <v>1731</v>
      </c>
      <c r="G343" s="7" t="s">
        <v>107</v>
      </c>
      <c r="H343" s="8">
        <v>679588.24</v>
      </c>
      <c r="I343" s="7" t="s">
        <v>1732</v>
      </c>
      <c r="J343" s="7" t="s">
        <v>235</v>
      </c>
      <c r="K343" s="7" t="s">
        <v>1733</v>
      </c>
      <c r="L343" s="9" t="s">
        <v>1734</v>
      </c>
      <c r="M343" s="10">
        <v>45321</v>
      </c>
      <c r="N343" s="7" t="s">
        <v>41</v>
      </c>
      <c r="O343" s="7"/>
      <c r="P343" s="20"/>
      <c r="Q343" s="40">
        <v>240</v>
      </c>
      <c r="R343" s="1">
        <v>170</v>
      </c>
      <c r="S343" s="1">
        <v>242</v>
      </c>
      <c r="T343" s="1"/>
      <c r="U343" s="1"/>
      <c r="V343" s="1"/>
      <c r="W343" s="1"/>
      <c r="X343" s="1"/>
      <c r="Y343" s="1"/>
      <c r="Z343" s="1">
        <v>284</v>
      </c>
      <c r="AA343" s="1"/>
      <c r="AB343" s="1"/>
      <c r="AC343" s="1"/>
      <c r="AD343" s="1"/>
      <c r="AE343" s="1">
        <f t="shared" ref="AE343:AE360" si="28">COUNT(Q343:AD343)</f>
        <v>4</v>
      </c>
      <c r="AF343" s="1">
        <f t="shared" si="25"/>
        <v>234</v>
      </c>
      <c r="AG343" s="11" t="str">
        <f t="shared" si="26"/>
        <v>APROVADO</v>
      </c>
    </row>
    <row r="344" spans="2:33" ht="38.25" hidden="1" x14ac:dyDescent="0.25">
      <c r="B344" s="5">
        <v>339</v>
      </c>
      <c r="C344" s="6" t="s">
        <v>1735</v>
      </c>
      <c r="D344" s="5" t="s">
        <v>33</v>
      </c>
      <c r="E344" s="7" t="s">
        <v>1736</v>
      </c>
      <c r="F344" s="7" t="s">
        <v>1737</v>
      </c>
      <c r="G344" s="5" t="s">
        <v>174</v>
      </c>
      <c r="H344" s="17">
        <v>181500</v>
      </c>
      <c r="I344" s="7" t="s">
        <v>1514</v>
      </c>
      <c r="J344" s="5" t="s">
        <v>95</v>
      </c>
      <c r="K344" s="5" t="s">
        <v>1738</v>
      </c>
      <c r="L344" s="9" t="s">
        <v>1739</v>
      </c>
      <c r="M344" s="10">
        <v>45321</v>
      </c>
      <c r="N344" s="7" t="s">
        <v>67</v>
      </c>
      <c r="O344" s="7"/>
      <c r="P344" s="20"/>
      <c r="Q344" s="40">
        <v>254</v>
      </c>
      <c r="R344" s="1">
        <v>269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>
        <v>180</v>
      </c>
      <c r="AE344" s="1">
        <f t="shared" si="28"/>
        <v>3</v>
      </c>
      <c r="AF344" s="1">
        <f t="shared" si="25"/>
        <v>234.33333333333334</v>
      </c>
      <c r="AG344" s="11" t="str">
        <f t="shared" si="26"/>
        <v>APROVADO</v>
      </c>
    </row>
    <row r="345" spans="2:33" ht="38.25" hidden="1" x14ac:dyDescent="0.25">
      <c r="B345" s="5">
        <v>340</v>
      </c>
      <c r="C345" s="6" t="s">
        <v>1740</v>
      </c>
      <c r="D345" s="5" t="s">
        <v>33</v>
      </c>
      <c r="E345" s="7" t="s">
        <v>1736</v>
      </c>
      <c r="F345" s="7" t="s">
        <v>1741</v>
      </c>
      <c r="G345" s="5" t="s">
        <v>174</v>
      </c>
      <c r="H345" s="17">
        <v>535078</v>
      </c>
      <c r="I345" s="7" t="s">
        <v>1514</v>
      </c>
      <c r="J345" s="5" t="s">
        <v>95</v>
      </c>
      <c r="K345" s="5" t="s">
        <v>1738</v>
      </c>
      <c r="L345" s="9" t="s">
        <v>1739</v>
      </c>
      <c r="M345" s="10">
        <v>45321</v>
      </c>
      <c r="N345" s="7" t="s">
        <v>67</v>
      </c>
      <c r="O345" s="7"/>
      <c r="P345" s="20"/>
      <c r="Q345" s="40">
        <v>255</v>
      </c>
      <c r="R345" s="1">
        <v>241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>
        <v>217</v>
      </c>
      <c r="AE345" s="1">
        <f t="shared" si="28"/>
        <v>3</v>
      </c>
      <c r="AF345" s="1">
        <f t="shared" si="25"/>
        <v>237.66666666666666</v>
      </c>
      <c r="AG345" s="11" t="str">
        <f t="shared" si="26"/>
        <v>APROVADO</v>
      </c>
    </row>
    <row r="346" spans="2:33" ht="38.25" hidden="1" x14ac:dyDescent="0.25">
      <c r="B346" s="5">
        <v>341</v>
      </c>
      <c r="C346" s="6" t="s">
        <v>1742</v>
      </c>
      <c r="D346" s="5" t="s">
        <v>33</v>
      </c>
      <c r="E346" s="7" t="s">
        <v>1736</v>
      </c>
      <c r="F346" s="7" t="s">
        <v>1743</v>
      </c>
      <c r="G346" s="5" t="s">
        <v>174</v>
      </c>
      <c r="H346" s="17">
        <v>65000</v>
      </c>
      <c r="I346" s="7" t="s">
        <v>1514</v>
      </c>
      <c r="J346" s="5" t="s">
        <v>95</v>
      </c>
      <c r="K346" s="5" t="s">
        <v>1738</v>
      </c>
      <c r="L346" s="31" t="s">
        <v>1739</v>
      </c>
      <c r="M346" s="10">
        <v>45321</v>
      </c>
      <c r="N346" s="7" t="s">
        <v>67</v>
      </c>
      <c r="O346" s="7"/>
      <c r="P346" s="20"/>
      <c r="Q346" s="40">
        <v>289</v>
      </c>
      <c r="R346" s="1">
        <v>256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>
        <v>268</v>
      </c>
      <c r="AE346" s="1">
        <f t="shared" si="28"/>
        <v>3</v>
      </c>
      <c r="AF346" s="1">
        <f t="shared" si="25"/>
        <v>271</v>
      </c>
      <c r="AG346" s="11" t="str">
        <f t="shared" si="26"/>
        <v>APROVADO</v>
      </c>
    </row>
    <row r="347" spans="2:33" hidden="1" x14ac:dyDescent="0.25">
      <c r="B347" s="5">
        <v>342</v>
      </c>
      <c r="C347" s="24" t="s">
        <v>1744</v>
      </c>
      <c r="D347" s="5" t="s">
        <v>51</v>
      </c>
      <c r="E347" s="13" t="s">
        <v>1745</v>
      </c>
      <c r="F347" s="13" t="s">
        <v>526</v>
      </c>
      <c r="G347" s="14" t="s">
        <v>107</v>
      </c>
      <c r="H347" s="28">
        <v>94100</v>
      </c>
      <c r="I347" s="13" t="s">
        <v>1746</v>
      </c>
      <c r="J347" s="11" t="s">
        <v>123</v>
      </c>
      <c r="K347" s="13" t="s">
        <v>1747</v>
      </c>
      <c r="L347" s="42" t="s">
        <v>1748</v>
      </c>
      <c r="M347" s="26">
        <v>45321</v>
      </c>
      <c r="N347" s="13" t="s">
        <v>57</v>
      </c>
      <c r="O347" s="20"/>
      <c r="P347" s="20"/>
      <c r="Q347" s="1">
        <v>255</v>
      </c>
      <c r="R347" s="1"/>
      <c r="S347" s="1"/>
      <c r="T347" s="1"/>
      <c r="U347" s="1"/>
      <c r="V347" s="1">
        <v>260</v>
      </c>
      <c r="W347" s="1">
        <v>210</v>
      </c>
      <c r="X347" s="1"/>
      <c r="Y347" s="1"/>
      <c r="Z347" s="1"/>
      <c r="AA347" s="1"/>
      <c r="AB347" s="1"/>
      <c r="AC347" s="20"/>
      <c r="AD347" s="20"/>
      <c r="AE347" s="1">
        <f t="shared" si="28"/>
        <v>3</v>
      </c>
      <c r="AF347" s="1">
        <f t="shared" si="25"/>
        <v>241.66666666666666</v>
      </c>
      <c r="AG347" s="11" t="str">
        <f t="shared" si="26"/>
        <v>APROVADO</v>
      </c>
    </row>
    <row r="348" spans="2:33" ht="25.5" hidden="1" x14ac:dyDescent="0.25">
      <c r="B348" s="5">
        <v>343</v>
      </c>
      <c r="C348" s="27" t="s">
        <v>1749</v>
      </c>
      <c r="D348" s="5" t="s">
        <v>33</v>
      </c>
      <c r="E348" s="7" t="s">
        <v>1750</v>
      </c>
      <c r="F348" s="7" t="s">
        <v>1751</v>
      </c>
      <c r="G348" s="7" t="s">
        <v>174</v>
      </c>
      <c r="H348" s="8">
        <v>87370</v>
      </c>
      <c r="I348" s="7" t="s">
        <v>1752</v>
      </c>
      <c r="J348" s="7" t="s">
        <v>154</v>
      </c>
      <c r="K348" s="7" t="s">
        <v>1753</v>
      </c>
      <c r="L348" s="9" t="s">
        <v>1754</v>
      </c>
      <c r="M348" s="10">
        <v>45321</v>
      </c>
      <c r="N348" s="7" t="s">
        <v>41</v>
      </c>
      <c r="O348" s="7"/>
      <c r="P348" s="20"/>
      <c r="Q348" s="40">
        <v>334</v>
      </c>
      <c r="R348" s="1">
        <v>195</v>
      </c>
      <c r="S348" s="1"/>
      <c r="T348" s="1"/>
      <c r="U348" s="1"/>
      <c r="V348" s="1"/>
      <c r="W348" s="1"/>
      <c r="X348" s="1"/>
      <c r="Y348" s="1"/>
      <c r="Z348" s="1"/>
      <c r="AA348" s="1"/>
      <c r="AB348" s="1">
        <v>335</v>
      </c>
      <c r="AC348" s="1"/>
      <c r="AD348" s="1"/>
      <c r="AE348" s="1">
        <f t="shared" si="28"/>
        <v>3</v>
      </c>
      <c r="AF348" s="1">
        <f t="shared" si="25"/>
        <v>288</v>
      </c>
      <c r="AG348" s="11" t="str">
        <f t="shared" si="26"/>
        <v>APROVADO</v>
      </c>
    </row>
    <row r="349" spans="2:33" ht="25.5" hidden="1" x14ac:dyDescent="0.25">
      <c r="B349" s="5">
        <v>344</v>
      </c>
      <c r="C349" s="6" t="s">
        <v>1755</v>
      </c>
      <c r="D349" s="5" t="s">
        <v>33</v>
      </c>
      <c r="E349" s="5" t="s">
        <v>1750</v>
      </c>
      <c r="F349" s="5" t="s">
        <v>1756</v>
      </c>
      <c r="G349" s="7" t="s">
        <v>107</v>
      </c>
      <c r="H349" s="8">
        <v>367000</v>
      </c>
      <c r="I349" s="7" t="s">
        <v>1752</v>
      </c>
      <c r="J349" s="7" t="s">
        <v>154</v>
      </c>
      <c r="K349" s="7" t="s">
        <v>1753</v>
      </c>
      <c r="L349" s="9" t="s">
        <v>1754</v>
      </c>
      <c r="M349" s="10">
        <v>45321</v>
      </c>
      <c r="N349" s="5" t="s">
        <v>67</v>
      </c>
      <c r="O349" s="7"/>
      <c r="P349" s="20"/>
      <c r="Q349" s="39">
        <v>315</v>
      </c>
      <c r="R349" s="1">
        <v>180</v>
      </c>
      <c r="S349" s="1"/>
      <c r="T349" s="1"/>
      <c r="U349" s="1"/>
      <c r="V349" s="1">
        <v>325</v>
      </c>
      <c r="W349" s="1"/>
      <c r="X349" s="1"/>
      <c r="Y349" s="1"/>
      <c r="Z349" s="1"/>
      <c r="AA349" s="1"/>
      <c r="AB349" s="1"/>
      <c r="AC349" s="1"/>
      <c r="AD349" s="1"/>
      <c r="AE349" s="1">
        <f t="shared" si="28"/>
        <v>3</v>
      </c>
      <c r="AF349" s="1">
        <f t="shared" si="25"/>
        <v>273.33333333333331</v>
      </c>
      <c r="AG349" s="11" t="str">
        <f t="shared" si="26"/>
        <v>APROVADO</v>
      </c>
    </row>
    <row r="350" spans="2:33" hidden="1" x14ac:dyDescent="0.25">
      <c r="B350" s="5">
        <v>345</v>
      </c>
      <c r="C350" s="6" t="s">
        <v>1757</v>
      </c>
      <c r="D350" s="5" t="s">
        <v>33</v>
      </c>
      <c r="E350" s="7" t="s">
        <v>172</v>
      </c>
      <c r="F350" s="7" t="s">
        <v>1758</v>
      </c>
      <c r="G350" s="7" t="s">
        <v>36</v>
      </c>
      <c r="H350" s="8">
        <v>120720</v>
      </c>
      <c r="I350" s="7" t="s">
        <v>1759</v>
      </c>
      <c r="J350" s="7" t="s">
        <v>154</v>
      </c>
      <c r="K350" s="7" t="s">
        <v>1760</v>
      </c>
      <c r="L350" s="9" t="s">
        <v>1761</v>
      </c>
      <c r="M350" s="10">
        <v>45321</v>
      </c>
      <c r="N350" s="7" t="s">
        <v>67</v>
      </c>
      <c r="O350" s="7"/>
      <c r="P350" s="20"/>
      <c r="Q350" s="40">
        <v>317</v>
      </c>
      <c r="R350" s="1"/>
      <c r="S350" s="1"/>
      <c r="T350" s="1"/>
      <c r="U350" s="1"/>
      <c r="V350" s="1">
        <v>340</v>
      </c>
      <c r="W350" s="1">
        <v>321</v>
      </c>
      <c r="X350" s="1"/>
      <c r="Y350" s="1"/>
      <c r="Z350" s="1"/>
      <c r="AA350" s="1"/>
      <c r="AB350" s="1"/>
      <c r="AC350" s="1"/>
      <c r="AD350" s="1"/>
      <c r="AE350" s="1">
        <f t="shared" si="28"/>
        <v>3</v>
      </c>
      <c r="AF350" s="1">
        <f t="shared" si="25"/>
        <v>326</v>
      </c>
      <c r="AG350" s="11" t="str">
        <f t="shared" si="26"/>
        <v>APROVADO</v>
      </c>
    </row>
    <row r="351" spans="2:33" ht="25.5" hidden="1" x14ac:dyDescent="0.25">
      <c r="B351" s="5">
        <v>346</v>
      </c>
      <c r="C351" s="6" t="s">
        <v>1762</v>
      </c>
      <c r="D351" s="5" t="s">
        <v>33</v>
      </c>
      <c r="E351" s="5" t="s">
        <v>1763</v>
      </c>
      <c r="F351" s="5" t="s">
        <v>1764</v>
      </c>
      <c r="G351" s="7" t="s">
        <v>45</v>
      </c>
      <c r="H351" s="8">
        <v>1215394.8999999999</v>
      </c>
      <c r="I351" s="7" t="s">
        <v>1752</v>
      </c>
      <c r="J351" s="7" t="s">
        <v>154</v>
      </c>
      <c r="K351" s="7" t="s">
        <v>1765</v>
      </c>
      <c r="L351" s="9" t="s">
        <v>1766</v>
      </c>
      <c r="M351" s="10">
        <v>45321</v>
      </c>
      <c r="N351" s="5" t="s">
        <v>67</v>
      </c>
      <c r="O351" s="7" t="s">
        <v>1767</v>
      </c>
      <c r="P351" s="20"/>
      <c r="Q351" s="39">
        <v>255</v>
      </c>
      <c r="R351" s="1">
        <v>121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>
        <v>271</v>
      </c>
      <c r="AD351" s="1"/>
      <c r="AE351" s="1">
        <f t="shared" si="28"/>
        <v>3</v>
      </c>
      <c r="AF351" s="1">
        <f t="shared" si="25"/>
        <v>215.66666666666666</v>
      </c>
      <c r="AG351" s="11" t="str">
        <f t="shared" si="26"/>
        <v>APROVADO</v>
      </c>
    </row>
    <row r="352" spans="2:33" ht="25.5" hidden="1" x14ac:dyDescent="0.25">
      <c r="B352" s="5">
        <v>347</v>
      </c>
      <c r="C352" s="27" t="s">
        <v>1768</v>
      </c>
      <c r="D352" s="5" t="s">
        <v>33</v>
      </c>
      <c r="E352" s="5" t="s">
        <v>199</v>
      </c>
      <c r="F352" s="5" t="s">
        <v>1769</v>
      </c>
      <c r="G352" s="5" t="s">
        <v>36</v>
      </c>
      <c r="H352" s="15">
        <v>309988.8</v>
      </c>
      <c r="I352" s="5" t="s">
        <v>201</v>
      </c>
      <c r="J352" s="5" t="s">
        <v>202</v>
      </c>
      <c r="K352" s="5" t="s">
        <v>203</v>
      </c>
      <c r="L352" s="9" t="s">
        <v>204</v>
      </c>
      <c r="M352" s="10">
        <v>45302</v>
      </c>
      <c r="N352" s="7" t="s">
        <v>41</v>
      </c>
      <c r="O352" s="7"/>
      <c r="P352" s="20"/>
      <c r="Q352" s="40">
        <v>334</v>
      </c>
      <c r="R352" s="1">
        <v>294</v>
      </c>
      <c r="S352" s="1"/>
      <c r="T352" s="1"/>
      <c r="U352" s="1"/>
      <c r="V352" s="1"/>
      <c r="W352" s="1"/>
      <c r="X352" s="1"/>
      <c r="Y352" s="1"/>
      <c r="Z352" s="1">
        <v>244</v>
      </c>
      <c r="AA352" s="1"/>
      <c r="AB352" s="1"/>
      <c r="AC352" s="1"/>
      <c r="AD352" s="1"/>
      <c r="AE352" s="1">
        <f t="shared" si="28"/>
        <v>3</v>
      </c>
      <c r="AF352" s="1">
        <f t="shared" si="25"/>
        <v>290.66666666666669</v>
      </c>
      <c r="AG352" s="11" t="str">
        <f t="shared" si="26"/>
        <v>APROVADO</v>
      </c>
    </row>
    <row r="353" spans="2:33" ht="76.5" hidden="1" x14ac:dyDescent="0.25">
      <c r="B353" s="5">
        <v>348</v>
      </c>
      <c r="C353" s="27" t="s">
        <v>1770</v>
      </c>
      <c r="D353" s="5" t="s">
        <v>33</v>
      </c>
      <c r="E353" s="5" t="s">
        <v>120</v>
      </c>
      <c r="F353" s="5" t="s">
        <v>128</v>
      </c>
      <c r="G353" s="5" t="s">
        <v>36</v>
      </c>
      <c r="H353" s="15">
        <v>239095.32</v>
      </c>
      <c r="I353" s="5" t="s">
        <v>122</v>
      </c>
      <c r="J353" s="5" t="s">
        <v>123</v>
      </c>
      <c r="K353" s="5" t="s">
        <v>124</v>
      </c>
      <c r="L353" s="9" t="s">
        <v>125</v>
      </c>
      <c r="M353" s="10">
        <v>45299</v>
      </c>
      <c r="N353" s="7" t="s">
        <v>41</v>
      </c>
      <c r="O353" s="7" t="s">
        <v>1771</v>
      </c>
      <c r="P353" s="20"/>
      <c r="Q353" s="40">
        <v>296</v>
      </c>
      <c r="R353" s="1">
        <v>222</v>
      </c>
      <c r="S353" s="1">
        <v>189</v>
      </c>
      <c r="T353" s="1"/>
      <c r="U353" s="1"/>
      <c r="V353" s="1"/>
      <c r="W353" s="1"/>
      <c r="X353" s="1"/>
      <c r="Y353" s="1"/>
      <c r="Z353" s="1"/>
      <c r="AA353" s="1"/>
      <c r="AB353" s="1">
        <v>235</v>
      </c>
      <c r="AC353" s="1"/>
      <c r="AD353" s="1"/>
      <c r="AE353" s="1">
        <f t="shared" si="28"/>
        <v>4</v>
      </c>
      <c r="AF353" s="1">
        <f t="shared" si="25"/>
        <v>235.5</v>
      </c>
      <c r="AG353" s="11" t="str">
        <f t="shared" si="26"/>
        <v>APROVADO</v>
      </c>
    </row>
    <row r="354" spans="2:33" ht="25.5" hidden="1" x14ac:dyDescent="0.25">
      <c r="B354" s="5">
        <v>349</v>
      </c>
      <c r="C354" s="6" t="s">
        <v>1772</v>
      </c>
      <c r="D354" s="5" t="s">
        <v>33</v>
      </c>
      <c r="E354" s="7" t="s">
        <v>1773</v>
      </c>
      <c r="F354" s="7" t="s">
        <v>1774</v>
      </c>
      <c r="G354" s="7" t="s">
        <v>36</v>
      </c>
      <c r="H354" s="8">
        <v>395360</v>
      </c>
      <c r="I354" s="7" t="s">
        <v>73</v>
      </c>
      <c r="J354" s="5" t="s">
        <v>74</v>
      </c>
      <c r="K354" s="7" t="s">
        <v>1775</v>
      </c>
      <c r="L354" s="9" t="s">
        <v>1776</v>
      </c>
      <c r="M354" s="10">
        <v>45321</v>
      </c>
      <c r="N354" s="7" t="s">
        <v>67</v>
      </c>
      <c r="O354" s="7"/>
      <c r="P354" s="20"/>
      <c r="Q354" s="40">
        <v>328</v>
      </c>
      <c r="R354" s="1"/>
      <c r="S354" s="1"/>
      <c r="T354" s="1"/>
      <c r="U354" s="1"/>
      <c r="V354" s="1">
        <v>340</v>
      </c>
      <c r="W354" s="1">
        <v>323</v>
      </c>
      <c r="X354" s="1"/>
      <c r="Y354" s="1"/>
      <c r="Z354" s="1"/>
      <c r="AA354" s="1"/>
      <c r="AB354" s="1"/>
      <c r="AC354" s="1"/>
      <c r="AD354" s="1"/>
      <c r="AE354" s="1">
        <f t="shared" si="28"/>
        <v>3</v>
      </c>
      <c r="AF354" s="1">
        <f t="shared" si="25"/>
        <v>330.33333333333331</v>
      </c>
      <c r="AG354" s="11" t="str">
        <f t="shared" si="26"/>
        <v>APROVADO</v>
      </c>
    </row>
    <row r="355" spans="2:33" ht="25.5" hidden="1" x14ac:dyDescent="0.25">
      <c r="B355" s="5">
        <v>350</v>
      </c>
      <c r="C355" s="27" t="s">
        <v>1777</v>
      </c>
      <c r="D355" s="5" t="s">
        <v>33</v>
      </c>
      <c r="E355" s="7" t="s">
        <v>1778</v>
      </c>
      <c r="F355" s="7" t="s">
        <v>1779</v>
      </c>
      <c r="G355" s="7" t="s">
        <v>36</v>
      </c>
      <c r="H355" s="8">
        <v>550000</v>
      </c>
      <c r="I355" s="7" t="s">
        <v>1780</v>
      </c>
      <c r="J355" s="7" t="s">
        <v>154</v>
      </c>
      <c r="K355" s="7" t="s">
        <v>1781</v>
      </c>
      <c r="L355" s="9" t="s">
        <v>1782</v>
      </c>
      <c r="M355" s="10">
        <v>45321</v>
      </c>
      <c r="N355" s="7" t="s">
        <v>41</v>
      </c>
      <c r="O355" s="7"/>
      <c r="P355" s="20"/>
      <c r="Q355" s="40">
        <v>274</v>
      </c>
      <c r="R355" s="1">
        <v>239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>
        <v>276</v>
      </c>
      <c r="AD355" s="1"/>
      <c r="AE355" s="1">
        <f t="shared" si="28"/>
        <v>3</v>
      </c>
      <c r="AF355" s="1">
        <f t="shared" si="25"/>
        <v>263</v>
      </c>
      <c r="AG355" s="11" t="str">
        <f t="shared" si="26"/>
        <v>APROVADO</v>
      </c>
    </row>
    <row r="356" spans="2:33" ht="38.25" hidden="1" x14ac:dyDescent="0.25">
      <c r="B356" s="5">
        <v>351</v>
      </c>
      <c r="C356" s="6" t="s">
        <v>1783</v>
      </c>
      <c r="D356" s="5" t="s">
        <v>33</v>
      </c>
      <c r="E356" s="7" t="s">
        <v>1773</v>
      </c>
      <c r="F356" s="7" t="s">
        <v>1784</v>
      </c>
      <c r="G356" s="7" t="s">
        <v>36</v>
      </c>
      <c r="H356" s="8">
        <v>329780</v>
      </c>
      <c r="I356" s="7" t="s">
        <v>73</v>
      </c>
      <c r="J356" s="5" t="s">
        <v>74</v>
      </c>
      <c r="K356" s="7" t="s">
        <v>1775</v>
      </c>
      <c r="L356" s="9" t="s">
        <v>1776</v>
      </c>
      <c r="M356" s="10">
        <v>45321</v>
      </c>
      <c r="N356" s="7" t="s">
        <v>67</v>
      </c>
      <c r="O356" s="7"/>
      <c r="P356" s="20"/>
      <c r="Q356" s="40">
        <v>294</v>
      </c>
      <c r="R356" s="1"/>
      <c r="S356" s="1"/>
      <c r="T356" s="1"/>
      <c r="U356" s="1"/>
      <c r="V356" s="1"/>
      <c r="W356" s="1">
        <v>300</v>
      </c>
      <c r="X356" s="1"/>
      <c r="Y356" s="1"/>
      <c r="Z356" s="1"/>
      <c r="AA356" s="1"/>
      <c r="AB356" s="1"/>
      <c r="AC356" s="1">
        <v>289</v>
      </c>
      <c r="AD356" s="1"/>
      <c r="AE356" s="1">
        <f t="shared" si="28"/>
        <v>3</v>
      </c>
      <c r="AF356" s="1">
        <f t="shared" si="25"/>
        <v>294.33333333333331</v>
      </c>
      <c r="AG356" s="11" t="str">
        <f t="shared" si="26"/>
        <v>APROVADO</v>
      </c>
    </row>
    <row r="357" spans="2:33" ht="25.5" hidden="1" x14ac:dyDescent="0.25">
      <c r="B357" s="5">
        <v>352</v>
      </c>
      <c r="C357" s="27" t="s">
        <v>1785</v>
      </c>
      <c r="D357" s="5" t="s">
        <v>33</v>
      </c>
      <c r="E357" s="7" t="s">
        <v>1786</v>
      </c>
      <c r="F357" s="7" t="s">
        <v>1787</v>
      </c>
      <c r="G357" s="7" t="s">
        <v>336</v>
      </c>
      <c r="H357" s="8">
        <v>430566</v>
      </c>
      <c r="I357" s="7" t="s">
        <v>73</v>
      </c>
      <c r="J357" s="7" t="s">
        <v>74</v>
      </c>
      <c r="K357" s="7" t="s">
        <v>1788</v>
      </c>
      <c r="L357" s="9" t="s">
        <v>1789</v>
      </c>
      <c r="M357" s="10">
        <v>45321</v>
      </c>
      <c r="N357" s="7" t="s">
        <v>41</v>
      </c>
      <c r="O357" s="7"/>
      <c r="P357" s="20"/>
      <c r="Q357" s="40">
        <v>327</v>
      </c>
      <c r="R357" s="1"/>
      <c r="S357" s="1"/>
      <c r="T357" s="1"/>
      <c r="U357" s="1"/>
      <c r="V357" s="1"/>
      <c r="W357" s="1"/>
      <c r="X357" s="1"/>
      <c r="Y357" s="1"/>
      <c r="Z357" s="1">
        <v>314</v>
      </c>
      <c r="AA357" s="1">
        <v>313</v>
      </c>
      <c r="AB357" s="1"/>
      <c r="AC357" s="1"/>
      <c r="AD357" s="1"/>
      <c r="AE357" s="1">
        <f t="shared" si="28"/>
        <v>3</v>
      </c>
      <c r="AF357" s="1">
        <f t="shared" si="25"/>
        <v>318</v>
      </c>
      <c r="AG357" s="11" t="str">
        <f t="shared" si="26"/>
        <v>APROVADO</v>
      </c>
    </row>
    <row r="358" spans="2:33" ht="25.5" hidden="1" x14ac:dyDescent="0.25">
      <c r="B358" s="5">
        <v>353</v>
      </c>
      <c r="C358" s="27" t="s">
        <v>1790</v>
      </c>
      <c r="D358" s="5" t="s">
        <v>33</v>
      </c>
      <c r="E358" s="7" t="s">
        <v>1786</v>
      </c>
      <c r="F358" s="7" t="s">
        <v>1791</v>
      </c>
      <c r="G358" s="5" t="s">
        <v>62</v>
      </c>
      <c r="H358" s="8">
        <v>779206</v>
      </c>
      <c r="I358" s="7" t="s">
        <v>73</v>
      </c>
      <c r="J358" s="7" t="s">
        <v>74</v>
      </c>
      <c r="K358" s="7" t="s">
        <v>1788</v>
      </c>
      <c r="L358" s="9" t="s">
        <v>1789</v>
      </c>
      <c r="M358" s="10">
        <v>45321</v>
      </c>
      <c r="N358" s="7" t="s">
        <v>41</v>
      </c>
      <c r="O358" s="7"/>
      <c r="P358" s="20"/>
      <c r="Q358" s="40">
        <v>340</v>
      </c>
      <c r="R358" s="1">
        <v>216</v>
      </c>
      <c r="S358" s="1"/>
      <c r="T358" s="1"/>
      <c r="U358" s="1"/>
      <c r="V358" s="1"/>
      <c r="W358" s="1"/>
      <c r="X358" s="1"/>
      <c r="Y358" s="1"/>
      <c r="Z358" s="1"/>
      <c r="AA358" s="1"/>
      <c r="AB358" s="1">
        <v>294</v>
      </c>
      <c r="AC358" s="1"/>
      <c r="AD358" s="1"/>
      <c r="AE358" s="1">
        <f t="shared" si="28"/>
        <v>3</v>
      </c>
      <c r="AF358" s="1">
        <f t="shared" si="25"/>
        <v>283.33333333333331</v>
      </c>
      <c r="AG358" s="11" t="str">
        <f t="shared" si="26"/>
        <v>APROVADO</v>
      </c>
    </row>
    <row r="359" spans="2:33" ht="26.25" hidden="1" x14ac:dyDescent="0.25">
      <c r="B359" s="5">
        <v>354</v>
      </c>
      <c r="C359" s="24" t="s">
        <v>1792</v>
      </c>
      <c r="D359" s="5" t="s">
        <v>51</v>
      </c>
      <c r="E359" s="13" t="s">
        <v>1793</v>
      </c>
      <c r="F359" s="14" t="s">
        <v>1794</v>
      </c>
      <c r="G359" s="14" t="s">
        <v>36</v>
      </c>
      <c r="H359" s="28">
        <v>2321073.5299999998</v>
      </c>
      <c r="I359" s="13" t="s">
        <v>1795</v>
      </c>
      <c r="J359" s="11" t="s">
        <v>254</v>
      </c>
      <c r="K359" s="13" t="s">
        <v>1796</v>
      </c>
      <c r="L359" s="30" t="s">
        <v>1797</v>
      </c>
      <c r="M359" s="26">
        <v>45321</v>
      </c>
      <c r="N359" s="13" t="s">
        <v>57</v>
      </c>
      <c r="O359" s="13"/>
      <c r="P359" s="20"/>
      <c r="Q359" s="1">
        <v>192</v>
      </c>
      <c r="R359" s="1"/>
      <c r="S359" s="1"/>
      <c r="T359" s="1"/>
      <c r="U359" s="1"/>
      <c r="V359" s="1">
        <v>217</v>
      </c>
      <c r="W359" s="1">
        <v>222</v>
      </c>
      <c r="X359" s="1"/>
      <c r="Y359" s="1"/>
      <c r="Z359" s="1"/>
      <c r="AA359" s="1"/>
      <c r="AB359" s="1"/>
      <c r="AC359" s="20"/>
      <c r="AD359" s="20"/>
      <c r="AE359" s="1">
        <f t="shared" si="28"/>
        <v>3</v>
      </c>
      <c r="AF359" s="1">
        <f t="shared" si="25"/>
        <v>210.33333333333334</v>
      </c>
      <c r="AG359" s="11" t="str">
        <f t="shared" si="26"/>
        <v>APROVADO</v>
      </c>
    </row>
    <row r="360" spans="2:33" hidden="1" x14ac:dyDescent="0.25">
      <c r="B360" s="5">
        <v>355</v>
      </c>
      <c r="C360" s="24" t="s">
        <v>1798</v>
      </c>
      <c r="D360" s="5" t="s">
        <v>51</v>
      </c>
      <c r="E360" s="7" t="s">
        <v>1799</v>
      </c>
      <c r="F360" s="7" t="s">
        <v>1800</v>
      </c>
      <c r="G360" s="7" t="s">
        <v>45</v>
      </c>
      <c r="H360" s="28">
        <v>35000</v>
      </c>
      <c r="I360" s="7" t="s">
        <v>926</v>
      </c>
      <c r="J360" s="11" t="s">
        <v>123</v>
      </c>
      <c r="K360" s="7" t="s">
        <v>1801</v>
      </c>
      <c r="L360" s="7" t="s">
        <v>1802</v>
      </c>
      <c r="M360" s="26">
        <v>45321</v>
      </c>
      <c r="N360" s="7" t="s">
        <v>57</v>
      </c>
      <c r="O360" s="20"/>
      <c r="P360" s="20"/>
      <c r="Q360" s="1">
        <v>340</v>
      </c>
      <c r="R360" s="1"/>
      <c r="S360" s="1"/>
      <c r="T360" s="1"/>
      <c r="U360" s="1"/>
      <c r="V360" s="1">
        <v>340</v>
      </c>
      <c r="W360" s="1">
        <v>340</v>
      </c>
      <c r="X360" s="1"/>
      <c r="Y360" s="1"/>
      <c r="Z360" s="1"/>
      <c r="AA360" s="1"/>
      <c r="AB360" s="1"/>
      <c r="AC360" s="20"/>
      <c r="AD360" s="20"/>
      <c r="AE360" s="1">
        <f t="shared" si="28"/>
        <v>3</v>
      </c>
      <c r="AF360" s="1">
        <f t="shared" si="25"/>
        <v>340</v>
      </c>
      <c r="AG360" s="11" t="str">
        <f t="shared" si="26"/>
        <v>APROVADO</v>
      </c>
    </row>
    <row r="361" spans="2:33" ht="25.5" hidden="1" x14ac:dyDescent="0.25">
      <c r="B361" s="5">
        <v>356</v>
      </c>
      <c r="C361" s="32" t="s">
        <v>1803</v>
      </c>
      <c r="D361" s="5" t="s">
        <v>51</v>
      </c>
      <c r="E361" s="13" t="s">
        <v>1804</v>
      </c>
      <c r="F361" s="14" t="s">
        <v>1805</v>
      </c>
      <c r="G361" s="14" t="s">
        <v>36</v>
      </c>
      <c r="H361" s="28">
        <v>80000</v>
      </c>
      <c r="I361" s="13" t="s">
        <v>1806</v>
      </c>
      <c r="J361" s="11" t="s">
        <v>189</v>
      </c>
      <c r="K361" s="13" t="s">
        <v>1807</v>
      </c>
      <c r="L361" s="30" t="s">
        <v>1797</v>
      </c>
      <c r="M361" s="26">
        <v>45321</v>
      </c>
      <c r="N361" s="7" t="s">
        <v>82</v>
      </c>
      <c r="O361" s="7" t="s">
        <v>845</v>
      </c>
      <c r="P361" s="20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0"/>
      <c r="AD361" s="20"/>
      <c r="AE361" s="20"/>
      <c r="AF361" s="1" t="e">
        <f t="shared" si="25"/>
        <v>#DIV/0!</v>
      </c>
      <c r="AG361" s="11" t="e">
        <f t="shared" si="26"/>
        <v>#DIV/0!</v>
      </c>
    </row>
    <row r="362" spans="2:33" ht="26.25" hidden="1" x14ac:dyDescent="0.25">
      <c r="B362" s="5">
        <v>357</v>
      </c>
      <c r="C362" s="35" t="s">
        <v>1808</v>
      </c>
      <c r="D362" s="5" t="s">
        <v>51</v>
      </c>
      <c r="E362" s="13" t="s">
        <v>1809</v>
      </c>
      <c r="F362" s="13" t="s">
        <v>1810</v>
      </c>
      <c r="G362" s="14" t="s">
        <v>36</v>
      </c>
      <c r="H362" s="28">
        <v>1000000</v>
      </c>
      <c r="I362" s="13" t="s">
        <v>1214</v>
      </c>
      <c r="J362" s="11" t="s">
        <v>181</v>
      </c>
      <c r="K362" s="13" t="s">
        <v>1811</v>
      </c>
      <c r="L362" s="43" t="s">
        <v>1812</v>
      </c>
      <c r="M362" s="26">
        <v>45321</v>
      </c>
      <c r="N362" s="13" t="s">
        <v>226</v>
      </c>
      <c r="O362" s="20" t="s">
        <v>227</v>
      </c>
      <c r="P362" s="20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0"/>
      <c r="AD362" s="20"/>
      <c r="AE362" s="20"/>
      <c r="AF362" s="1" t="e">
        <f t="shared" si="25"/>
        <v>#DIV/0!</v>
      </c>
      <c r="AG362" s="11" t="e">
        <f t="shared" si="26"/>
        <v>#DIV/0!</v>
      </c>
    </row>
    <row r="363" spans="2:33" ht="26.25" hidden="1" x14ac:dyDescent="0.25">
      <c r="B363" s="5">
        <v>358</v>
      </c>
      <c r="C363" s="24" t="s">
        <v>1813</v>
      </c>
      <c r="D363" s="5" t="s">
        <v>51</v>
      </c>
      <c r="E363" s="13" t="s">
        <v>1814</v>
      </c>
      <c r="F363" s="13" t="s">
        <v>1815</v>
      </c>
      <c r="G363" s="14" t="s">
        <v>62</v>
      </c>
      <c r="H363" s="28">
        <v>629640</v>
      </c>
      <c r="I363" s="13" t="s">
        <v>859</v>
      </c>
      <c r="J363" s="11" t="s">
        <v>181</v>
      </c>
      <c r="K363" s="14" t="s">
        <v>1816</v>
      </c>
      <c r="L363" s="43" t="s">
        <v>1817</v>
      </c>
      <c r="M363" s="26">
        <v>45321</v>
      </c>
      <c r="N363" s="13" t="s">
        <v>41</v>
      </c>
      <c r="O363" s="13"/>
      <c r="P363" s="20"/>
      <c r="Q363" s="1">
        <v>289</v>
      </c>
      <c r="R363" s="1">
        <v>340</v>
      </c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>
        <v>304</v>
      </c>
      <c r="AD363" s="20"/>
      <c r="AE363" s="1">
        <f>COUNT(Q363:AD363)</f>
        <v>3</v>
      </c>
      <c r="AF363" s="1">
        <f t="shared" si="25"/>
        <v>311</v>
      </c>
      <c r="AG363" s="11" t="str">
        <f t="shared" si="26"/>
        <v>APROVADO</v>
      </c>
    </row>
    <row r="364" spans="2:33" ht="26.25" hidden="1" x14ac:dyDescent="0.25">
      <c r="B364" s="5">
        <v>359</v>
      </c>
      <c r="C364" s="24" t="s">
        <v>1818</v>
      </c>
      <c r="D364" s="5" t="s">
        <v>51</v>
      </c>
      <c r="E364" s="13" t="s">
        <v>1809</v>
      </c>
      <c r="F364" s="13" t="s">
        <v>1819</v>
      </c>
      <c r="G364" s="14" t="s">
        <v>107</v>
      </c>
      <c r="H364" s="28">
        <v>251480.5</v>
      </c>
      <c r="I364" s="13" t="s">
        <v>1214</v>
      </c>
      <c r="J364" s="11" t="s">
        <v>181</v>
      </c>
      <c r="K364" s="13" t="s">
        <v>1811</v>
      </c>
      <c r="L364" s="43" t="s">
        <v>1812</v>
      </c>
      <c r="M364" s="26">
        <v>45321</v>
      </c>
      <c r="N364" s="13" t="s">
        <v>57</v>
      </c>
      <c r="O364" s="20"/>
      <c r="P364" s="20"/>
      <c r="Q364" s="1">
        <v>257</v>
      </c>
      <c r="R364" s="1"/>
      <c r="S364" s="1"/>
      <c r="T364" s="1"/>
      <c r="U364" s="1"/>
      <c r="V364" s="1">
        <v>262</v>
      </c>
      <c r="W364" s="1">
        <v>301</v>
      </c>
      <c r="X364" s="1"/>
      <c r="Y364" s="1"/>
      <c r="Z364" s="1"/>
      <c r="AA364" s="1"/>
      <c r="AB364" s="1"/>
      <c r="AC364" s="20"/>
      <c r="AD364" s="20"/>
      <c r="AE364" s="1">
        <f>COUNT(Q364:AD364)</f>
        <v>3</v>
      </c>
      <c r="AF364" s="1">
        <f t="shared" si="25"/>
        <v>273.33333333333331</v>
      </c>
      <c r="AG364" s="11" t="str">
        <f t="shared" si="26"/>
        <v>APROVADO</v>
      </c>
    </row>
    <row r="365" spans="2:33" ht="25.5" hidden="1" x14ac:dyDescent="0.25">
      <c r="B365" s="5">
        <v>360</v>
      </c>
      <c r="C365" s="6" t="s">
        <v>1820</v>
      </c>
      <c r="D365" s="5" t="s">
        <v>33</v>
      </c>
      <c r="E365" s="5" t="s">
        <v>1821</v>
      </c>
      <c r="F365" s="5" t="s">
        <v>1822</v>
      </c>
      <c r="G365" s="5" t="s">
        <v>62</v>
      </c>
      <c r="H365" s="17">
        <v>277666.61</v>
      </c>
      <c r="I365" s="7" t="s">
        <v>73</v>
      </c>
      <c r="J365" s="5" t="s">
        <v>74</v>
      </c>
      <c r="K365" s="5" t="s">
        <v>1823</v>
      </c>
      <c r="L365" s="9" t="s">
        <v>1824</v>
      </c>
      <c r="M365" s="10">
        <v>45321</v>
      </c>
      <c r="N365" s="5" t="s">
        <v>67</v>
      </c>
      <c r="O365" s="7" t="s">
        <v>1825</v>
      </c>
      <c r="P365" s="20"/>
      <c r="Q365" s="39">
        <v>302</v>
      </c>
      <c r="R365" s="1">
        <v>112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>
        <v>296</v>
      </c>
      <c r="AD365" s="1"/>
      <c r="AE365" s="1">
        <f>COUNT(Q365:AD365)</f>
        <v>3</v>
      </c>
      <c r="AF365" s="1">
        <f t="shared" si="25"/>
        <v>236.66666666666666</v>
      </c>
      <c r="AG365" s="11" t="str">
        <f t="shared" si="26"/>
        <v>APROVADO</v>
      </c>
    </row>
    <row r="366" spans="2:33" ht="30" hidden="1" x14ac:dyDescent="0.25">
      <c r="B366" s="5">
        <v>361</v>
      </c>
      <c r="C366" s="24" t="s">
        <v>1826</v>
      </c>
      <c r="D366" s="5" t="s">
        <v>51</v>
      </c>
      <c r="E366" s="13" t="s">
        <v>1827</v>
      </c>
      <c r="F366" s="13" t="s">
        <v>1828</v>
      </c>
      <c r="G366" s="14" t="s">
        <v>107</v>
      </c>
      <c r="H366" s="28">
        <v>40000</v>
      </c>
      <c r="I366" s="13" t="s">
        <v>1829</v>
      </c>
      <c r="J366" s="11" t="s">
        <v>181</v>
      </c>
      <c r="K366" s="13" t="s">
        <v>1830</v>
      </c>
      <c r="L366" s="47" t="s">
        <v>1831</v>
      </c>
      <c r="M366" s="26">
        <v>45321</v>
      </c>
      <c r="N366" s="13" t="s">
        <v>57</v>
      </c>
      <c r="O366" s="20"/>
      <c r="P366" s="20"/>
      <c r="Q366" s="1">
        <v>340</v>
      </c>
      <c r="R366" s="1"/>
      <c r="S366" s="1"/>
      <c r="T366" s="1"/>
      <c r="U366" s="1"/>
      <c r="V366" s="1"/>
      <c r="W366" s="1"/>
      <c r="X366" s="1">
        <v>340</v>
      </c>
      <c r="Y366" s="1">
        <v>340</v>
      </c>
      <c r="Z366" s="1"/>
      <c r="AA366" s="1"/>
      <c r="AB366" s="1"/>
      <c r="AC366" s="20"/>
      <c r="AD366" s="20"/>
      <c r="AE366" s="1">
        <f>COUNT(Q366:AD366)</f>
        <v>3</v>
      </c>
      <c r="AF366" s="1">
        <f t="shared" si="25"/>
        <v>340</v>
      </c>
      <c r="AG366" s="11" t="str">
        <f t="shared" si="26"/>
        <v>APROVADO</v>
      </c>
    </row>
    <row r="367" spans="2:33" ht="30" hidden="1" x14ac:dyDescent="0.25">
      <c r="B367" s="5">
        <v>362</v>
      </c>
      <c r="C367" s="24" t="s">
        <v>1832</v>
      </c>
      <c r="D367" s="5" t="s">
        <v>51</v>
      </c>
      <c r="E367" s="13" t="s">
        <v>1827</v>
      </c>
      <c r="F367" s="13" t="s">
        <v>1833</v>
      </c>
      <c r="G367" s="14" t="s">
        <v>36</v>
      </c>
      <c r="H367" s="28">
        <v>267800</v>
      </c>
      <c r="I367" s="13" t="s">
        <v>1829</v>
      </c>
      <c r="J367" s="11" t="s">
        <v>181</v>
      </c>
      <c r="K367" s="13" t="s">
        <v>1830</v>
      </c>
      <c r="L367" s="47" t="s">
        <v>1831</v>
      </c>
      <c r="M367" s="26">
        <v>45321</v>
      </c>
      <c r="N367" s="13" t="s">
        <v>57</v>
      </c>
      <c r="O367" s="20"/>
      <c r="P367" s="20"/>
      <c r="Q367" s="1">
        <v>271</v>
      </c>
      <c r="R367" s="1"/>
      <c r="S367" s="1"/>
      <c r="T367" s="1"/>
      <c r="U367" s="1"/>
      <c r="V367" s="1"/>
      <c r="W367" s="1"/>
      <c r="X367" s="1">
        <v>300</v>
      </c>
      <c r="Y367" s="1">
        <v>298</v>
      </c>
      <c r="Z367" s="1"/>
      <c r="AA367" s="1"/>
      <c r="AB367" s="1"/>
      <c r="AC367" s="20"/>
      <c r="AD367" s="20"/>
      <c r="AE367" s="1">
        <f>COUNT(Q367:AD367)</f>
        <v>3</v>
      </c>
      <c r="AF367" s="1">
        <f t="shared" si="25"/>
        <v>289.66666666666669</v>
      </c>
      <c r="AG367" s="11" t="str">
        <f t="shared" si="26"/>
        <v>APROVADO</v>
      </c>
    </row>
    <row r="368" spans="2:33" ht="39" hidden="1" x14ac:dyDescent="0.25">
      <c r="B368" s="5">
        <v>363</v>
      </c>
      <c r="C368" s="32" t="s">
        <v>1834</v>
      </c>
      <c r="D368" s="5" t="s">
        <v>51</v>
      </c>
      <c r="E368" s="13" t="s">
        <v>1814</v>
      </c>
      <c r="F368" s="13" t="s">
        <v>1835</v>
      </c>
      <c r="G368" s="14" t="s">
        <v>107</v>
      </c>
      <c r="H368" s="28">
        <v>318990</v>
      </c>
      <c r="I368" s="13" t="s">
        <v>859</v>
      </c>
      <c r="J368" s="11" t="s">
        <v>181</v>
      </c>
      <c r="K368" s="14" t="s">
        <v>1816</v>
      </c>
      <c r="L368" s="14" t="s">
        <v>1836</v>
      </c>
      <c r="M368" s="26">
        <v>45321</v>
      </c>
      <c r="N368" s="13" t="s">
        <v>226</v>
      </c>
      <c r="O368" s="14" t="s">
        <v>1837</v>
      </c>
      <c r="P368" s="20"/>
      <c r="Q368" s="1">
        <v>0</v>
      </c>
      <c r="R368" s="1"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0"/>
      <c r="AD368" s="20"/>
      <c r="AE368" s="20"/>
      <c r="AF368" s="1">
        <f t="shared" si="25"/>
        <v>0</v>
      </c>
      <c r="AG368" s="11" t="str">
        <f t="shared" si="26"/>
        <v>REPROVADO</v>
      </c>
    </row>
    <row r="369" spans="2:33" ht="26.25" hidden="1" x14ac:dyDescent="0.25">
      <c r="B369" s="5">
        <v>364</v>
      </c>
      <c r="C369" s="32" t="s">
        <v>1838</v>
      </c>
      <c r="D369" s="5" t="s">
        <v>51</v>
      </c>
      <c r="E369" s="13" t="s">
        <v>1814</v>
      </c>
      <c r="F369" s="13" t="s">
        <v>1839</v>
      </c>
      <c r="G369" s="14" t="s">
        <v>107</v>
      </c>
      <c r="H369" s="28">
        <v>1000000</v>
      </c>
      <c r="I369" s="13" t="s">
        <v>859</v>
      </c>
      <c r="J369" s="11" t="s">
        <v>181</v>
      </c>
      <c r="K369" s="14" t="s">
        <v>1816</v>
      </c>
      <c r="L369" s="43" t="s">
        <v>1817</v>
      </c>
      <c r="M369" s="26">
        <v>45321</v>
      </c>
      <c r="N369" s="13" t="s">
        <v>226</v>
      </c>
      <c r="O369" s="13" t="s">
        <v>600</v>
      </c>
      <c r="P369" s="20"/>
      <c r="Q369" s="1">
        <v>0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0"/>
      <c r="AD369" s="20"/>
      <c r="AE369" s="20"/>
      <c r="AF369" s="1">
        <f t="shared" si="25"/>
        <v>0</v>
      </c>
      <c r="AG369" s="11" t="str">
        <f t="shared" si="26"/>
        <v>REPROVADO</v>
      </c>
    </row>
    <row r="370" spans="2:33" ht="38.25" hidden="1" x14ac:dyDescent="0.25">
      <c r="B370" s="5">
        <v>365</v>
      </c>
      <c r="C370" s="16" t="s">
        <v>1840</v>
      </c>
      <c r="D370" s="5" t="s">
        <v>33</v>
      </c>
      <c r="E370" s="7" t="s">
        <v>1841</v>
      </c>
      <c r="F370" s="7" t="s">
        <v>1842</v>
      </c>
      <c r="G370" s="7" t="s">
        <v>36</v>
      </c>
      <c r="H370" s="8">
        <v>190000</v>
      </c>
      <c r="I370" s="7" t="s">
        <v>1843</v>
      </c>
      <c r="J370" s="7" t="s">
        <v>95</v>
      </c>
      <c r="K370" s="7" t="s">
        <v>1844</v>
      </c>
      <c r="L370" s="9" t="s">
        <v>1845</v>
      </c>
      <c r="M370" s="10">
        <v>45322</v>
      </c>
      <c r="N370" s="7" t="s">
        <v>82</v>
      </c>
      <c r="O370" s="7" t="s">
        <v>1640</v>
      </c>
      <c r="P370" s="20"/>
      <c r="Q370" s="40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 t="e">
        <f t="shared" si="25"/>
        <v>#DIV/0!</v>
      </c>
      <c r="AG370" s="11" t="e">
        <f t="shared" si="26"/>
        <v>#DIV/0!</v>
      </c>
    </row>
    <row r="371" spans="2:33" ht="25.5" hidden="1" x14ac:dyDescent="0.25">
      <c r="B371" s="5">
        <v>366</v>
      </c>
      <c r="C371" s="6" t="s">
        <v>1846</v>
      </c>
      <c r="D371" s="5" t="s">
        <v>33</v>
      </c>
      <c r="E371" s="7" t="s">
        <v>1847</v>
      </c>
      <c r="F371" s="7" t="s">
        <v>1848</v>
      </c>
      <c r="G371" s="7" t="s">
        <v>107</v>
      </c>
      <c r="H371" s="17">
        <v>500000</v>
      </c>
      <c r="I371" s="7" t="s">
        <v>73</v>
      </c>
      <c r="J371" s="5" t="s">
        <v>74</v>
      </c>
      <c r="K371" s="7" t="s">
        <v>1849</v>
      </c>
      <c r="L371" s="9" t="s">
        <v>1850</v>
      </c>
      <c r="M371" s="10">
        <v>45321</v>
      </c>
      <c r="N371" s="7" t="s">
        <v>41</v>
      </c>
      <c r="O371" s="7"/>
      <c r="P371" s="20"/>
      <c r="Q371" s="40">
        <v>300</v>
      </c>
      <c r="R371" s="1"/>
      <c r="S371" s="1"/>
      <c r="T371" s="1"/>
      <c r="U371" s="1"/>
      <c r="V371" s="1"/>
      <c r="W371" s="1"/>
      <c r="X371" s="1">
        <v>306</v>
      </c>
      <c r="Y371" s="1"/>
      <c r="Z371" s="1"/>
      <c r="AA371" s="1"/>
      <c r="AB371" s="1"/>
      <c r="AC371" s="1"/>
      <c r="AD371" s="1">
        <v>340</v>
      </c>
      <c r="AE371" s="1">
        <f>COUNT(Q371:AD371)</f>
        <v>3</v>
      </c>
      <c r="AF371" s="1">
        <f t="shared" si="25"/>
        <v>315.33333333333331</v>
      </c>
      <c r="AG371" s="11" t="str">
        <f t="shared" si="26"/>
        <v>APROVADO</v>
      </c>
    </row>
    <row r="372" spans="2:33" ht="51" hidden="1" x14ac:dyDescent="0.25">
      <c r="B372" s="5">
        <v>367</v>
      </c>
      <c r="C372" s="22" t="s">
        <v>1851</v>
      </c>
      <c r="D372" s="5" t="s">
        <v>51</v>
      </c>
      <c r="E372" s="9" t="s">
        <v>1852</v>
      </c>
      <c r="F372" s="11" t="s">
        <v>1853</v>
      </c>
      <c r="G372" s="14" t="s">
        <v>36</v>
      </c>
      <c r="H372" s="28">
        <v>150000</v>
      </c>
      <c r="I372" s="13" t="s">
        <v>1854</v>
      </c>
      <c r="J372" s="11" t="s">
        <v>241</v>
      </c>
      <c r="K372" s="14" t="s">
        <v>1855</v>
      </c>
      <c r="L372" s="43" t="s">
        <v>1856</v>
      </c>
      <c r="M372" s="26">
        <v>45321</v>
      </c>
      <c r="N372" s="9" t="s">
        <v>41</v>
      </c>
      <c r="O372" s="13"/>
      <c r="P372" s="20"/>
      <c r="Q372" s="1">
        <v>330</v>
      </c>
      <c r="R372" s="1">
        <v>209</v>
      </c>
      <c r="S372" s="1"/>
      <c r="T372" s="1">
        <v>229</v>
      </c>
      <c r="U372" s="1"/>
      <c r="V372" s="1"/>
      <c r="W372" s="1"/>
      <c r="X372" s="1"/>
      <c r="Y372" s="1"/>
      <c r="Z372" s="1"/>
      <c r="AA372" s="1"/>
      <c r="AB372" s="1"/>
      <c r="AC372" s="48"/>
      <c r="AD372" s="48"/>
      <c r="AE372" s="1">
        <f>COUNT(Q372:AD372)</f>
        <v>3</v>
      </c>
      <c r="AF372" s="1">
        <f t="shared" si="25"/>
        <v>256</v>
      </c>
      <c r="AG372" s="11" t="str">
        <f t="shared" si="26"/>
        <v>APROVADO</v>
      </c>
    </row>
    <row r="373" spans="2:33" ht="25.5" hidden="1" x14ac:dyDescent="0.25">
      <c r="B373" s="5">
        <v>368</v>
      </c>
      <c r="C373" s="27" t="s">
        <v>1857</v>
      </c>
      <c r="D373" s="5" t="s">
        <v>33</v>
      </c>
      <c r="E373" s="7" t="s">
        <v>1858</v>
      </c>
      <c r="F373" s="7" t="s">
        <v>1859</v>
      </c>
      <c r="G373" s="7" t="s">
        <v>36</v>
      </c>
      <c r="H373" s="8">
        <v>47071.72</v>
      </c>
      <c r="I373" s="7" t="s">
        <v>538</v>
      </c>
      <c r="J373" s="7" t="s">
        <v>115</v>
      </c>
      <c r="K373" s="7" t="s">
        <v>1860</v>
      </c>
      <c r="L373" s="9" t="s">
        <v>1861</v>
      </c>
      <c r="M373" s="10">
        <v>45321</v>
      </c>
      <c r="N373" s="7" t="s">
        <v>41</v>
      </c>
      <c r="O373" s="7"/>
      <c r="P373" s="20"/>
      <c r="Q373" s="40">
        <v>340</v>
      </c>
      <c r="R373" s="1">
        <v>211</v>
      </c>
      <c r="S373" s="1"/>
      <c r="T373" s="1">
        <v>232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>
        <f>COUNT(Q373:AD373)</f>
        <v>3</v>
      </c>
      <c r="AF373" s="1">
        <f t="shared" si="25"/>
        <v>261</v>
      </c>
      <c r="AG373" s="11" t="str">
        <f t="shared" si="26"/>
        <v>APROVADO</v>
      </c>
    </row>
    <row r="374" spans="2:33" ht="38.25" hidden="1" x14ac:dyDescent="0.25">
      <c r="B374" s="5">
        <v>369</v>
      </c>
      <c r="C374" s="16" t="s">
        <v>1862</v>
      </c>
      <c r="D374" s="5" t="s">
        <v>33</v>
      </c>
      <c r="E374" s="7" t="s">
        <v>1858</v>
      </c>
      <c r="F374" s="7" t="s">
        <v>1863</v>
      </c>
      <c r="G374" s="7" t="s">
        <v>36</v>
      </c>
      <c r="H374" s="8">
        <v>1410121.6</v>
      </c>
      <c r="I374" s="7" t="s">
        <v>538</v>
      </c>
      <c r="J374" s="7" t="s">
        <v>115</v>
      </c>
      <c r="K374" s="7" t="s">
        <v>1860</v>
      </c>
      <c r="L374" s="9" t="s">
        <v>1861</v>
      </c>
      <c r="M374" s="10">
        <v>45321</v>
      </c>
      <c r="N374" s="13" t="s">
        <v>226</v>
      </c>
      <c r="O374" s="7"/>
      <c r="P374" s="20"/>
      <c r="Q374" s="40">
        <v>0</v>
      </c>
      <c r="R374" s="1">
        <v>0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>
        <f t="shared" si="25"/>
        <v>0</v>
      </c>
      <c r="AG374" s="11" t="str">
        <f t="shared" si="26"/>
        <v>REPROVADO</v>
      </c>
    </row>
    <row r="375" spans="2:33" ht="26.25" hidden="1" x14ac:dyDescent="0.25">
      <c r="B375" s="5">
        <v>370</v>
      </c>
      <c r="C375" s="22" t="s">
        <v>1864</v>
      </c>
      <c r="D375" s="39" t="s">
        <v>51</v>
      </c>
      <c r="E375" s="9" t="s">
        <v>1865</v>
      </c>
      <c r="F375" s="1" t="s">
        <v>1866</v>
      </c>
      <c r="G375" s="14" t="s">
        <v>107</v>
      </c>
      <c r="H375" s="28">
        <v>364200</v>
      </c>
      <c r="I375" s="13" t="s">
        <v>1867</v>
      </c>
      <c r="J375" s="11" t="s">
        <v>223</v>
      </c>
      <c r="K375" s="14" t="s">
        <v>1868</v>
      </c>
      <c r="L375" s="43" t="s">
        <v>1869</v>
      </c>
      <c r="M375" s="26">
        <v>45321</v>
      </c>
      <c r="N375" s="9" t="s">
        <v>41</v>
      </c>
      <c r="O375" s="13"/>
      <c r="P375" s="20"/>
      <c r="Q375" s="1">
        <v>337</v>
      </c>
      <c r="R375" s="1">
        <v>150</v>
      </c>
      <c r="S375" s="1"/>
      <c r="T375" s="1">
        <v>215</v>
      </c>
      <c r="U375" s="1"/>
      <c r="V375" s="1"/>
      <c r="W375" s="1"/>
      <c r="X375" s="1"/>
      <c r="Y375" s="1"/>
      <c r="Z375" s="1"/>
      <c r="AA375" s="1"/>
      <c r="AB375" s="1"/>
      <c r="AC375" s="20"/>
      <c r="AD375" s="20"/>
      <c r="AE375" s="1">
        <f>COUNT(Q375:AD375)</f>
        <v>3</v>
      </c>
      <c r="AF375" s="1">
        <f t="shared" si="25"/>
        <v>234</v>
      </c>
      <c r="AG375" s="11" t="str">
        <f t="shared" si="26"/>
        <v>APROVADO</v>
      </c>
    </row>
    <row r="376" spans="2:33" ht="63.75" hidden="1" x14ac:dyDescent="0.25">
      <c r="B376" s="5">
        <v>371</v>
      </c>
      <c r="C376" s="6" t="s">
        <v>1870</v>
      </c>
      <c r="D376" s="5" t="s">
        <v>33</v>
      </c>
      <c r="E376" s="5" t="s">
        <v>1871</v>
      </c>
      <c r="F376" s="5" t="s">
        <v>1872</v>
      </c>
      <c r="G376" s="7" t="s">
        <v>36</v>
      </c>
      <c r="H376" s="17">
        <v>749942.88</v>
      </c>
      <c r="I376" s="7" t="s">
        <v>73</v>
      </c>
      <c r="J376" s="5" t="s">
        <v>74</v>
      </c>
      <c r="K376" s="5" t="s">
        <v>1873</v>
      </c>
      <c r="L376" s="9" t="s">
        <v>1874</v>
      </c>
      <c r="M376" s="10">
        <v>45321</v>
      </c>
      <c r="N376" s="5" t="s">
        <v>67</v>
      </c>
      <c r="O376" s="7" t="s">
        <v>90</v>
      </c>
      <c r="P376" s="20"/>
      <c r="Q376" s="39">
        <v>277</v>
      </c>
      <c r="R376" s="1">
        <v>142</v>
      </c>
      <c r="S376" s="1"/>
      <c r="T376" s="1"/>
      <c r="U376" s="1"/>
      <c r="V376" s="1">
        <v>264</v>
      </c>
      <c r="W376" s="1"/>
      <c r="X376" s="1"/>
      <c r="Y376" s="1"/>
      <c r="Z376" s="1"/>
      <c r="AA376" s="1"/>
      <c r="AB376" s="1"/>
      <c r="AC376" s="1"/>
      <c r="AD376" s="1"/>
      <c r="AE376" s="1">
        <f>COUNT(Q376:AD376)</f>
        <v>3</v>
      </c>
      <c r="AF376" s="1">
        <f t="shared" si="25"/>
        <v>227.66666666666666</v>
      </c>
      <c r="AG376" s="11" t="str">
        <f t="shared" si="26"/>
        <v>APROVADO</v>
      </c>
    </row>
    <row r="377" spans="2:33" ht="38.25" hidden="1" x14ac:dyDescent="0.25">
      <c r="B377" s="5">
        <v>372</v>
      </c>
      <c r="C377" s="16" t="s">
        <v>1875</v>
      </c>
      <c r="D377" s="5" t="s">
        <v>33</v>
      </c>
      <c r="E377" s="7" t="s">
        <v>1876</v>
      </c>
      <c r="F377" s="7" t="s">
        <v>1842</v>
      </c>
      <c r="G377" s="7" t="s">
        <v>36</v>
      </c>
      <c r="H377" s="8">
        <v>50000</v>
      </c>
      <c r="I377" s="7" t="s">
        <v>1877</v>
      </c>
      <c r="J377" s="7" t="s">
        <v>95</v>
      </c>
      <c r="K377" s="7" t="s">
        <v>1878</v>
      </c>
      <c r="L377" s="9" t="s">
        <v>1879</v>
      </c>
      <c r="M377" s="10">
        <v>45322</v>
      </c>
      <c r="N377" s="7" t="s">
        <v>82</v>
      </c>
      <c r="O377" s="7" t="s">
        <v>1640</v>
      </c>
      <c r="P377" s="20"/>
      <c r="Q377" s="40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 t="e">
        <f t="shared" si="25"/>
        <v>#DIV/0!</v>
      </c>
      <c r="AG377" s="11" t="e">
        <f t="shared" si="26"/>
        <v>#DIV/0!</v>
      </c>
    </row>
    <row r="378" spans="2:33" ht="38.25" hidden="1" x14ac:dyDescent="0.25">
      <c r="B378" s="5">
        <v>373</v>
      </c>
      <c r="C378" s="27" t="s">
        <v>1880</v>
      </c>
      <c r="D378" s="5" t="s">
        <v>33</v>
      </c>
      <c r="E378" s="7" t="s">
        <v>1881</v>
      </c>
      <c r="F378" s="7" t="s">
        <v>1882</v>
      </c>
      <c r="G378" s="7" t="s">
        <v>36</v>
      </c>
      <c r="H378" s="8">
        <v>980304</v>
      </c>
      <c r="I378" s="7" t="s">
        <v>73</v>
      </c>
      <c r="J378" s="7" t="s">
        <v>74</v>
      </c>
      <c r="K378" s="7" t="s">
        <v>1883</v>
      </c>
      <c r="L378" s="9" t="s">
        <v>1884</v>
      </c>
      <c r="M378" s="10">
        <v>45321</v>
      </c>
      <c r="N378" s="7" t="s">
        <v>41</v>
      </c>
      <c r="O378" s="7"/>
      <c r="P378" s="20"/>
      <c r="Q378" s="40">
        <v>332</v>
      </c>
      <c r="R378" s="1">
        <v>147</v>
      </c>
      <c r="S378" s="1"/>
      <c r="T378" s="1">
        <v>197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f>COUNT(Q378:AD378)</f>
        <v>3</v>
      </c>
      <c r="AF378" s="1">
        <f t="shared" si="25"/>
        <v>225.33333333333334</v>
      </c>
      <c r="AG378" s="11" t="str">
        <f t="shared" si="26"/>
        <v>APROVADO</v>
      </c>
    </row>
    <row r="379" spans="2:33" ht="25.5" hidden="1" x14ac:dyDescent="0.25">
      <c r="B379" s="5">
        <v>374</v>
      </c>
      <c r="C379" s="16" t="s">
        <v>1885</v>
      </c>
      <c r="D379" s="5" t="s">
        <v>33</v>
      </c>
      <c r="E379" s="7" t="s">
        <v>904</v>
      </c>
      <c r="F379" s="7" t="s">
        <v>1886</v>
      </c>
      <c r="G379" s="7" t="s">
        <v>36</v>
      </c>
      <c r="H379" s="8">
        <v>105500</v>
      </c>
      <c r="I379" s="7" t="s">
        <v>1887</v>
      </c>
      <c r="J379" s="7" t="s">
        <v>223</v>
      </c>
      <c r="K379" s="7" t="s">
        <v>1888</v>
      </c>
      <c r="L379" s="9" t="s">
        <v>1889</v>
      </c>
      <c r="M379" s="10">
        <v>45322</v>
      </c>
      <c r="N379" s="13" t="s">
        <v>226</v>
      </c>
      <c r="O379" s="7" t="s">
        <v>1890</v>
      </c>
      <c r="P379" s="20"/>
      <c r="Q379" s="40">
        <v>0</v>
      </c>
      <c r="R379" s="1">
        <v>0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>
        <f t="shared" si="25"/>
        <v>0</v>
      </c>
      <c r="AG379" s="11" t="str">
        <f t="shared" si="26"/>
        <v>REPROVADO</v>
      </c>
    </row>
    <row r="380" spans="2:33" hidden="1" x14ac:dyDescent="0.25">
      <c r="B380" s="5">
        <v>375</v>
      </c>
      <c r="C380" s="27" t="s">
        <v>1891</v>
      </c>
      <c r="D380" s="5" t="s">
        <v>33</v>
      </c>
      <c r="E380" s="7" t="s">
        <v>904</v>
      </c>
      <c r="F380" s="7" t="s">
        <v>1892</v>
      </c>
      <c r="G380" s="7" t="s">
        <v>36</v>
      </c>
      <c r="H380" s="8">
        <v>40000</v>
      </c>
      <c r="I380" s="7" t="s">
        <v>1887</v>
      </c>
      <c r="J380" s="7" t="s">
        <v>223</v>
      </c>
      <c r="K380" s="7" t="s">
        <v>1888</v>
      </c>
      <c r="L380" s="9" t="s">
        <v>1889</v>
      </c>
      <c r="M380" s="10">
        <v>45322</v>
      </c>
      <c r="N380" s="7" t="s">
        <v>41</v>
      </c>
      <c r="O380" s="7"/>
      <c r="P380" s="20"/>
      <c r="Q380" s="40">
        <v>340</v>
      </c>
      <c r="R380" s="1">
        <v>216</v>
      </c>
      <c r="S380" s="1"/>
      <c r="T380" s="1">
        <v>223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>
        <f>COUNT(Q380:AD380)</f>
        <v>3</v>
      </c>
      <c r="AF380" s="1">
        <f t="shared" si="25"/>
        <v>259.66666666666669</v>
      </c>
      <c r="AG380" s="11" t="str">
        <f t="shared" si="26"/>
        <v>APROVADO</v>
      </c>
    </row>
    <row r="381" spans="2:33" ht="25.5" hidden="1" x14ac:dyDescent="0.25">
      <c r="B381" s="5">
        <v>376</v>
      </c>
      <c r="C381" s="6" t="s">
        <v>1893</v>
      </c>
      <c r="D381" s="5" t="s">
        <v>33</v>
      </c>
      <c r="E381" s="7" t="s">
        <v>1894</v>
      </c>
      <c r="F381" s="7" t="s">
        <v>1895</v>
      </c>
      <c r="G381" s="7" t="s">
        <v>36</v>
      </c>
      <c r="H381" s="8">
        <v>120000</v>
      </c>
      <c r="I381" s="7" t="s">
        <v>1896</v>
      </c>
      <c r="J381" s="7" t="s">
        <v>154</v>
      </c>
      <c r="K381" s="7" t="s">
        <v>1897</v>
      </c>
      <c r="L381" s="9" t="s">
        <v>1898</v>
      </c>
      <c r="M381" s="10">
        <v>45322</v>
      </c>
      <c r="N381" s="7" t="s">
        <v>67</v>
      </c>
      <c r="O381" s="7"/>
      <c r="P381" s="20"/>
      <c r="Q381" s="40">
        <v>267</v>
      </c>
      <c r="R381" s="1"/>
      <c r="S381" s="1"/>
      <c r="T381" s="1"/>
      <c r="U381" s="1"/>
      <c r="V381" s="1">
        <v>260</v>
      </c>
      <c r="W381" s="1">
        <v>279</v>
      </c>
      <c r="X381" s="1"/>
      <c r="Y381" s="1"/>
      <c r="Z381" s="1"/>
      <c r="AA381" s="1"/>
      <c r="AB381" s="1"/>
      <c r="AC381" s="1"/>
      <c r="AD381" s="1"/>
      <c r="AE381" s="1">
        <f>COUNT(Q381:AD381)</f>
        <v>3</v>
      </c>
      <c r="AF381" s="1">
        <f t="shared" si="25"/>
        <v>268.66666666666669</v>
      </c>
      <c r="AG381" s="11" t="str">
        <f t="shared" si="26"/>
        <v>APROVADO</v>
      </c>
    </row>
    <row r="382" spans="2:33" ht="25.5" hidden="1" x14ac:dyDescent="0.25">
      <c r="B382" s="5">
        <v>377</v>
      </c>
      <c r="C382" s="6" t="s">
        <v>1899</v>
      </c>
      <c r="D382" s="5" t="s">
        <v>51</v>
      </c>
      <c r="E382" s="7" t="s">
        <v>1900</v>
      </c>
      <c r="F382" s="7" t="s">
        <v>1901</v>
      </c>
      <c r="G382" s="7" t="s">
        <v>107</v>
      </c>
      <c r="H382" s="28">
        <v>66000</v>
      </c>
      <c r="I382" s="13" t="s">
        <v>1902</v>
      </c>
      <c r="J382" s="11" t="s">
        <v>189</v>
      </c>
      <c r="K382" s="13" t="s">
        <v>1903</v>
      </c>
      <c r="L382" s="30" t="s">
        <v>1904</v>
      </c>
      <c r="M382" s="26">
        <v>45322</v>
      </c>
      <c r="N382" s="13" t="s">
        <v>57</v>
      </c>
      <c r="O382" s="13"/>
      <c r="P382" s="20"/>
      <c r="Q382" s="1">
        <v>300</v>
      </c>
      <c r="R382" s="1"/>
      <c r="S382" s="1"/>
      <c r="T382" s="1"/>
      <c r="U382" s="1"/>
      <c r="V382" s="1">
        <v>251</v>
      </c>
      <c r="W382" s="1">
        <v>291</v>
      </c>
      <c r="X382" s="1"/>
      <c r="Y382" s="1"/>
      <c r="Z382" s="1"/>
      <c r="AA382" s="1"/>
      <c r="AB382" s="1"/>
      <c r="AC382" s="20"/>
      <c r="AD382" s="20"/>
      <c r="AE382" s="1">
        <f>COUNT(Q382:AD382)</f>
        <v>3</v>
      </c>
      <c r="AF382" s="1">
        <f t="shared" si="25"/>
        <v>280.66666666666669</v>
      </c>
      <c r="AG382" s="11" t="str">
        <f t="shared" si="26"/>
        <v>APROVADO</v>
      </c>
    </row>
    <row r="383" spans="2:33" hidden="1" x14ac:dyDescent="0.25">
      <c r="B383" s="5">
        <v>378</v>
      </c>
      <c r="C383" s="6" t="s">
        <v>1905</v>
      </c>
      <c r="D383" s="5" t="s">
        <v>51</v>
      </c>
      <c r="E383" s="7" t="s">
        <v>1906</v>
      </c>
      <c r="F383" s="7" t="s">
        <v>1907</v>
      </c>
      <c r="G383" s="7" t="s">
        <v>62</v>
      </c>
      <c r="H383" s="28">
        <v>156000</v>
      </c>
      <c r="I383" s="13" t="s">
        <v>1908</v>
      </c>
      <c r="J383" s="11" t="s">
        <v>348</v>
      </c>
      <c r="K383" s="13" t="s">
        <v>1909</v>
      </c>
      <c r="L383" s="30" t="s">
        <v>1910</v>
      </c>
      <c r="M383" s="26">
        <v>45322</v>
      </c>
      <c r="N383" s="13" t="s">
        <v>57</v>
      </c>
      <c r="O383" s="13"/>
      <c r="P383" s="20"/>
      <c r="Q383" s="1">
        <v>340</v>
      </c>
      <c r="R383" s="1"/>
      <c r="S383" s="1"/>
      <c r="T383" s="1"/>
      <c r="U383" s="1"/>
      <c r="V383" s="1">
        <v>340</v>
      </c>
      <c r="W383" s="1">
        <v>340</v>
      </c>
      <c r="X383" s="1"/>
      <c r="Y383" s="1"/>
      <c r="Z383" s="1"/>
      <c r="AA383" s="1"/>
      <c r="AB383" s="1"/>
      <c r="AC383" s="20"/>
      <c r="AD383" s="20"/>
      <c r="AE383" s="1">
        <f>COUNT(Q383:AD383)</f>
        <v>3</v>
      </c>
      <c r="AF383" s="1">
        <f t="shared" si="25"/>
        <v>340</v>
      </c>
      <c r="AG383" s="11" t="str">
        <f t="shared" si="26"/>
        <v>APROVADO</v>
      </c>
    </row>
    <row r="384" spans="2:33" hidden="1" x14ac:dyDescent="0.25">
      <c r="B384" s="5">
        <v>379</v>
      </c>
      <c r="C384" s="16" t="s">
        <v>1911</v>
      </c>
      <c r="D384" s="5" t="s">
        <v>51</v>
      </c>
      <c r="E384" s="7" t="s">
        <v>1906</v>
      </c>
      <c r="F384" s="7" t="s">
        <v>1912</v>
      </c>
      <c r="G384" s="7" t="s">
        <v>174</v>
      </c>
      <c r="H384" s="28">
        <v>180000</v>
      </c>
      <c r="I384" s="13" t="s">
        <v>1908</v>
      </c>
      <c r="J384" s="11" t="s">
        <v>348</v>
      </c>
      <c r="K384" s="13" t="s">
        <v>1909</v>
      </c>
      <c r="L384" s="30" t="s">
        <v>1910</v>
      </c>
      <c r="M384" s="26">
        <v>45322</v>
      </c>
      <c r="N384" s="13" t="s">
        <v>226</v>
      </c>
      <c r="O384" s="13" t="s">
        <v>227</v>
      </c>
      <c r="P384" s="20"/>
      <c r="Q384" s="1">
        <v>0</v>
      </c>
      <c r="R384" s="1">
        <v>0</v>
      </c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0"/>
      <c r="AD384" s="20"/>
      <c r="AE384" s="20"/>
      <c r="AF384" s="1">
        <f t="shared" si="25"/>
        <v>0</v>
      </c>
      <c r="AG384" s="11" t="str">
        <f t="shared" si="26"/>
        <v>REPROVADO</v>
      </c>
    </row>
    <row r="385" spans="2:33" hidden="1" x14ac:dyDescent="0.25">
      <c r="B385" s="5">
        <v>380</v>
      </c>
      <c r="C385" s="6" t="s">
        <v>1913</v>
      </c>
      <c r="D385" s="5" t="s">
        <v>51</v>
      </c>
      <c r="E385" s="7" t="s">
        <v>1906</v>
      </c>
      <c r="F385" s="7" t="s">
        <v>1914</v>
      </c>
      <c r="G385" s="7" t="s">
        <v>174</v>
      </c>
      <c r="H385" s="28">
        <v>100000</v>
      </c>
      <c r="I385" s="13" t="s">
        <v>1908</v>
      </c>
      <c r="J385" s="11" t="s">
        <v>348</v>
      </c>
      <c r="K385" s="13" t="s">
        <v>1909</v>
      </c>
      <c r="L385" s="30" t="s">
        <v>1910</v>
      </c>
      <c r="M385" s="26">
        <v>45322</v>
      </c>
      <c r="N385" s="13" t="s">
        <v>57</v>
      </c>
      <c r="O385" s="13"/>
      <c r="P385" s="20"/>
      <c r="Q385" s="1">
        <v>334</v>
      </c>
      <c r="R385" s="1"/>
      <c r="S385" s="1"/>
      <c r="T385" s="1"/>
      <c r="U385" s="1"/>
      <c r="V385" s="1"/>
      <c r="W385" s="1"/>
      <c r="X385" s="1"/>
      <c r="Y385" s="1"/>
      <c r="Z385" s="1"/>
      <c r="AA385" s="1">
        <v>252</v>
      </c>
      <c r="AB385" s="1"/>
      <c r="AC385" s="20">
        <v>334</v>
      </c>
      <c r="AD385" s="20"/>
      <c r="AE385" s="1">
        <f>COUNT(Q385:AD385)</f>
        <v>3</v>
      </c>
      <c r="AF385" s="1">
        <f t="shared" si="25"/>
        <v>306.66666666666669</v>
      </c>
      <c r="AG385" s="11" t="str">
        <f t="shared" si="26"/>
        <v>APROVADO</v>
      </c>
    </row>
    <row r="386" spans="2:33" ht="25.5" hidden="1" x14ac:dyDescent="0.25">
      <c r="B386" s="5">
        <v>381</v>
      </c>
      <c r="C386" s="6" t="s">
        <v>1915</v>
      </c>
      <c r="D386" s="5" t="s">
        <v>33</v>
      </c>
      <c r="E386" s="5" t="s">
        <v>1916</v>
      </c>
      <c r="F386" s="5" t="s">
        <v>1917</v>
      </c>
      <c r="G386" s="7" t="s">
        <v>36</v>
      </c>
      <c r="H386" s="8">
        <v>64900</v>
      </c>
      <c r="I386" s="7" t="s">
        <v>1908</v>
      </c>
      <c r="J386" s="7" t="s">
        <v>348</v>
      </c>
      <c r="K386" s="7" t="s">
        <v>1918</v>
      </c>
      <c r="L386" s="9" t="s">
        <v>1919</v>
      </c>
      <c r="M386" s="10">
        <v>45322</v>
      </c>
      <c r="N386" s="5" t="s">
        <v>67</v>
      </c>
      <c r="O386" s="7"/>
      <c r="P386" s="20"/>
      <c r="Q386" s="39">
        <v>340</v>
      </c>
      <c r="R386" s="1">
        <v>222</v>
      </c>
      <c r="S386" s="1"/>
      <c r="T386" s="1"/>
      <c r="U386" s="1"/>
      <c r="V386" s="1"/>
      <c r="W386" s="1">
        <v>340</v>
      </c>
      <c r="X386" s="1"/>
      <c r="Y386" s="1"/>
      <c r="Z386" s="1"/>
      <c r="AA386" s="1"/>
      <c r="AB386" s="1"/>
      <c r="AC386" s="1"/>
      <c r="AD386" s="1"/>
      <c r="AE386" s="1">
        <f>COUNT(Q386:AD386)</f>
        <v>3</v>
      </c>
      <c r="AF386" s="1">
        <f t="shared" si="25"/>
        <v>300.66666666666669</v>
      </c>
      <c r="AG386" s="11" t="str">
        <f t="shared" si="26"/>
        <v>APROVADO</v>
      </c>
    </row>
    <row r="387" spans="2:33" hidden="1" x14ac:dyDescent="0.25">
      <c r="B387" s="5">
        <v>382</v>
      </c>
      <c r="C387" s="27" t="s">
        <v>1920</v>
      </c>
      <c r="D387" s="5" t="s">
        <v>51</v>
      </c>
      <c r="E387" s="7" t="s">
        <v>1921</v>
      </c>
      <c r="F387" s="7" t="s">
        <v>221</v>
      </c>
      <c r="G387" s="7" t="s">
        <v>36</v>
      </c>
      <c r="H387" s="28">
        <v>85449.78</v>
      </c>
      <c r="I387" s="13" t="s">
        <v>1922</v>
      </c>
      <c r="J387" s="11" t="s">
        <v>348</v>
      </c>
      <c r="K387" s="13" t="s">
        <v>1923</v>
      </c>
      <c r="L387" s="30" t="s">
        <v>1924</v>
      </c>
      <c r="M387" s="26">
        <v>45322</v>
      </c>
      <c r="N387" s="13" t="s">
        <v>41</v>
      </c>
      <c r="O387" s="13"/>
      <c r="P387" s="20"/>
      <c r="Q387" s="1">
        <v>139</v>
      </c>
      <c r="R387" s="1">
        <v>180</v>
      </c>
      <c r="S387" s="1"/>
      <c r="T387" s="1">
        <v>183</v>
      </c>
      <c r="U387" s="1"/>
      <c r="V387" s="1"/>
      <c r="W387" s="1"/>
      <c r="X387" s="1"/>
      <c r="Y387" s="1"/>
      <c r="Z387" s="1"/>
      <c r="AA387" s="1"/>
      <c r="AB387" s="1"/>
      <c r="AC387" s="20"/>
      <c r="AD387" s="20"/>
      <c r="AE387" s="20"/>
      <c r="AF387" s="1">
        <f t="shared" si="25"/>
        <v>167.33333333333334</v>
      </c>
      <c r="AG387" s="11" t="str">
        <f t="shared" si="26"/>
        <v>REPROVADO</v>
      </c>
    </row>
    <row r="388" spans="2:33" hidden="1" x14ac:dyDescent="0.25">
      <c r="B388" s="5">
        <v>383</v>
      </c>
      <c r="C388" s="16" t="s">
        <v>1925</v>
      </c>
      <c r="D388" s="5" t="s">
        <v>33</v>
      </c>
      <c r="E388" s="5" t="s">
        <v>1926</v>
      </c>
      <c r="F388" s="5" t="s">
        <v>1927</v>
      </c>
      <c r="G388" s="7" t="s">
        <v>36</v>
      </c>
      <c r="H388" s="17">
        <v>334582.09999999998</v>
      </c>
      <c r="I388" s="7" t="s">
        <v>290</v>
      </c>
      <c r="J388" s="7" t="s">
        <v>154</v>
      </c>
      <c r="K388" s="7" t="s">
        <v>1928</v>
      </c>
      <c r="L388" s="9" t="s">
        <v>1929</v>
      </c>
      <c r="M388" s="10">
        <v>45322</v>
      </c>
      <c r="N388" s="7" t="s">
        <v>82</v>
      </c>
      <c r="O388" s="7" t="s">
        <v>1640</v>
      </c>
      <c r="P388" s="20"/>
      <c r="Q388" s="40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 t="e">
        <f t="shared" si="25"/>
        <v>#DIV/0!</v>
      </c>
      <c r="AG388" s="11" t="e">
        <f t="shared" si="26"/>
        <v>#DIV/0!</v>
      </c>
    </row>
    <row r="389" spans="2:33" hidden="1" x14ac:dyDescent="0.25">
      <c r="B389" s="5">
        <v>384</v>
      </c>
      <c r="C389" s="16" t="s">
        <v>1930</v>
      </c>
      <c r="D389" s="5" t="s">
        <v>51</v>
      </c>
      <c r="E389" s="7" t="s">
        <v>1931</v>
      </c>
      <c r="F389" s="7" t="s">
        <v>1932</v>
      </c>
      <c r="G389" s="7" t="s">
        <v>36</v>
      </c>
      <c r="H389" s="28">
        <v>350000</v>
      </c>
      <c r="I389" s="13" t="s">
        <v>1933</v>
      </c>
      <c r="J389" s="11" t="s">
        <v>115</v>
      </c>
      <c r="K389" s="13" t="s">
        <v>1934</v>
      </c>
      <c r="L389" s="30" t="s">
        <v>1935</v>
      </c>
      <c r="M389" s="26">
        <v>45322</v>
      </c>
      <c r="N389" s="13" t="s">
        <v>226</v>
      </c>
      <c r="O389" s="13" t="s">
        <v>227</v>
      </c>
      <c r="P389" s="20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0"/>
      <c r="AD389" s="20"/>
      <c r="AE389" s="20"/>
      <c r="AF389" s="1" t="e">
        <f t="shared" ref="AF389:AF452" si="29">AVERAGE(Q389:AD389)</f>
        <v>#DIV/0!</v>
      </c>
      <c r="AG389" s="11" t="e">
        <f t="shared" ref="AG389:AG452" si="30">IF(AF389&gt;=$AG$1,"APROVADO","REPROVADO")</f>
        <v>#DIV/0!</v>
      </c>
    </row>
    <row r="390" spans="2:33" ht="25.5" hidden="1" x14ac:dyDescent="0.25">
      <c r="B390" s="5">
        <v>385</v>
      </c>
      <c r="C390" s="16" t="s">
        <v>1936</v>
      </c>
      <c r="D390" s="5" t="s">
        <v>33</v>
      </c>
      <c r="E390" s="5" t="s">
        <v>1937</v>
      </c>
      <c r="F390" s="5" t="s">
        <v>1938</v>
      </c>
      <c r="G390" s="7" t="s">
        <v>36</v>
      </c>
      <c r="H390" s="17">
        <v>3000000</v>
      </c>
      <c r="I390" s="7" t="s">
        <v>1939</v>
      </c>
      <c r="J390" s="5" t="s">
        <v>597</v>
      </c>
      <c r="K390" s="5" t="s">
        <v>1940</v>
      </c>
      <c r="L390" s="9" t="s">
        <v>1941</v>
      </c>
      <c r="M390" s="10">
        <v>45322</v>
      </c>
      <c r="N390" s="7" t="s">
        <v>82</v>
      </c>
      <c r="O390" s="7" t="s">
        <v>845</v>
      </c>
      <c r="P390" s="20"/>
      <c r="Q390" s="40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 t="e">
        <f t="shared" si="29"/>
        <v>#DIV/0!</v>
      </c>
      <c r="AG390" s="11" t="e">
        <f t="shared" si="30"/>
        <v>#DIV/0!</v>
      </c>
    </row>
    <row r="391" spans="2:33" ht="25.5" hidden="1" x14ac:dyDescent="0.25">
      <c r="B391" s="5">
        <v>386</v>
      </c>
      <c r="C391" s="16" t="s">
        <v>1942</v>
      </c>
      <c r="D391" s="5" t="s">
        <v>33</v>
      </c>
      <c r="E391" s="7" t="s">
        <v>1937</v>
      </c>
      <c r="F391" s="7" t="s">
        <v>1943</v>
      </c>
      <c r="G391" s="7" t="s">
        <v>36</v>
      </c>
      <c r="H391" s="8">
        <v>3000000</v>
      </c>
      <c r="I391" s="7" t="s">
        <v>1939</v>
      </c>
      <c r="J391" s="5" t="s">
        <v>597</v>
      </c>
      <c r="K391" s="7" t="s">
        <v>1944</v>
      </c>
      <c r="L391" s="9" t="s">
        <v>1941</v>
      </c>
      <c r="M391" s="10">
        <v>45322</v>
      </c>
      <c r="N391" s="7" t="s">
        <v>82</v>
      </c>
      <c r="O391" s="7" t="s">
        <v>845</v>
      </c>
      <c r="P391" s="20"/>
      <c r="Q391" s="40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 t="e">
        <f t="shared" si="29"/>
        <v>#DIV/0!</v>
      </c>
      <c r="AG391" s="11" t="e">
        <f t="shared" si="30"/>
        <v>#DIV/0!</v>
      </c>
    </row>
    <row r="392" spans="2:33" ht="25.5" hidden="1" x14ac:dyDescent="0.25">
      <c r="B392" s="5">
        <v>387</v>
      </c>
      <c r="C392" s="6" t="s">
        <v>1945</v>
      </c>
      <c r="D392" s="5" t="s">
        <v>33</v>
      </c>
      <c r="E392" s="5" t="s">
        <v>1946</v>
      </c>
      <c r="F392" s="5" t="s">
        <v>1947</v>
      </c>
      <c r="G392" s="7" t="s">
        <v>107</v>
      </c>
      <c r="H392" s="8">
        <v>79200</v>
      </c>
      <c r="I392" s="7" t="s">
        <v>728</v>
      </c>
      <c r="J392" s="7" t="s">
        <v>123</v>
      </c>
      <c r="K392" s="7" t="s">
        <v>1948</v>
      </c>
      <c r="L392" s="9" t="s">
        <v>1949</v>
      </c>
      <c r="M392" s="10">
        <v>45322</v>
      </c>
      <c r="N392" s="5" t="s">
        <v>67</v>
      </c>
      <c r="O392" s="7"/>
      <c r="P392" s="20"/>
      <c r="Q392" s="39">
        <v>310</v>
      </c>
      <c r="R392" s="1">
        <v>250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>
        <v>336</v>
      </c>
      <c r="AD392" s="1"/>
      <c r="AE392" s="1">
        <f>COUNT(Q392:AD392)</f>
        <v>3</v>
      </c>
      <c r="AF392" s="1">
        <f t="shared" si="29"/>
        <v>298.66666666666669</v>
      </c>
      <c r="AG392" s="11" t="str">
        <f t="shared" si="30"/>
        <v>APROVADO</v>
      </c>
    </row>
    <row r="393" spans="2:33" ht="38.25" hidden="1" x14ac:dyDescent="0.25">
      <c r="B393" s="5">
        <v>388</v>
      </c>
      <c r="C393" s="6" t="s">
        <v>1950</v>
      </c>
      <c r="D393" s="5" t="s">
        <v>33</v>
      </c>
      <c r="E393" s="7" t="s">
        <v>1951</v>
      </c>
      <c r="F393" s="7" t="s">
        <v>1952</v>
      </c>
      <c r="G393" s="7" t="s">
        <v>36</v>
      </c>
      <c r="H393" s="8">
        <v>40500</v>
      </c>
      <c r="I393" s="7" t="s">
        <v>1939</v>
      </c>
      <c r="J393" s="5" t="s">
        <v>597</v>
      </c>
      <c r="K393" s="7" t="s">
        <v>1953</v>
      </c>
      <c r="L393" s="9" t="s">
        <v>1954</v>
      </c>
      <c r="M393" s="10">
        <v>45322</v>
      </c>
      <c r="N393" s="7" t="s">
        <v>67</v>
      </c>
      <c r="O393" s="9"/>
      <c r="P393" s="20" t="s">
        <v>1955</v>
      </c>
      <c r="Q393" s="40">
        <v>340</v>
      </c>
      <c r="R393" s="1"/>
      <c r="S393" s="1"/>
      <c r="T393" s="1"/>
      <c r="U393" s="1"/>
      <c r="V393" s="1"/>
      <c r="W393" s="1"/>
      <c r="X393" s="1">
        <v>340</v>
      </c>
      <c r="Y393" s="1">
        <v>340</v>
      </c>
      <c r="Z393" s="1"/>
      <c r="AA393" s="1"/>
      <c r="AB393" s="1"/>
      <c r="AC393" s="1"/>
      <c r="AD393" s="1"/>
      <c r="AE393" s="1">
        <f>COUNT(Q393:AD393)</f>
        <v>3</v>
      </c>
      <c r="AF393" s="1">
        <f t="shared" si="29"/>
        <v>340</v>
      </c>
      <c r="AG393" s="11" t="str">
        <f t="shared" si="30"/>
        <v>APROVADO</v>
      </c>
    </row>
    <row r="394" spans="2:33" ht="51" hidden="1" x14ac:dyDescent="0.25">
      <c r="B394" s="5">
        <v>389</v>
      </c>
      <c r="C394" s="16" t="s">
        <v>1956</v>
      </c>
      <c r="D394" s="5" t="s">
        <v>33</v>
      </c>
      <c r="E394" s="5" t="s">
        <v>1937</v>
      </c>
      <c r="F394" s="5" t="s">
        <v>1957</v>
      </c>
      <c r="G394" s="5" t="s">
        <v>36</v>
      </c>
      <c r="H394" s="17">
        <v>1000000</v>
      </c>
      <c r="I394" s="7" t="s">
        <v>1939</v>
      </c>
      <c r="J394" s="5" t="s">
        <v>597</v>
      </c>
      <c r="K394" s="5" t="s">
        <v>1940</v>
      </c>
      <c r="L394" s="9" t="s">
        <v>1941</v>
      </c>
      <c r="M394" s="10">
        <v>45322</v>
      </c>
      <c r="N394" s="7" t="s">
        <v>82</v>
      </c>
      <c r="O394" s="7" t="s">
        <v>845</v>
      </c>
      <c r="P394" s="20"/>
      <c r="Q394" s="40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 t="e">
        <f t="shared" si="29"/>
        <v>#DIV/0!</v>
      </c>
      <c r="AG394" s="11" t="e">
        <f t="shared" si="30"/>
        <v>#DIV/0!</v>
      </c>
    </row>
    <row r="395" spans="2:33" ht="25.5" hidden="1" x14ac:dyDescent="0.25">
      <c r="B395" s="5">
        <v>390</v>
      </c>
      <c r="C395" s="27" t="s">
        <v>1958</v>
      </c>
      <c r="D395" s="5" t="s">
        <v>33</v>
      </c>
      <c r="E395" s="7" t="s">
        <v>1959</v>
      </c>
      <c r="F395" s="7" t="s">
        <v>1960</v>
      </c>
      <c r="G395" s="7" t="s">
        <v>107</v>
      </c>
      <c r="H395" s="8">
        <v>1851640</v>
      </c>
      <c r="I395" s="7" t="s">
        <v>290</v>
      </c>
      <c r="J395" s="7" t="s">
        <v>154</v>
      </c>
      <c r="K395" s="7" t="s">
        <v>1961</v>
      </c>
      <c r="L395" s="9" t="s">
        <v>1962</v>
      </c>
      <c r="M395" s="10">
        <v>45322</v>
      </c>
      <c r="N395" s="7" t="s">
        <v>41</v>
      </c>
      <c r="O395" s="7"/>
      <c r="P395" s="20"/>
      <c r="Q395" s="40">
        <v>332</v>
      </c>
      <c r="R395" s="1">
        <v>239</v>
      </c>
      <c r="S395" s="1"/>
      <c r="T395" s="1">
        <v>247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>
        <f>COUNT(Q395:AD395)</f>
        <v>3</v>
      </c>
      <c r="AF395" s="1">
        <f t="shared" si="29"/>
        <v>272.66666666666669</v>
      </c>
      <c r="AG395" s="11" t="str">
        <f t="shared" si="30"/>
        <v>APROVADO</v>
      </c>
    </row>
    <row r="396" spans="2:33" ht="25.5" hidden="1" x14ac:dyDescent="0.25">
      <c r="B396" s="5">
        <v>391</v>
      </c>
      <c r="C396" s="6" t="s">
        <v>1963</v>
      </c>
      <c r="D396" s="5" t="s">
        <v>33</v>
      </c>
      <c r="E396" s="5" t="s">
        <v>1964</v>
      </c>
      <c r="F396" s="5" t="s">
        <v>1965</v>
      </c>
      <c r="G396" s="7" t="s">
        <v>36</v>
      </c>
      <c r="H396" s="17">
        <v>180000</v>
      </c>
      <c r="I396" s="7" t="s">
        <v>728</v>
      </c>
      <c r="J396" s="7" t="s">
        <v>123</v>
      </c>
      <c r="K396" s="5" t="s">
        <v>1966</v>
      </c>
      <c r="L396" s="31" t="s">
        <v>1967</v>
      </c>
      <c r="M396" s="10">
        <v>45322</v>
      </c>
      <c r="N396" s="5" t="s">
        <v>67</v>
      </c>
      <c r="O396" s="7"/>
      <c r="P396" s="20"/>
      <c r="Q396" s="39">
        <v>303</v>
      </c>
      <c r="R396" s="1">
        <v>210</v>
      </c>
      <c r="S396" s="1"/>
      <c r="T396" s="1"/>
      <c r="U396" s="1"/>
      <c r="V396" s="1">
        <v>307</v>
      </c>
      <c r="W396" s="1"/>
      <c r="X396" s="1"/>
      <c r="Y396" s="1"/>
      <c r="Z396" s="1"/>
      <c r="AA396" s="1"/>
      <c r="AB396" s="1"/>
      <c r="AC396" s="1"/>
      <c r="AD396" s="1"/>
      <c r="AE396" s="1">
        <f>COUNT(Q396:AD396)</f>
        <v>3</v>
      </c>
      <c r="AF396" s="1">
        <f t="shared" si="29"/>
        <v>273.33333333333331</v>
      </c>
      <c r="AG396" s="11" t="str">
        <f t="shared" si="30"/>
        <v>APROVADO</v>
      </c>
    </row>
    <row r="397" spans="2:33" hidden="1" x14ac:dyDescent="0.25">
      <c r="B397" s="5">
        <v>392</v>
      </c>
      <c r="C397" s="27" t="s">
        <v>1968</v>
      </c>
      <c r="D397" s="5" t="s">
        <v>51</v>
      </c>
      <c r="E397" s="7" t="s">
        <v>726</v>
      </c>
      <c r="F397" s="7" t="s">
        <v>1969</v>
      </c>
      <c r="G397" s="7" t="s">
        <v>36</v>
      </c>
      <c r="H397" s="28">
        <v>132794.13</v>
      </c>
      <c r="I397" s="13" t="s">
        <v>728</v>
      </c>
      <c r="J397" s="11" t="s">
        <v>123</v>
      </c>
      <c r="K397" s="13" t="s">
        <v>1970</v>
      </c>
      <c r="L397" s="30" t="s">
        <v>1971</v>
      </c>
      <c r="M397" s="26">
        <v>45322</v>
      </c>
      <c r="N397" s="13" t="s">
        <v>41</v>
      </c>
      <c r="O397" s="13"/>
      <c r="P397" s="20"/>
      <c r="Q397" s="1">
        <v>230</v>
      </c>
      <c r="R397" s="1">
        <v>220</v>
      </c>
      <c r="S397" s="1"/>
      <c r="T397" s="1">
        <v>207</v>
      </c>
      <c r="U397" s="1"/>
      <c r="V397" s="1"/>
      <c r="W397" s="1"/>
      <c r="X397" s="1"/>
      <c r="Y397" s="1"/>
      <c r="Z397" s="1"/>
      <c r="AA397" s="1"/>
      <c r="AB397" s="1"/>
      <c r="AC397" s="20"/>
      <c r="AD397" s="20"/>
      <c r="AE397" s="1">
        <f>COUNT(Q397:AD397)</f>
        <v>3</v>
      </c>
      <c r="AF397" s="1">
        <f t="shared" si="29"/>
        <v>219</v>
      </c>
      <c r="AG397" s="11" t="str">
        <f t="shared" si="30"/>
        <v>APROVADO</v>
      </c>
    </row>
    <row r="398" spans="2:33" hidden="1" x14ac:dyDescent="0.25">
      <c r="B398" s="5">
        <v>393</v>
      </c>
      <c r="C398" s="27" t="s">
        <v>1972</v>
      </c>
      <c r="D398" s="5" t="s">
        <v>33</v>
      </c>
      <c r="E398" s="7" t="s">
        <v>1973</v>
      </c>
      <c r="F398" s="7" t="s">
        <v>1974</v>
      </c>
      <c r="G398" s="7" t="s">
        <v>36</v>
      </c>
      <c r="H398" s="8">
        <v>552712</v>
      </c>
      <c r="I398" s="7" t="s">
        <v>425</v>
      </c>
      <c r="J398" s="7" t="s">
        <v>348</v>
      </c>
      <c r="K398" s="7" t="s">
        <v>1975</v>
      </c>
      <c r="L398" s="9" t="s">
        <v>1976</v>
      </c>
      <c r="M398" s="10">
        <v>45322</v>
      </c>
      <c r="N398" s="7" t="s">
        <v>41</v>
      </c>
      <c r="O398" s="7"/>
      <c r="P398" s="20"/>
      <c r="Q398" s="40">
        <v>321</v>
      </c>
      <c r="R398" s="1">
        <v>194</v>
      </c>
      <c r="S398" s="1"/>
      <c r="T398" s="1">
        <v>194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f>COUNT(Q398:AD398)</f>
        <v>3</v>
      </c>
      <c r="AF398" s="1">
        <f t="shared" si="29"/>
        <v>236.33333333333334</v>
      </c>
      <c r="AG398" s="11" t="str">
        <f t="shared" si="30"/>
        <v>APROVADO</v>
      </c>
    </row>
    <row r="399" spans="2:33" hidden="1" x14ac:dyDescent="0.25">
      <c r="B399" s="5">
        <v>394</v>
      </c>
      <c r="C399" s="16" t="s">
        <v>1977</v>
      </c>
      <c r="D399" s="5" t="s">
        <v>33</v>
      </c>
      <c r="E399" s="7" t="s">
        <v>1973</v>
      </c>
      <c r="F399" s="7" t="s">
        <v>1978</v>
      </c>
      <c r="G399" s="7" t="s">
        <v>36</v>
      </c>
      <c r="H399" s="8">
        <v>1489280</v>
      </c>
      <c r="I399" s="7" t="s">
        <v>425</v>
      </c>
      <c r="J399" s="7" t="s">
        <v>348</v>
      </c>
      <c r="K399" s="7" t="s">
        <v>1975</v>
      </c>
      <c r="L399" s="9" t="s">
        <v>1976</v>
      </c>
      <c r="M399" s="10">
        <v>45322</v>
      </c>
      <c r="N399" s="13" t="s">
        <v>226</v>
      </c>
      <c r="O399" s="7" t="s">
        <v>600</v>
      </c>
      <c r="P399" s="20"/>
      <c r="Q399" s="40">
        <v>0</v>
      </c>
      <c r="R399" s="1">
        <v>0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>
        <f t="shared" si="29"/>
        <v>0</v>
      </c>
      <c r="AG399" s="11" t="str">
        <f t="shared" si="30"/>
        <v>REPROVADO</v>
      </c>
    </row>
    <row r="400" spans="2:33" ht="25.5" hidden="1" x14ac:dyDescent="0.25">
      <c r="B400" s="5">
        <v>395</v>
      </c>
      <c r="C400" s="27" t="s">
        <v>1979</v>
      </c>
      <c r="D400" s="5" t="s">
        <v>33</v>
      </c>
      <c r="E400" s="7" t="s">
        <v>1959</v>
      </c>
      <c r="F400" s="7" t="s">
        <v>1980</v>
      </c>
      <c r="G400" s="7" t="s">
        <v>107</v>
      </c>
      <c r="H400" s="8">
        <v>254000</v>
      </c>
      <c r="I400" s="7" t="s">
        <v>290</v>
      </c>
      <c r="J400" s="7" t="s">
        <v>154</v>
      </c>
      <c r="K400" s="7" t="s">
        <v>1961</v>
      </c>
      <c r="L400" s="9" t="s">
        <v>1962</v>
      </c>
      <c r="M400" s="10">
        <v>45322</v>
      </c>
      <c r="N400" s="7" t="s">
        <v>41</v>
      </c>
      <c r="O400" s="7"/>
      <c r="P400" s="20"/>
      <c r="Q400" s="40">
        <v>340</v>
      </c>
      <c r="R400" s="1">
        <v>119</v>
      </c>
      <c r="S400" s="1"/>
      <c r="T400" s="1"/>
      <c r="U400" s="1"/>
      <c r="V400" s="1"/>
      <c r="W400" s="1"/>
      <c r="X400" s="1"/>
      <c r="Y400" s="1"/>
      <c r="Z400" s="1"/>
      <c r="AA400" s="1"/>
      <c r="AB400" s="1">
        <v>340</v>
      </c>
      <c r="AC400" s="1">
        <v>302</v>
      </c>
      <c r="AD400" s="1"/>
      <c r="AE400" s="1">
        <f t="shared" ref="AE400:AE408" si="31">COUNT(Q400:AD400)</f>
        <v>4</v>
      </c>
      <c r="AF400" s="1">
        <f t="shared" si="29"/>
        <v>275.25</v>
      </c>
      <c r="AG400" s="11" t="str">
        <f t="shared" si="30"/>
        <v>APROVADO</v>
      </c>
    </row>
    <row r="401" spans="2:33" ht="25.5" hidden="1" x14ac:dyDescent="0.25">
      <c r="B401" s="5">
        <v>396</v>
      </c>
      <c r="C401" s="6" t="s">
        <v>1981</v>
      </c>
      <c r="D401" s="5" t="s">
        <v>33</v>
      </c>
      <c r="E401" s="5" t="s">
        <v>1946</v>
      </c>
      <c r="F401" s="5" t="s">
        <v>1982</v>
      </c>
      <c r="G401" s="7" t="s">
        <v>107</v>
      </c>
      <c r="H401" s="8">
        <v>148800</v>
      </c>
      <c r="I401" s="7" t="s">
        <v>728</v>
      </c>
      <c r="J401" s="7" t="s">
        <v>123</v>
      </c>
      <c r="K401" s="7" t="s">
        <v>1948</v>
      </c>
      <c r="L401" s="9" t="s">
        <v>1949</v>
      </c>
      <c r="M401" s="10">
        <v>45322</v>
      </c>
      <c r="N401" s="5" t="s">
        <v>67</v>
      </c>
      <c r="O401" s="7"/>
      <c r="P401" s="20"/>
      <c r="Q401" s="39">
        <v>299</v>
      </c>
      <c r="R401" s="1">
        <v>229</v>
      </c>
      <c r="S401" s="1"/>
      <c r="T401" s="1"/>
      <c r="U401" s="1"/>
      <c r="V401" s="1"/>
      <c r="W401" s="1">
        <v>284</v>
      </c>
      <c r="X401" s="1"/>
      <c r="Y401" s="1"/>
      <c r="Z401" s="1"/>
      <c r="AA401" s="1"/>
      <c r="AB401" s="1"/>
      <c r="AC401" s="1"/>
      <c r="AD401" s="1"/>
      <c r="AE401" s="1">
        <f t="shared" si="31"/>
        <v>3</v>
      </c>
      <c r="AF401" s="1">
        <f t="shared" si="29"/>
        <v>270.66666666666669</v>
      </c>
      <c r="AG401" s="11" t="str">
        <f t="shared" si="30"/>
        <v>APROVADO</v>
      </c>
    </row>
    <row r="402" spans="2:33" ht="25.5" hidden="1" x14ac:dyDescent="0.25">
      <c r="B402" s="5">
        <v>397</v>
      </c>
      <c r="C402" s="6" t="s">
        <v>1983</v>
      </c>
      <c r="D402" s="5" t="s">
        <v>33</v>
      </c>
      <c r="E402" s="7" t="s">
        <v>1946</v>
      </c>
      <c r="F402" s="7" t="s">
        <v>1982</v>
      </c>
      <c r="G402" s="7" t="s">
        <v>107</v>
      </c>
      <c r="H402" s="8">
        <v>92400</v>
      </c>
      <c r="I402" s="7" t="s">
        <v>728</v>
      </c>
      <c r="J402" s="7" t="s">
        <v>123</v>
      </c>
      <c r="K402" s="7" t="s">
        <v>1948</v>
      </c>
      <c r="L402" s="9" t="s">
        <v>1949</v>
      </c>
      <c r="M402" s="10">
        <v>45322</v>
      </c>
      <c r="N402" s="7" t="s">
        <v>67</v>
      </c>
      <c r="O402" s="7"/>
      <c r="P402" s="20"/>
      <c r="Q402" s="40">
        <v>304</v>
      </c>
      <c r="R402" s="1"/>
      <c r="S402" s="1"/>
      <c r="T402" s="1"/>
      <c r="U402" s="1"/>
      <c r="V402" s="1"/>
      <c r="W402" s="1"/>
      <c r="X402" s="1">
        <v>316</v>
      </c>
      <c r="Y402" s="1">
        <v>320</v>
      </c>
      <c r="Z402" s="1"/>
      <c r="AA402" s="1"/>
      <c r="AB402" s="1"/>
      <c r="AC402" s="1"/>
      <c r="AD402" s="1"/>
      <c r="AE402" s="1">
        <f t="shared" si="31"/>
        <v>3</v>
      </c>
      <c r="AF402" s="1">
        <f t="shared" si="29"/>
        <v>313.33333333333331</v>
      </c>
      <c r="AG402" s="11" t="str">
        <f t="shared" si="30"/>
        <v>APROVADO</v>
      </c>
    </row>
    <row r="403" spans="2:33" ht="25.5" hidden="1" x14ac:dyDescent="0.25">
      <c r="B403" s="5">
        <v>398</v>
      </c>
      <c r="C403" s="24" t="s">
        <v>1984</v>
      </c>
      <c r="D403" s="5" t="s">
        <v>51</v>
      </c>
      <c r="E403" s="13" t="s">
        <v>1985</v>
      </c>
      <c r="F403" s="13" t="s">
        <v>1986</v>
      </c>
      <c r="G403" s="14" t="s">
        <v>36</v>
      </c>
      <c r="H403" s="28">
        <v>162450</v>
      </c>
      <c r="I403" s="13" t="s">
        <v>1987</v>
      </c>
      <c r="J403" s="11" t="s">
        <v>189</v>
      </c>
      <c r="K403" s="13" t="s">
        <v>1988</v>
      </c>
      <c r="L403" s="30" t="s">
        <v>1989</v>
      </c>
      <c r="M403" s="26">
        <v>45322</v>
      </c>
      <c r="N403" s="13" t="s">
        <v>57</v>
      </c>
      <c r="O403" s="13"/>
      <c r="P403" s="20"/>
      <c r="Q403" s="1">
        <v>260</v>
      </c>
      <c r="R403" s="1"/>
      <c r="S403" s="1"/>
      <c r="T403" s="1"/>
      <c r="U403" s="1"/>
      <c r="V403" s="1">
        <v>284</v>
      </c>
      <c r="W403" s="1">
        <v>279</v>
      </c>
      <c r="X403" s="1"/>
      <c r="Y403" s="1"/>
      <c r="Z403" s="1"/>
      <c r="AA403" s="1"/>
      <c r="AB403" s="1"/>
      <c r="AC403" s="20"/>
      <c r="AD403" s="20"/>
      <c r="AE403" s="1">
        <f t="shared" si="31"/>
        <v>3</v>
      </c>
      <c r="AF403" s="1">
        <f t="shared" si="29"/>
        <v>274.33333333333331</v>
      </c>
      <c r="AG403" s="11" t="str">
        <f t="shared" si="30"/>
        <v>APROVADO</v>
      </c>
    </row>
    <row r="404" spans="2:33" ht="25.5" hidden="1" x14ac:dyDescent="0.25">
      <c r="B404" s="5">
        <v>399</v>
      </c>
      <c r="C404" s="27" t="s">
        <v>1990</v>
      </c>
      <c r="D404" s="5" t="s">
        <v>33</v>
      </c>
      <c r="E404" s="7" t="s">
        <v>1959</v>
      </c>
      <c r="F404" s="7" t="s">
        <v>1991</v>
      </c>
      <c r="G404" s="7" t="s">
        <v>36</v>
      </c>
      <c r="H404" s="8">
        <v>1318600</v>
      </c>
      <c r="I404" s="7" t="s">
        <v>290</v>
      </c>
      <c r="J404" s="7" t="s">
        <v>154</v>
      </c>
      <c r="K404" s="7" t="s">
        <v>1961</v>
      </c>
      <c r="L404" s="9" t="s">
        <v>1962</v>
      </c>
      <c r="M404" s="10">
        <v>45322</v>
      </c>
      <c r="N404" s="7" t="s">
        <v>41</v>
      </c>
      <c r="O404" s="7"/>
      <c r="P404" s="20"/>
      <c r="Q404" s="40">
        <v>294</v>
      </c>
      <c r="R404" s="1">
        <v>218</v>
      </c>
      <c r="S404" s="1"/>
      <c r="T404" s="1">
        <v>254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f t="shared" si="31"/>
        <v>3</v>
      </c>
      <c r="AF404" s="1">
        <f t="shared" si="29"/>
        <v>255.33333333333334</v>
      </c>
      <c r="AG404" s="11" t="str">
        <f t="shared" si="30"/>
        <v>APROVADO</v>
      </c>
    </row>
    <row r="405" spans="2:33" ht="29.25" hidden="1" customHeight="1" x14ac:dyDescent="0.25">
      <c r="B405" s="5">
        <v>400</v>
      </c>
      <c r="C405" s="27" t="s">
        <v>1992</v>
      </c>
      <c r="D405" s="5" t="s">
        <v>33</v>
      </c>
      <c r="E405" s="7" t="s">
        <v>1993</v>
      </c>
      <c r="F405" s="7" t="s">
        <v>1994</v>
      </c>
      <c r="G405" s="7" t="s">
        <v>174</v>
      </c>
      <c r="H405" s="8">
        <v>206291.5</v>
      </c>
      <c r="I405" s="7" t="s">
        <v>1995</v>
      </c>
      <c r="J405" s="7" t="s">
        <v>1414</v>
      </c>
      <c r="K405" s="7" t="s">
        <v>1996</v>
      </c>
      <c r="L405" s="9" t="s">
        <v>1997</v>
      </c>
      <c r="M405" s="10">
        <v>45322</v>
      </c>
      <c r="N405" s="7" t="s">
        <v>41</v>
      </c>
      <c r="O405" s="7"/>
      <c r="P405" s="20"/>
      <c r="Q405" s="40">
        <v>340</v>
      </c>
      <c r="R405" s="1">
        <v>189</v>
      </c>
      <c r="S405" s="1"/>
      <c r="T405" s="1"/>
      <c r="U405" s="1"/>
      <c r="V405" s="1"/>
      <c r="W405" s="1"/>
      <c r="X405" s="1"/>
      <c r="Y405" s="1"/>
      <c r="Z405" s="1"/>
      <c r="AA405" s="1"/>
      <c r="AB405" s="1">
        <v>321</v>
      </c>
      <c r="AC405" s="1"/>
      <c r="AD405" s="1"/>
      <c r="AE405" s="1">
        <f t="shared" si="31"/>
        <v>3</v>
      </c>
      <c r="AF405" s="1">
        <f t="shared" si="29"/>
        <v>283.33333333333331</v>
      </c>
      <c r="AG405" s="11" t="str">
        <f t="shared" si="30"/>
        <v>APROVADO</v>
      </c>
    </row>
    <row r="406" spans="2:33" ht="38.25" hidden="1" x14ac:dyDescent="0.25">
      <c r="B406" s="5">
        <v>401</v>
      </c>
      <c r="C406" s="27" t="s">
        <v>1998</v>
      </c>
      <c r="D406" s="5" t="s">
        <v>33</v>
      </c>
      <c r="E406" s="7" t="s">
        <v>1999</v>
      </c>
      <c r="F406" s="7" t="s">
        <v>2000</v>
      </c>
      <c r="G406" s="7" t="s">
        <v>36</v>
      </c>
      <c r="H406" s="8">
        <v>250000</v>
      </c>
      <c r="I406" s="7" t="s">
        <v>94</v>
      </c>
      <c r="J406" s="5" t="s">
        <v>95</v>
      </c>
      <c r="K406" s="7" t="s">
        <v>2001</v>
      </c>
      <c r="L406" s="9" t="s">
        <v>2002</v>
      </c>
      <c r="M406" s="10">
        <v>45322</v>
      </c>
      <c r="N406" s="7" t="s">
        <v>41</v>
      </c>
      <c r="O406" s="7"/>
      <c r="P406" s="20"/>
      <c r="Q406" s="40">
        <v>312</v>
      </c>
      <c r="R406" s="1">
        <v>161</v>
      </c>
      <c r="S406" s="1"/>
      <c r="T406" s="1">
        <v>202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f t="shared" si="31"/>
        <v>3</v>
      </c>
      <c r="AF406" s="1">
        <f t="shared" si="29"/>
        <v>225</v>
      </c>
      <c r="AG406" s="11" t="str">
        <f t="shared" si="30"/>
        <v>APROVADO</v>
      </c>
    </row>
    <row r="407" spans="2:33" ht="38.25" hidden="1" x14ac:dyDescent="0.25">
      <c r="B407" s="5">
        <v>402</v>
      </c>
      <c r="C407" s="27" t="s">
        <v>2003</v>
      </c>
      <c r="D407" s="5" t="s">
        <v>33</v>
      </c>
      <c r="E407" s="7" t="s">
        <v>1999</v>
      </c>
      <c r="F407" s="7" t="s">
        <v>2004</v>
      </c>
      <c r="G407" s="7" t="s">
        <v>36</v>
      </c>
      <c r="H407" s="8">
        <v>136400</v>
      </c>
      <c r="I407" s="7" t="s">
        <v>94</v>
      </c>
      <c r="J407" s="5" t="s">
        <v>95</v>
      </c>
      <c r="K407" s="7" t="s">
        <v>2001</v>
      </c>
      <c r="L407" s="9" t="s">
        <v>2002</v>
      </c>
      <c r="M407" s="10">
        <v>45322</v>
      </c>
      <c r="N407" s="7" t="s">
        <v>41</v>
      </c>
      <c r="O407" s="7"/>
      <c r="P407" s="20"/>
      <c r="Q407" s="40">
        <v>340</v>
      </c>
      <c r="R407" s="1">
        <v>195</v>
      </c>
      <c r="S407" s="1"/>
      <c r="T407" s="1">
        <v>208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f t="shared" si="31"/>
        <v>3</v>
      </c>
      <c r="AF407" s="1">
        <f t="shared" si="29"/>
        <v>247.66666666666666</v>
      </c>
      <c r="AG407" s="11" t="str">
        <f t="shared" si="30"/>
        <v>APROVADO</v>
      </c>
    </row>
    <row r="408" spans="2:33" ht="25.5" hidden="1" x14ac:dyDescent="0.25">
      <c r="B408" s="5">
        <v>403</v>
      </c>
      <c r="C408" s="27" t="s">
        <v>2005</v>
      </c>
      <c r="D408" s="5" t="s">
        <v>51</v>
      </c>
      <c r="E408" s="7" t="s">
        <v>2006</v>
      </c>
      <c r="F408" s="7" t="s">
        <v>2007</v>
      </c>
      <c r="G408" s="7" t="s">
        <v>107</v>
      </c>
      <c r="H408" s="28">
        <v>200000</v>
      </c>
      <c r="I408" s="13" t="s">
        <v>2008</v>
      </c>
      <c r="J408" s="11" t="s">
        <v>141</v>
      </c>
      <c r="K408" s="13" t="s">
        <v>2009</v>
      </c>
      <c r="L408" s="30" t="s">
        <v>2010</v>
      </c>
      <c r="M408" s="26">
        <v>45322</v>
      </c>
      <c r="N408" s="9" t="s">
        <v>41</v>
      </c>
      <c r="O408" s="13"/>
      <c r="P408" s="20"/>
      <c r="Q408" s="1">
        <v>322</v>
      </c>
      <c r="R408" s="1">
        <v>175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>
        <v>340</v>
      </c>
      <c r="AD408" s="20"/>
      <c r="AE408" s="1">
        <f t="shared" si="31"/>
        <v>3</v>
      </c>
      <c r="AF408" s="1">
        <f t="shared" si="29"/>
        <v>279</v>
      </c>
      <c r="AG408" s="11" t="str">
        <f t="shared" si="30"/>
        <v>APROVADO</v>
      </c>
    </row>
    <row r="409" spans="2:33" hidden="1" x14ac:dyDescent="0.25">
      <c r="B409" s="5">
        <v>404</v>
      </c>
      <c r="C409" s="27" t="s">
        <v>2011</v>
      </c>
      <c r="D409" s="5" t="s">
        <v>33</v>
      </c>
      <c r="E409" s="7" t="s">
        <v>2012</v>
      </c>
      <c r="F409" s="7" t="s">
        <v>2013</v>
      </c>
      <c r="G409" s="7" t="s">
        <v>36</v>
      </c>
      <c r="H409" s="8">
        <v>337705.54</v>
      </c>
      <c r="I409" s="7" t="s">
        <v>921</v>
      </c>
      <c r="J409" s="7" t="s">
        <v>162</v>
      </c>
      <c r="K409" s="7" t="s">
        <v>2014</v>
      </c>
      <c r="L409" s="9" t="s">
        <v>2015</v>
      </c>
      <c r="M409" s="10">
        <v>45322</v>
      </c>
      <c r="N409" s="7" t="s">
        <v>41</v>
      </c>
      <c r="O409" s="7" t="s">
        <v>600</v>
      </c>
      <c r="P409" s="20"/>
      <c r="Q409" s="40">
        <v>327</v>
      </c>
      <c r="R409" s="1">
        <v>64</v>
      </c>
      <c r="S409" s="1"/>
      <c r="T409" s="1">
        <v>97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>
        <f t="shared" si="29"/>
        <v>162.66666666666666</v>
      </c>
      <c r="AG409" s="11" t="str">
        <f t="shared" si="30"/>
        <v>REPROVADO</v>
      </c>
    </row>
    <row r="410" spans="2:33" ht="25.5" hidden="1" x14ac:dyDescent="0.25">
      <c r="B410" s="5">
        <v>405</v>
      </c>
      <c r="C410" s="6" t="s">
        <v>2016</v>
      </c>
      <c r="D410" s="5" t="s">
        <v>33</v>
      </c>
      <c r="E410" s="7" t="s">
        <v>2017</v>
      </c>
      <c r="F410" s="7" t="s">
        <v>2018</v>
      </c>
      <c r="G410" s="7" t="s">
        <v>107</v>
      </c>
      <c r="H410" s="8">
        <v>718800</v>
      </c>
      <c r="I410" s="7" t="s">
        <v>73</v>
      </c>
      <c r="J410" s="7" t="s">
        <v>74</v>
      </c>
      <c r="K410" s="7" t="s">
        <v>2019</v>
      </c>
      <c r="L410" s="9" t="s">
        <v>2020</v>
      </c>
      <c r="M410" s="10">
        <v>45322</v>
      </c>
      <c r="N410" s="7" t="s">
        <v>67</v>
      </c>
      <c r="O410" s="7"/>
      <c r="P410" s="20"/>
      <c r="Q410" s="40">
        <v>257</v>
      </c>
      <c r="R410" s="1"/>
      <c r="S410" s="1"/>
      <c r="T410" s="1"/>
      <c r="U410" s="1"/>
      <c r="V410" s="1"/>
      <c r="W410" s="1">
        <v>275</v>
      </c>
      <c r="X410" s="1"/>
      <c r="Y410" s="1">
        <v>340</v>
      </c>
      <c r="Z410" s="1"/>
      <c r="AA410" s="1"/>
      <c r="AB410" s="1"/>
      <c r="AC410" s="1"/>
      <c r="AD410" s="1"/>
      <c r="AE410" s="1">
        <f>COUNT(Q410:AD410)</f>
        <v>3</v>
      </c>
      <c r="AF410" s="1">
        <f t="shared" si="29"/>
        <v>290.66666666666669</v>
      </c>
      <c r="AG410" s="11" t="str">
        <f t="shared" si="30"/>
        <v>APROVADO</v>
      </c>
    </row>
    <row r="411" spans="2:33" ht="25.5" hidden="1" x14ac:dyDescent="0.25">
      <c r="B411" s="5">
        <v>406</v>
      </c>
      <c r="C411" s="27" t="s">
        <v>2021</v>
      </c>
      <c r="D411" s="5" t="s">
        <v>33</v>
      </c>
      <c r="E411" s="7" t="s">
        <v>2022</v>
      </c>
      <c r="F411" s="7" t="s">
        <v>2023</v>
      </c>
      <c r="G411" s="7" t="s">
        <v>36</v>
      </c>
      <c r="H411" s="8">
        <v>168000</v>
      </c>
      <c r="I411" s="7" t="s">
        <v>2024</v>
      </c>
      <c r="J411" s="7" t="s">
        <v>47</v>
      </c>
      <c r="K411" s="7" t="s">
        <v>2025</v>
      </c>
      <c r="L411" s="9" t="s">
        <v>2026</v>
      </c>
      <c r="M411" s="10">
        <v>45322</v>
      </c>
      <c r="N411" s="7" t="s">
        <v>41</v>
      </c>
      <c r="O411" s="7"/>
      <c r="P411" s="20"/>
      <c r="Q411" s="40">
        <v>340</v>
      </c>
      <c r="R411" s="1">
        <v>177</v>
      </c>
      <c r="S411" s="1"/>
      <c r="T411" s="1">
        <v>203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>
        <f>COUNT(Q411:AD411)</f>
        <v>3</v>
      </c>
      <c r="AF411" s="1">
        <f t="shared" si="29"/>
        <v>240</v>
      </c>
      <c r="AG411" s="11" t="str">
        <f t="shared" si="30"/>
        <v>APROVADO</v>
      </c>
    </row>
    <row r="412" spans="2:33" ht="25.5" hidden="1" x14ac:dyDescent="0.25">
      <c r="B412" s="5">
        <v>407</v>
      </c>
      <c r="C412" s="6" t="s">
        <v>2027</v>
      </c>
      <c r="D412" s="5" t="s">
        <v>33</v>
      </c>
      <c r="E412" s="7" t="s">
        <v>2028</v>
      </c>
      <c r="F412" s="7" t="s">
        <v>2029</v>
      </c>
      <c r="G412" s="7" t="s">
        <v>107</v>
      </c>
      <c r="H412" s="8">
        <v>400000</v>
      </c>
      <c r="I412" s="7" t="s">
        <v>73</v>
      </c>
      <c r="J412" s="5" t="s">
        <v>74</v>
      </c>
      <c r="K412" s="7" t="s">
        <v>2030</v>
      </c>
      <c r="L412" s="9" t="s">
        <v>2031</v>
      </c>
      <c r="M412" s="10">
        <v>45322</v>
      </c>
      <c r="N412" s="7" t="s">
        <v>67</v>
      </c>
      <c r="O412" s="7"/>
      <c r="P412" s="20"/>
      <c r="Q412" s="40">
        <v>285</v>
      </c>
      <c r="R412" s="1"/>
      <c r="S412" s="1"/>
      <c r="T412" s="1"/>
      <c r="U412" s="1"/>
      <c r="V412" s="1"/>
      <c r="W412" s="1"/>
      <c r="X412" s="1">
        <v>320</v>
      </c>
      <c r="Y412" s="1"/>
      <c r="Z412" s="1"/>
      <c r="AA412" s="1"/>
      <c r="AB412" s="1"/>
      <c r="AC412" s="1">
        <v>152</v>
      </c>
      <c r="AD412" s="1"/>
      <c r="AE412" s="1">
        <f>COUNT(Q412:AD412)</f>
        <v>3</v>
      </c>
      <c r="AF412" s="1">
        <f t="shared" si="29"/>
        <v>252.33333333333334</v>
      </c>
      <c r="AG412" s="11" t="str">
        <f t="shared" si="30"/>
        <v>APROVADO</v>
      </c>
    </row>
    <row r="413" spans="2:33" ht="25.5" hidden="1" x14ac:dyDescent="0.25">
      <c r="B413" s="5">
        <v>408</v>
      </c>
      <c r="C413" s="6" t="s">
        <v>2032</v>
      </c>
      <c r="D413" s="5" t="s">
        <v>33</v>
      </c>
      <c r="E413" s="5" t="s">
        <v>2028</v>
      </c>
      <c r="F413" s="5" t="s">
        <v>2033</v>
      </c>
      <c r="G413" s="7" t="s">
        <v>300</v>
      </c>
      <c r="H413" s="8">
        <v>500000</v>
      </c>
      <c r="I413" s="7" t="s">
        <v>73</v>
      </c>
      <c r="J413" s="5" t="s">
        <v>74</v>
      </c>
      <c r="K413" s="7" t="s">
        <v>2030</v>
      </c>
      <c r="L413" s="9" t="s">
        <v>2031</v>
      </c>
      <c r="M413" s="10">
        <v>45322</v>
      </c>
      <c r="N413" s="5" t="s">
        <v>67</v>
      </c>
      <c r="O413" s="7"/>
      <c r="P413" s="20"/>
      <c r="Q413" s="39">
        <v>305</v>
      </c>
      <c r="R413" s="1"/>
      <c r="S413" s="1"/>
      <c r="T413" s="1"/>
      <c r="U413" s="1"/>
      <c r="V413" s="1"/>
      <c r="W413" s="1"/>
      <c r="X413" s="1">
        <v>340</v>
      </c>
      <c r="Y413" s="1">
        <v>317</v>
      </c>
      <c r="Z413" s="1"/>
      <c r="AA413" s="1"/>
      <c r="AB413" s="1"/>
      <c r="AC413" s="1"/>
      <c r="AD413" s="1"/>
      <c r="AE413" s="1">
        <f>COUNT(Q413:AD413)</f>
        <v>3</v>
      </c>
      <c r="AF413" s="1">
        <f t="shared" si="29"/>
        <v>320.66666666666669</v>
      </c>
      <c r="AG413" s="11" t="str">
        <f t="shared" si="30"/>
        <v>APROVADO</v>
      </c>
    </row>
    <row r="414" spans="2:33" ht="25.5" hidden="1" x14ac:dyDescent="0.25">
      <c r="B414" s="5">
        <v>409</v>
      </c>
      <c r="C414" s="6" t="s">
        <v>2034</v>
      </c>
      <c r="D414" s="5" t="s">
        <v>33</v>
      </c>
      <c r="E414" s="7" t="s">
        <v>2028</v>
      </c>
      <c r="F414" s="7" t="s">
        <v>2035</v>
      </c>
      <c r="G414" s="7" t="s">
        <v>107</v>
      </c>
      <c r="H414" s="8">
        <v>300000</v>
      </c>
      <c r="I414" s="7" t="s">
        <v>73</v>
      </c>
      <c r="J414" s="5" t="s">
        <v>74</v>
      </c>
      <c r="K414" s="7" t="s">
        <v>2030</v>
      </c>
      <c r="L414" s="9" t="s">
        <v>2031</v>
      </c>
      <c r="M414" s="10">
        <v>45322</v>
      </c>
      <c r="N414" s="7" t="s">
        <v>67</v>
      </c>
      <c r="O414" s="7"/>
      <c r="P414" s="20"/>
      <c r="Q414" s="40">
        <v>284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>
        <v>275</v>
      </c>
      <c r="AC414" s="1">
        <v>175</v>
      </c>
      <c r="AD414" s="1"/>
      <c r="AE414" s="1">
        <f>COUNT(Q414:AD414)</f>
        <v>3</v>
      </c>
      <c r="AF414" s="1">
        <f t="shared" si="29"/>
        <v>244.66666666666666</v>
      </c>
      <c r="AG414" s="11" t="str">
        <f t="shared" si="30"/>
        <v>APROVADO</v>
      </c>
    </row>
    <row r="415" spans="2:33" ht="25.5" hidden="1" x14ac:dyDescent="0.25">
      <c r="B415" s="5">
        <v>410</v>
      </c>
      <c r="C415" s="16" t="s">
        <v>2036</v>
      </c>
      <c r="D415" s="5" t="s">
        <v>51</v>
      </c>
      <c r="E415" s="7" t="s">
        <v>2006</v>
      </c>
      <c r="F415" s="7" t="s">
        <v>2037</v>
      </c>
      <c r="G415" s="7" t="s">
        <v>107</v>
      </c>
      <c r="H415" s="28">
        <v>27175</v>
      </c>
      <c r="I415" s="13" t="s">
        <v>2008</v>
      </c>
      <c r="J415" s="11" t="s">
        <v>141</v>
      </c>
      <c r="K415" s="13" t="s">
        <v>2009</v>
      </c>
      <c r="L415" s="30" t="s">
        <v>2010</v>
      </c>
      <c r="M415" s="26">
        <v>45322</v>
      </c>
      <c r="N415" s="7" t="s">
        <v>82</v>
      </c>
      <c r="O415" s="13" t="s">
        <v>419</v>
      </c>
      <c r="P415" s="20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0"/>
      <c r="AD415" s="20"/>
      <c r="AE415" s="20"/>
      <c r="AF415" s="1" t="e">
        <f t="shared" si="29"/>
        <v>#DIV/0!</v>
      </c>
      <c r="AG415" s="11" t="e">
        <f t="shared" si="30"/>
        <v>#DIV/0!</v>
      </c>
    </row>
    <row r="416" spans="2:33" ht="38.25" hidden="1" x14ac:dyDescent="0.25">
      <c r="B416" s="5">
        <v>411</v>
      </c>
      <c r="C416" s="27" t="s">
        <v>2038</v>
      </c>
      <c r="D416" s="5" t="s">
        <v>33</v>
      </c>
      <c r="E416" s="7" t="s">
        <v>2039</v>
      </c>
      <c r="F416" s="7" t="s">
        <v>2040</v>
      </c>
      <c r="G416" s="7" t="s">
        <v>36</v>
      </c>
      <c r="H416" s="8">
        <v>78400</v>
      </c>
      <c r="I416" s="7" t="s">
        <v>2024</v>
      </c>
      <c r="J416" s="7" t="s">
        <v>47</v>
      </c>
      <c r="K416" s="7" t="s">
        <v>2041</v>
      </c>
      <c r="L416" s="9" t="s">
        <v>2042</v>
      </c>
      <c r="M416" s="10">
        <v>45322</v>
      </c>
      <c r="N416" s="7" t="s">
        <v>41</v>
      </c>
      <c r="O416" s="7"/>
      <c r="P416" s="20"/>
      <c r="Q416" s="40">
        <v>335</v>
      </c>
      <c r="R416" s="1">
        <v>177</v>
      </c>
      <c r="S416" s="1"/>
      <c r="T416" s="1">
        <v>201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>
        <f>COUNT(Q416:AD416)</f>
        <v>3</v>
      </c>
      <c r="AF416" s="1">
        <f t="shared" si="29"/>
        <v>237.66666666666666</v>
      </c>
      <c r="AG416" s="11" t="str">
        <f t="shared" si="30"/>
        <v>APROVADO</v>
      </c>
    </row>
    <row r="417" spans="2:33" ht="25.5" hidden="1" x14ac:dyDescent="0.25">
      <c r="B417" s="5">
        <v>412</v>
      </c>
      <c r="C417" s="36" t="s">
        <v>2043</v>
      </c>
      <c r="D417" s="5" t="s">
        <v>33</v>
      </c>
      <c r="E417" s="7" t="s">
        <v>2044</v>
      </c>
      <c r="F417" s="7" t="s">
        <v>2045</v>
      </c>
      <c r="G417" s="7" t="s">
        <v>36</v>
      </c>
      <c r="H417" s="8">
        <v>430300</v>
      </c>
      <c r="I417" s="7" t="s">
        <v>73</v>
      </c>
      <c r="J417" s="7" t="s">
        <v>74</v>
      </c>
      <c r="K417" s="7" t="s">
        <v>2046</v>
      </c>
      <c r="L417" s="9" t="s">
        <v>2047</v>
      </c>
      <c r="M417" s="10">
        <v>45322</v>
      </c>
      <c r="N417" s="7" t="s">
        <v>226</v>
      </c>
      <c r="O417" s="7" t="s">
        <v>227</v>
      </c>
      <c r="P417" s="20"/>
      <c r="Q417" s="40">
        <v>0</v>
      </c>
      <c r="R417" s="1">
        <v>51</v>
      </c>
      <c r="S417" s="1"/>
      <c r="T417" s="1">
        <v>68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>
        <f t="shared" si="29"/>
        <v>39.666666666666664</v>
      </c>
      <c r="AG417" s="11" t="str">
        <f t="shared" si="30"/>
        <v>REPROVADO</v>
      </c>
    </row>
    <row r="418" spans="2:33" ht="25.5" hidden="1" x14ac:dyDescent="0.25">
      <c r="B418" s="5">
        <v>413</v>
      </c>
      <c r="C418" s="36" t="s">
        <v>2048</v>
      </c>
      <c r="D418" s="5" t="s">
        <v>33</v>
      </c>
      <c r="E418" s="7" t="s">
        <v>2044</v>
      </c>
      <c r="F418" s="7" t="s">
        <v>2049</v>
      </c>
      <c r="G418" s="7" t="s">
        <v>36</v>
      </c>
      <c r="H418" s="8">
        <v>242400</v>
      </c>
      <c r="I418" s="7" t="s">
        <v>73</v>
      </c>
      <c r="J418" s="7" t="s">
        <v>74</v>
      </c>
      <c r="K418" s="7" t="s">
        <v>2046</v>
      </c>
      <c r="L418" s="9" t="s">
        <v>2047</v>
      </c>
      <c r="M418" s="10">
        <v>45322</v>
      </c>
      <c r="N418" s="7" t="s">
        <v>226</v>
      </c>
      <c r="O418" s="7" t="s">
        <v>227</v>
      </c>
      <c r="P418" s="20"/>
      <c r="Q418" s="40">
        <v>0</v>
      </c>
      <c r="R418" s="1">
        <v>51</v>
      </c>
      <c r="S418" s="1"/>
      <c r="T418" s="1">
        <v>56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f t="shared" si="29"/>
        <v>35.666666666666664</v>
      </c>
      <c r="AG418" s="11" t="str">
        <f t="shared" si="30"/>
        <v>REPROVADO</v>
      </c>
    </row>
    <row r="419" spans="2:33" ht="25.5" hidden="1" x14ac:dyDescent="0.25">
      <c r="B419" s="5">
        <v>414</v>
      </c>
      <c r="C419" s="36" t="s">
        <v>2050</v>
      </c>
      <c r="D419" s="5" t="s">
        <v>33</v>
      </c>
      <c r="E419" s="7" t="s">
        <v>2044</v>
      </c>
      <c r="F419" s="7" t="s">
        <v>2051</v>
      </c>
      <c r="G419" s="7" t="s">
        <v>36</v>
      </c>
      <c r="H419" s="8">
        <v>375800</v>
      </c>
      <c r="I419" s="7" t="s">
        <v>73</v>
      </c>
      <c r="J419" s="7" t="s">
        <v>74</v>
      </c>
      <c r="K419" s="7" t="s">
        <v>2046</v>
      </c>
      <c r="L419" s="9" t="s">
        <v>2047</v>
      </c>
      <c r="M419" s="10">
        <v>45322</v>
      </c>
      <c r="N419" s="7" t="s">
        <v>226</v>
      </c>
      <c r="O419" s="7" t="s">
        <v>227</v>
      </c>
      <c r="P419" s="20"/>
      <c r="Q419" s="40">
        <v>0</v>
      </c>
      <c r="R419" s="1">
        <v>0</v>
      </c>
      <c r="S419" s="1"/>
      <c r="T419" s="1">
        <v>58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>
        <f t="shared" si="29"/>
        <v>19.333333333333332</v>
      </c>
      <c r="AG419" s="11" t="str">
        <f t="shared" si="30"/>
        <v>REPROVADO</v>
      </c>
    </row>
    <row r="420" spans="2:33" ht="38.25" hidden="1" x14ac:dyDescent="0.25">
      <c r="B420" s="5">
        <v>415</v>
      </c>
      <c r="C420" s="27" t="s">
        <v>2052</v>
      </c>
      <c r="D420" s="5" t="s">
        <v>33</v>
      </c>
      <c r="E420" s="7" t="s">
        <v>2053</v>
      </c>
      <c r="F420" s="7" t="s">
        <v>2054</v>
      </c>
      <c r="G420" s="7" t="s">
        <v>36</v>
      </c>
      <c r="H420" s="49">
        <v>236635.08</v>
      </c>
      <c r="I420" s="7" t="s">
        <v>253</v>
      </c>
      <c r="J420" s="7" t="s">
        <v>254</v>
      </c>
      <c r="K420" s="9" t="s">
        <v>2055</v>
      </c>
      <c r="L420" s="9" t="s">
        <v>2056</v>
      </c>
      <c r="M420" s="10">
        <v>45322</v>
      </c>
      <c r="N420" s="7" t="s">
        <v>41</v>
      </c>
      <c r="O420" s="9"/>
      <c r="P420" s="20"/>
      <c r="Q420" s="40">
        <v>338</v>
      </c>
      <c r="R420" s="1">
        <v>98</v>
      </c>
      <c r="S420" s="1"/>
      <c r="T420" s="1">
        <v>125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>
        <f t="shared" si="29"/>
        <v>187</v>
      </c>
      <c r="AG420" s="11" t="str">
        <f t="shared" si="30"/>
        <v>REPROVADO</v>
      </c>
    </row>
    <row r="421" spans="2:33" hidden="1" x14ac:dyDescent="0.25">
      <c r="B421" s="5">
        <v>416</v>
      </c>
      <c r="C421" s="27" t="s">
        <v>2057</v>
      </c>
      <c r="D421" s="5" t="s">
        <v>33</v>
      </c>
      <c r="E421" s="7" t="s">
        <v>2053</v>
      </c>
      <c r="F421" s="7" t="s">
        <v>2058</v>
      </c>
      <c r="G421" s="7" t="s">
        <v>36</v>
      </c>
      <c r="H421" s="49">
        <v>323278.44</v>
      </c>
      <c r="I421" s="7" t="s">
        <v>253</v>
      </c>
      <c r="J421" s="7" t="s">
        <v>254</v>
      </c>
      <c r="K421" s="9" t="s">
        <v>2055</v>
      </c>
      <c r="L421" s="9" t="s">
        <v>2056</v>
      </c>
      <c r="M421" s="10">
        <v>45322</v>
      </c>
      <c r="N421" s="7" t="s">
        <v>41</v>
      </c>
      <c r="O421" s="9"/>
      <c r="P421" s="20"/>
      <c r="Q421" s="40">
        <v>334</v>
      </c>
      <c r="R421" s="1">
        <v>86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>
        <v>319</v>
      </c>
      <c r="AD421" s="1"/>
      <c r="AE421" s="1">
        <f>COUNT(Q421:AD421)</f>
        <v>3</v>
      </c>
      <c r="AF421" s="1">
        <f t="shared" si="29"/>
        <v>246.33333333333334</v>
      </c>
      <c r="AG421" s="11" t="str">
        <f t="shared" si="30"/>
        <v>APROVADO</v>
      </c>
    </row>
    <row r="422" spans="2:33" hidden="1" x14ac:dyDescent="0.25">
      <c r="B422" s="5">
        <v>417</v>
      </c>
      <c r="C422" s="6" t="s">
        <v>2059</v>
      </c>
      <c r="D422" s="5" t="s">
        <v>33</v>
      </c>
      <c r="E422" s="7" t="s">
        <v>2060</v>
      </c>
      <c r="F422" s="7" t="s">
        <v>2061</v>
      </c>
      <c r="G422" s="7" t="s">
        <v>36</v>
      </c>
      <c r="H422" s="8">
        <v>259200</v>
      </c>
      <c r="I422" s="7" t="s">
        <v>859</v>
      </c>
      <c r="J422" s="7" t="s">
        <v>181</v>
      </c>
      <c r="K422" s="7" t="s">
        <v>2062</v>
      </c>
      <c r="L422" s="9" t="s">
        <v>2063</v>
      </c>
      <c r="M422" s="10">
        <v>45322</v>
      </c>
      <c r="N422" s="7" t="s">
        <v>67</v>
      </c>
      <c r="O422" s="7"/>
      <c r="P422" s="20"/>
      <c r="Q422" s="40">
        <v>301</v>
      </c>
      <c r="R422" s="1"/>
      <c r="S422" s="1"/>
      <c r="T422" s="1"/>
      <c r="U422" s="1"/>
      <c r="V422" s="1">
        <v>340</v>
      </c>
      <c r="W422" s="1">
        <v>317</v>
      </c>
      <c r="X422" s="1"/>
      <c r="Y422" s="1"/>
      <c r="Z422" s="1"/>
      <c r="AA422" s="1"/>
      <c r="AB422" s="1"/>
      <c r="AC422" s="1"/>
      <c r="AD422" s="1"/>
      <c r="AE422" s="1">
        <f>COUNT(Q422:AD422)</f>
        <v>3</v>
      </c>
      <c r="AF422" s="1">
        <f t="shared" si="29"/>
        <v>319.33333333333331</v>
      </c>
      <c r="AG422" s="11" t="str">
        <f t="shared" si="30"/>
        <v>APROVADO</v>
      </c>
    </row>
    <row r="423" spans="2:33" ht="25.5" hidden="1" x14ac:dyDescent="0.25">
      <c r="B423" s="5">
        <v>418</v>
      </c>
      <c r="C423" s="16" t="s">
        <v>2064</v>
      </c>
      <c r="D423" s="5" t="s">
        <v>33</v>
      </c>
      <c r="E423" s="7" t="s">
        <v>2065</v>
      </c>
      <c r="F423" s="7" t="s">
        <v>2066</v>
      </c>
      <c r="G423" s="7" t="s">
        <v>107</v>
      </c>
      <c r="H423" s="8">
        <v>253200</v>
      </c>
      <c r="I423" s="7" t="s">
        <v>859</v>
      </c>
      <c r="J423" s="7" t="s">
        <v>181</v>
      </c>
      <c r="K423" s="7" t="s">
        <v>2067</v>
      </c>
      <c r="L423" s="9" t="s">
        <v>2068</v>
      </c>
      <c r="M423" s="10">
        <v>45322</v>
      </c>
      <c r="N423" s="7" t="s">
        <v>82</v>
      </c>
      <c r="O423" s="7" t="s">
        <v>845</v>
      </c>
      <c r="P423" s="20"/>
      <c r="Q423" s="40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 t="e">
        <f t="shared" si="29"/>
        <v>#DIV/0!</v>
      </c>
      <c r="AG423" s="11" t="e">
        <f t="shared" si="30"/>
        <v>#DIV/0!</v>
      </c>
    </row>
    <row r="424" spans="2:33" ht="25.5" hidden="1" x14ac:dyDescent="0.25">
      <c r="B424" s="5">
        <v>419</v>
      </c>
      <c r="C424" s="6" t="s">
        <v>2069</v>
      </c>
      <c r="D424" s="5" t="s">
        <v>33</v>
      </c>
      <c r="E424" s="5" t="s">
        <v>2070</v>
      </c>
      <c r="F424" s="5" t="s">
        <v>2071</v>
      </c>
      <c r="G424" s="5" t="s">
        <v>36</v>
      </c>
      <c r="H424" s="17">
        <v>240000</v>
      </c>
      <c r="I424" s="7" t="s">
        <v>648</v>
      </c>
      <c r="J424" s="7" t="s">
        <v>254</v>
      </c>
      <c r="K424" s="5" t="s">
        <v>2072</v>
      </c>
      <c r="L424" s="9" t="s">
        <v>2073</v>
      </c>
      <c r="M424" s="10">
        <v>45322</v>
      </c>
      <c r="N424" s="5" t="s">
        <v>67</v>
      </c>
      <c r="O424" s="7" t="s">
        <v>1357</v>
      </c>
      <c r="P424" s="20"/>
      <c r="Q424" s="39">
        <v>183</v>
      </c>
      <c r="R424" s="1"/>
      <c r="S424" s="1"/>
      <c r="T424" s="1"/>
      <c r="U424" s="1"/>
      <c r="V424" s="1">
        <v>249</v>
      </c>
      <c r="W424" s="1">
        <v>249</v>
      </c>
      <c r="X424" s="1"/>
      <c r="Y424" s="1"/>
      <c r="Z424" s="1"/>
      <c r="AA424" s="1"/>
      <c r="AB424" s="1"/>
      <c r="AC424" s="1"/>
      <c r="AD424" s="1"/>
      <c r="AE424" s="1">
        <f>COUNT(Q424:AD424)</f>
        <v>3</v>
      </c>
      <c r="AF424" s="1">
        <f t="shared" si="29"/>
        <v>227</v>
      </c>
      <c r="AG424" s="11" t="str">
        <f t="shared" si="30"/>
        <v>APROVADO</v>
      </c>
    </row>
    <row r="425" spans="2:33" hidden="1" x14ac:dyDescent="0.25">
      <c r="B425" s="5">
        <v>420</v>
      </c>
      <c r="C425" s="6" t="s">
        <v>2074</v>
      </c>
      <c r="D425" s="5" t="s">
        <v>51</v>
      </c>
      <c r="E425" s="7" t="s">
        <v>2075</v>
      </c>
      <c r="F425" s="7" t="s">
        <v>2076</v>
      </c>
      <c r="G425" s="7" t="s">
        <v>36</v>
      </c>
      <c r="H425" s="28">
        <v>515500</v>
      </c>
      <c r="I425" s="7" t="s">
        <v>648</v>
      </c>
      <c r="J425" s="11" t="s">
        <v>254</v>
      </c>
      <c r="K425" s="7" t="s">
        <v>2077</v>
      </c>
      <c r="L425" s="30" t="s">
        <v>2078</v>
      </c>
      <c r="M425" s="26">
        <v>45322</v>
      </c>
      <c r="N425" s="7" t="s">
        <v>57</v>
      </c>
      <c r="O425" s="13"/>
      <c r="P425" s="20"/>
      <c r="Q425" s="1">
        <v>340</v>
      </c>
      <c r="R425" s="1"/>
      <c r="S425" s="1"/>
      <c r="T425" s="1"/>
      <c r="U425" s="1"/>
      <c r="V425" s="1">
        <v>340</v>
      </c>
      <c r="W425" s="1"/>
      <c r="X425" s="1"/>
      <c r="Y425" s="1">
        <v>340</v>
      </c>
      <c r="Z425" s="1"/>
      <c r="AA425" s="1"/>
      <c r="AB425" s="1"/>
      <c r="AC425" s="20"/>
      <c r="AD425" s="20"/>
      <c r="AE425" s="1">
        <f>COUNT(Q425:AD425)</f>
        <v>3</v>
      </c>
      <c r="AF425" s="1">
        <f t="shared" si="29"/>
        <v>340</v>
      </c>
      <c r="AG425" s="11" t="str">
        <f t="shared" si="30"/>
        <v>APROVADO</v>
      </c>
    </row>
    <row r="426" spans="2:33" ht="25.5" hidden="1" x14ac:dyDescent="0.25">
      <c r="B426" s="5">
        <v>421</v>
      </c>
      <c r="C426" s="27" t="s">
        <v>2079</v>
      </c>
      <c r="D426" s="5" t="s">
        <v>33</v>
      </c>
      <c r="E426" s="7" t="s">
        <v>2080</v>
      </c>
      <c r="F426" s="7" t="s">
        <v>2081</v>
      </c>
      <c r="G426" s="7" t="s">
        <v>36</v>
      </c>
      <c r="H426" s="8">
        <v>1370825</v>
      </c>
      <c r="I426" s="7" t="s">
        <v>2082</v>
      </c>
      <c r="J426" s="7" t="s">
        <v>677</v>
      </c>
      <c r="K426" s="7" t="s">
        <v>2083</v>
      </c>
      <c r="L426" s="9" t="s">
        <v>2084</v>
      </c>
      <c r="M426" s="10">
        <v>45322</v>
      </c>
      <c r="N426" s="7" t="s">
        <v>41</v>
      </c>
      <c r="O426" s="7"/>
      <c r="P426" s="20"/>
      <c r="Q426" s="40">
        <v>311</v>
      </c>
      <c r="R426" s="1">
        <v>112</v>
      </c>
      <c r="S426" s="1"/>
      <c r="T426" s="1">
        <v>137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>
        <f t="shared" si="29"/>
        <v>186.66666666666666</v>
      </c>
      <c r="AG426" s="11" t="str">
        <f t="shared" si="30"/>
        <v>REPROVADO</v>
      </c>
    </row>
    <row r="427" spans="2:33" ht="38.25" hidden="1" x14ac:dyDescent="0.25">
      <c r="B427" s="5">
        <v>422</v>
      </c>
      <c r="C427" s="27" t="s">
        <v>2085</v>
      </c>
      <c r="D427" s="5" t="s">
        <v>51</v>
      </c>
      <c r="E427" s="7" t="s">
        <v>2086</v>
      </c>
      <c r="F427" s="7" t="s">
        <v>2087</v>
      </c>
      <c r="G427" s="7" t="s">
        <v>36</v>
      </c>
      <c r="H427" s="28">
        <v>1046576.89</v>
      </c>
      <c r="I427" s="7" t="s">
        <v>2088</v>
      </c>
      <c r="J427" s="7" t="s">
        <v>95</v>
      </c>
      <c r="K427" s="13" t="s">
        <v>2089</v>
      </c>
      <c r="L427" s="43" t="s">
        <v>2090</v>
      </c>
      <c r="M427" s="26">
        <v>45322</v>
      </c>
      <c r="N427" s="9" t="s">
        <v>41</v>
      </c>
      <c r="O427" s="13"/>
      <c r="P427" s="20"/>
      <c r="Q427" s="1">
        <v>340</v>
      </c>
      <c r="R427" s="1">
        <v>84</v>
      </c>
      <c r="S427" s="1"/>
      <c r="T427" s="1"/>
      <c r="U427" s="1"/>
      <c r="V427" s="1"/>
      <c r="W427" s="1"/>
      <c r="X427" s="1"/>
      <c r="Y427" s="1"/>
      <c r="Z427" s="1">
        <v>253</v>
      </c>
      <c r="AA427" s="1"/>
      <c r="AB427" s="1"/>
      <c r="AC427" s="20"/>
      <c r="AD427" s="20"/>
      <c r="AE427" s="1">
        <f t="shared" ref="AE427:AE433" si="32">COUNT(Q427:AD427)</f>
        <v>3</v>
      </c>
      <c r="AF427" s="1">
        <f t="shared" si="29"/>
        <v>225.66666666666666</v>
      </c>
      <c r="AG427" s="11" t="str">
        <f t="shared" si="30"/>
        <v>APROVADO</v>
      </c>
    </row>
    <row r="428" spans="2:33" ht="38.25" hidden="1" x14ac:dyDescent="0.25">
      <c r="B428" s="5">
        <v>423</v>
      </c>
      <c r="C428" s="27" t="s">
        <v>2091</v>
      </c>
      <c r="D428" s="5" t="s">
        <v>51</v>
      </c>
      <c r="E428" s="7" t="s">
        <v>2086</v>
      </c>
      <c r="F428" s="7" t="s">
        <v>2092</v>
      </c>
      <c r="G428" s="7" t="s">
        <v>1453</v>
      </c>
      <c r="H428" s="28">
        <v>250000</v>
      </c>
      <c r="I428" s="7" t="s">
        <v>2088</v>
      </c>
      <c r="J428" s="7" t="s">
        <v>95</v>
      </c>
      <c r="K428" s="13" t="s">
        <v>2089</v>
      </c>
      <c r="L428" s="43" t="s">
        <v>2090</v>
      </c>
      <c r="M428" s="26">
        <v>45322</v>
      </c>
      <c r="N428" s="13" t="s">
        <v>41</v>
      </c>
      <c r="O428" s="13"/>
      <c r="P428" s="20"/>
      <c r="Q428" s="1">
        <v>312</v>
      </c>
      <c r="R428" s="1">
        <v>84</v>
      </c>
      <c r="S428" s="1"/>
      <c r="T428" s="1"/>
      <c r="U428" s="1"/>
      <c r="V428" s="1"/>
      <c r="W428" s="1"/>
      <c r="X428" s="1"/>
      <c r="Y428" s="1"/>
      <c r="Z428" s="1">
        <v>259</v>
      </c>
      <c r="AA428" s="1"/>
      <c r="AB428" s="1"/>
      <c r="AC428" s="20"/>
      <c r="AD428" s="20"/>
      <c r="AE428" s="1">
        <f t="shared" si="32"/>
        <v>3</v>
      </c>
      <c r="AF428" s="1">
        <f t="shared" si="29"/>
        <v>218.33333333333334</v>
      </c>
      <c r="AG428" s="11" t="str">
        <f t="shared" si="30"/>
        <v>APROVADO</v>
      </c>
    </row>
    <row r="429" spans="2:33" ht="38.25" hidden="1" x14ac:dyDescent="0.25">
      <c r="B429" s="5">
        <v>424</v>
      </c>
      <c r="C429" s="27" t="s">
        <v>2093</v>
      </c>
      <c r="D429" s="5" t="s">
        <v>51</v>
      </c>
      <c r="E429" s="7" t="s">
        <v>2086</v>
      </c>
      <c r="F429" s="7" t="s">
        <v>2094</v>
      </c>
      <c r="G429" s="7" t="s">
        <v>107</v>
      </c>
      <c r="H429" s="28">
        <v>177890</v>
      </c>
      <c r="I429" s="7" t="s">
        <v>2088</v>
      </c>
      <c r="J429" s="7" t="s">
        <v>95</v>
      </c>
      <c r="K429" s="13" t="s">
        <v>2089</v>
      </c>
      <c r="L429" s="43" t="s">
        <v>2090</v>
      </c>
      <c r="M429" s="26">
        <v>45322</v>
      </c>
      <c r="N429" s="13" t="s">
        <v>41</v>
      </c>
      <c r="O429" s="13"/>
      <c r="P429" s="20"/>
      <c r="Q429" s="1">
        <v>309</v>
      </c>
      <c r="R429" s="1">
        <v>78</v>
      </c>
      <c r="S429" s="1"/>
      <c r="T429" s="1"/>
      <c r="U429" s="1"/>
      <c r="V429" s="1"/>
      <c r="W429" s="1"/>
      <c r="X429" s="1"/>
      <c r="Y429" s="1"/>
      <c r="Z429" s="1">
        <v>302</v>
      </c>
      <c r="AA429" s="1"/>
      <c r="AB429" s="1"/>
      <c r="AC429" s="20"/>
      <c r="AD429" s="20"/>
      <c r="AE429" s="1">
        <f t="shared" si="32"/>
        <v>3</v>
      </c>
      <c r="AF429" s="1">
        <f t="shared" si="29"/>
        <v>229.66666666666666</v>
      </c>
      <c r="AG429" s="11" t="str">
        <f t="shared" si="30"/>
        <v>APROVADO</v>
      </c>
    </row>
    <row r="430" spans="2:33" ht="25.5" hidden="1" x14ac:dyDescent="0.25">
      <c r="B430" s="5">
        <v>425</v>
      </c>
      <c r="C430" s="6" t="s">
        <v>2095</v>
      </c>
      <c r="D430" s="5" t="s">
        <v>51</v>
      </c>
      <c r="E430" s="7" t="s">
        <v>2096</v>
      </c>
      <c r="F430" s="7" t="s">
        <v>2097</v>
      </c>
      <c r="G430" s="7" t="s">
        <v>36</v>
      </c>
      <c r="H430" s="28">
        <v>145000</v>
      </c>
      <c r="I430" s="13" t="s">
        <v>1780</v>
      </c>
      <c r="J430" s="11" t="s">
        <v>154</v>
      </c>
      <c r="K430" s="13" t="s">
        <v>2098</v>
      </c>
      <c r="L430" s="30" t="s">
        <v>2099</v>
      </c>
      <c r="M430" s="26">
        <v>45322</v>
      </c>
      <c r="N430" s="13" t="s">
        <v>57</v>
      </c>
      <c r="O430" s="13"/>
      <c r="P430" s="20"/>
      <c r="Q430" s="1">
        <v>264</v>
      </c>
      <c r="R430" s="1"/>
      <c r="S430" s="1"/>
      <c r="T430" s="1"/>
      <c r="U430" s="1"/>
      <c r="V430" s="1"/>
      <c r="W430" s="1"/>
      <c r="X430" s="1">
        <v>330</v>
      </c>
      <c r="Y430" s="1">
        <v>340</v>
      </c>
      <c r="Z430" s="1"/>
      <c r="AA430" s="1"/>
      <c r="AB430" s="1"/>
      <c r="AC430" s="20"/>
      <c r="AD430" s="20"/>
      <c r="AE430" s="1">
        <f t="shared" si="32"/>
        <v>3</v>
      </c>
      <c r="AF430" s="1">
        <f t="shared" si="29"/>
        <v>311.33333333333331</v>
      </c>
      <c r="AG430" s="11" t="str">
        <f t="shared" si="30"/>
        <v>APROVADO</v>
      </c>
    </row>
    <row r="431" spans="2:33" ht="140.25" hidden="1" x14ac:dyDescent="0.25">
      <c r="B431" s="5">
        <v>426</v>
      </c>
      <c r="C431" s="6" t="s">
        <v>2100</v>
      </c>
      <c r="D431" s="5" t="s">
        <v>33</v>
      </c>
      <c r="E431" s="7" t="s">
        <v>1964</v>
      </c>
      <c r="F431" s="7" t="s">
        <v>2101</v>
      </c>
      <c r="G431" s="7" t="s">
        <v>36</v>
      </c>
      <c r="H431" s="8">
        <v>328800</v>
      </c>
      <c r="I431" s="7" t="s">
        <v>63</v>
      </c>
      <c r="J431" s="5" t="s">
        <v>64</v>
      </c>
      <c r="K431" s="7" t="s">
        <v>1966</v>
      </c>
      <c r="L431" s="37" t="s">
        <v>2102</v>
      </c>
      <c r="M431" s="10">
        <v>45322</v>
      </c>
      <c r="N431" s="7" t="s">
        <v>67</v>
      </c>
      <c r="O431" s="9"/>
      <c r="P431" s="20"/>
      <c r="Q431" s="40">
        <v>301</v>
      </c>
      <c r="R431" s="1"/>
      <c r="S431" s="1"/>
      <c r="T431" s="1"/>
      <c r="U431" s="1"/>
      <c r="V431" s="1"/>
      <c r="W431" s="1"/>
      <c r="X431" s="1">
        <v>333</v>
      </c>
      <c r="Y431" s="1">
        <v>340</v>
      </c>
      <c r="Z431" s="1"/>
      <c r="AA431" s="1"/>
      <c r="AB431" s="1"/>
      <c r="AC431" s="1"/>
      <c r="AD431" s="1"/>
      <c r="AE431" s="1">
        <f t="shared" si="32"/>
        <v>3</v>
      </c>
      <c r="AF431" s="1">
        <f t="shared" si="29"/>
        <v>324.66666666666669</v>
      </c>
      <c r="AG431" s="11" t="str">
        <f t="shared" si="30"/>
        <v>APROVADO</v>
      </c>
    </row>
    <row r="432" spans="2:33" ht="25.5" hidden="1" x14ac:dyDescent="0.25">
      <c r="B432" s="5">
        <v>427</v>
      </c>
      <c r="C432" s="6" t="s">
        <v>2103</v>
      </c>
      <c r="D432" s="5" t="s">
        <v>33</v>
      </c>
      <c r="E432" s="5" t="s">
        <v>2104</v>
      </c>
      <c r="F432" s="5" t="s">
        <v>2105</v>
      </c>
      <c r="G432" s="7" t="s">
        <v>36</v>
      </c>
      <c r="H432" s="17">
        <v>1881455</v>
      </c>
      <c r="I432" s="7" t="s">
        <v>73</v>
      </c>
      <c r="J432" s="5" t="s">
        <v>74</v>
      </c>
      <c r="K432" s="5" t="s">
        <v>2106</v>
      </c>
      <c r="L432" s="9" t="s">
        <v>2107</v>
      </c>
      <c r="M432" s="10">
        <v>45322</v>
      </c>
      <c r="N432" s="5" t="s">
        <v>67</v>
      </c>
      <c r="O432" s="7" t="s">
        <v>1357</v>
      </c>
      <c r="P432" s="20"/>
      <c r="Q432" s="39">
        <v>303</v>
      </c>
      <c r="R432" s="1"/>
      <c r="S432" s="1"/>
      <c r="T432" s="1"/>
      <c r="U432" s="1"/>
      <c r="V432" s="1"/>
      <c r="W432" s="1"/>
      <c r="X432" s="1">
        <v>321</v>
      </c>
      <c r="Y432" s="1">
        <v>318</v>
      </c>
      <c r="Z432" s="1"/>
      <c r="AA432" s="1"/>
      <c r="AB432" s="1"/>
      <c r="AC432" s="1"/>
      <c r="AD432" s="1"/>
      <c r="AE432" s="1">
        <f t="shared" si="32"/>
        <v>3</v>
      </c>
      <c r="AF432" s="1">
        <f t="shared" si="29"/>
        <v>314</v>
      </c>
      <c r="AG432" s="11" t="str">
        <f t="shared" si="30"/>
        <v>APROVADO</v>
      </c>
    </row>
    <row r="433" spans="2:33" ht="25.5" hidden="1" x14ac:dyDescent="0.25">
      <c r="B433" s="5">
        <v>428</v>
      </c>
      <c r="C433" s="6" t="s">
        <v>2108</v>
      </c>
      <c r="D433" s="5" t="s">
        <v>33</v>
      </c>
      <c r="E433" s="5" t="s">
        <v>2104</v>
      </c>
      <c r="F433" s="5" t="s">
        <v>2109</v>
      </c>
      <c r="G433" s="5" t="s">
        <v>36</v>
      </c>
      <c r="H433" s="17">
        <v>5500000</v>
      </c>
      <c r="I433" s="7" t="s">
        <v>73</v>
      </c>
      <c r="J433" s="5" t="s">
        <v>74</v>
      </c>
      <c r="K433" s="5" t="s">
        <v>2110</v>
      </c>
      <c r="L433" s="9" t="s">
        <v>2107</v>
      </c>
      <c r="M433" s="10">
        <v>45322</v>
      </c>
      <c r="N433" s="5" t="s">
        <v>67</v>
      </c>
      <c r="O433" s="7" t="s">
        <v>2111</v>
      </c>
      <c r="P433" s="20"/>
      <c r="Q433" s="39">
        <v>301</v>
      </c>
      <c r="R433" s="1"/>
      <c r="S433" s="1"/>
      <c r="T433" s="1"/>
      <c r="U433" s="1"/>
      <c r="V433" s="1"/>
      <c r="W433" s="1"/>
      <c r="X433" s="1">
        <v>292</v>
      </c>
      <c r="Y433" s="1">
        <v>303</v>
      </c>
      <c r="Z433" s="1"/>
      <c r="AA433" s="1"/>
      <c r="AB433" s="1"/>
      <c r="AC433" s="1"/>
      <c r="AD433" s="1"/>
      <c r="AE433" s="1">
        <f t="shared" si="32"/>
        <v>3</v>
      </c>
      <c r="AF433" s="1">
        <f t="shared" si="29"/>
        <v>298.66666666666669</v>
      </c>
      <c r="AG433" s="11" t="str">
        <f t="shared" si="30"/>
        <v>APROVADO</v>
      </c>
    </row>
    <row r="434" spans="2:33" ht="25.5" hidden="1" x14ac:dyDescent="0.25">
      <c r="B434" s="5">
        <v>429</v>
      </c>
      <c r="C434" s="16" t="s">
        <v>2112</v>
      </c>
      <c r="D434" s="5" t="s">
        <v>33</v>
      </c>
      <c r="E434" s="5" t="s">
        <v>2113</v>
      </c>
      <c r="F434" s="5" t="s">
        <v>2114</v>
      </c>
      <c r="G434" s="5" t="s">
        <v>107</v>
      </c>
      <c r="H434" s="17">
        <v>661500</v>
      </c>
      <c r="I434" s="7" t="s">
        <v>73</v>
      </c>
      <c r="J434" s="7" t="s">
        <v>74</v>
      </c>
      <c r="K434" s="5" t="s">
        <v>2115</v>
      </c>
      <c r="L434" s="9" t="s">
        <v>2116</v>
      </c>
      <c r="M434" s="10">
        <v>45322</v>
      </c>
      <c r="N434" s="7" t="s">
        <v>82</v>
      </c>
      <c r="O434" s="7" t="s">
        <v>845</v>
      </c>
      <c r="P434" s="20"/>
      <c r="Q434" s="40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 t="e">
        <f t="shared" si="29"/>
        <v>#DIV/0!</v>
      </c>
      <c r="AG434" s="11" t="e">
        <f t="shared" si="30"/>
        <v>#DIV/0!</v>
      </c>
    </row>
    <row r="435" spans="2:33" ht="25.5" hidden="1" x14ac:dyDescent="0.25">
      <c r="B435" s="5">
        <v>430</v>
      </c>
      <c r="C435" s="16" t="s">
        <v>2117</v>
      </c>
      <c r="D435" s="5" t="s">
        <v>51</v>
      </c>
      <c r="E435" s="7" t="s">
        <v>2118</v>
      </c>
      <c r="F435" s="7" t="s">
        <v>2119</v>
      </c>
      <c r="G435" s="7" t="s">
        <v>36</v>
      </c>
      <c r="H435" s="28">
        <v>350940</v>
      </c>
      <c r="I435" s="13" t="s">
        <v>2120</v>
      </c>
      <c r="J435" s="11" t="s">
        <v>202</v>
      </c>
      <c r="K435" s="13" t="s">
        <v>1172</v>
      </c>
      <c r="L435" s="30" t="s">
        <v>2121</v>
      </c>
      <c r="M435" s="26">
        <v>45322</v>
      </c>
      <c r="N435" s="7" t="s">
        <v>82</v>
      </c>
      <c r="O435" s="13" t="s">
        <v>419</v>
      </c>
      <c r="P435" s="20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0"/>
      <c r="AD435" s="20"/>
      <c r="AE435" s="20"/>
      <c r="AF435" s="1" t="e">
        <f t="shared" si="29"/>
        <v>#DIV/0!</v>
      </c>
      <c r="AG435" s="11" t="e">
        <f t="shared" si="30"/>
        <v>#DIV/0!</v>
      </c>
    </row>
    <row r="436" spans="2:33" ht="26.25" hidden="1" x14ac:dyDescent="0.25">
      <c r="B436" s="5">
        <v>431</v>
      </c>
      <c r="C436" s="16" t="s">
        <v>2122</v>
      </c>
      <c r="D436" s="5" t="s">
        <v>51</v>
      </c>
      <c r="E436" s="7" t="s">
        <v>2123</v>
      </c>
      <c r="F436" s="7" t="s">
        <v>2124</v>
      </c>
      <c r="G436" s="7" t="s">
        <v>107</v>
      </c>
      <c r="H436" s="28">
        <v>98000</v>
      </c>
      <c r="I436" s="13" t="s">
        <v>2125</v>
      </c>
      <c r="J436" s="11" t="s">
        <v>123</v>
      </c>
      <c r="K436" s="7" t="s">
        <v>2126</v>
      </c>
      <c r="L436" s="43" t="s">
        <v>2127</v>
      </c>
      <c r="M436" s="26">
        <v>45322</v>
      </c>
      <c r="N436" s="7" t="s">
        <v>82</v>
      </c>
      <c r="O436" s="14" t="s">
        <v>2128</v>
      </c>
      <c r="P436" s="20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0"/>
      <c r="AD436" s="20"/>
      <c r="AE436" s="20"/>
      <c r="AF436" s="1" t="e">
        <f t="shared" si="29"/>
        <v>#DIV/0!</v>
      </c>
      <c r="AG436" s="11" t="e">
        <f t="shared" si="30"/>
        <v>#DIV/0!</v>
      </c>
    </row>
    <row r="437" spans="2:33" ht="39" hidden="1" x14ac:dyDescent="0.25">
      <c r="B437" s="5">
        <v>432</v>
      </c>
      <c r="C437" s="6" t="s">
        <v>2129</v>
      </c>
      <c r="D437" s="5" t="s">
        <v>51</v>
      </c>
      <c r="E437" s="7" t="s">
        <v>2123</v>
      </c>
      <c r="F437" s="7" t="s">
        <v>2124</v>
      </c>
      <c r="G437" s="7" t="s">
        <v>107</v>
      </c>
      <c r="H437" s="28">
        <v>98000</v>
      </c>
      <c r="I437" s="13" t="s">
        <v>2125</v>
      </c>
      <c r="J437" s="11" t="s">
        <v>123</v>
      </c>
      <c r="K437" s="7" t="s">
        <v>2126</v>
      </c>
      <c r="L437" s="43" t="s">
        <v>2127</v>
      </c>
      <c r="M437" s="26">
        <v>45322</v>
      </c>
      <c r="N437" s="13" t="s">
        <v>57</v>
      </c>
      <c r="O437" s="14" t="s">
        <v>2130</v>
      </c>
      <c r="P437" s="20"/>
      <c r="Q437" s="1">
        <v>315</v>
      </c>
      <c r="R437" s="1"/>
      <c r="S437" s="1"/>
      <c r="T437" s="1"/>
      <c r="U437" s="1"/>
      <c r="V437" s="1">
        <v>311</v>
      </c>
      <c r="W437" s="1">
        <v>298</v>
      </c>
      <c r="X437" s="1"/>
      <c r="Y437" s="1"/>
      <c r="Z437" s="1"/>
      <c r="AA437" s="1"/>
      <c r="AB437" s="1"/>
      <c r="AC437" s="20"/>
      <c r="AD437" s="20"/>
      <c r="AE437" s="1">
        <f t="shared" ref="AE437:AE449" si="33">COUNT(Q437:AD437)</f>
        <v>3</v>
      </c>
      <c r="AF437" s="1">
        <f t="shared" si="29"/>
        <v>308</v>
      </c>
      <c r="AG437" s="11" t="str">
        <f t="shared" si="30"/>
        <v>APROVADO</v>
      </c>
    </row>
    <row r="438" spans="2:33" ht="25.5" hidden="1" x14ac:dyDescent="0.25">
      <c r="B438" s="5">
        <v>433</v>
      </c>
      <c r="C438" s="6" t="s">
        <v>2131</v>
      </c>
      <c r="D438" s="5" t="s">
        <v>51</v>
      </c>
      <c r="E438" s="7" t="s">
        <v>594</v>
      </c>
      <c r="F438" s="7" t="s">
        <v>2132</v>
      </c>
      <c r="G438" s="7" t="s">
        <v>36</v>
      </c>
      <c r="H438" s="28">
        <v>1764030</v>
      </c>
      <c r="I438" s="13" t="s">
        <v>596</v>
      </c>
      <c r="J438" s="11" t="s">
        <v>597</v>
      </c>
      <c r="K438" s="13" t="s">
        <v>2133</v>
      </c>
      <c r="L438" s="30" t="s">
        <v>2134</v>
      </c>
      <c r="M438" s="26">
        <v>45322</v>
      </c>
      <c r="N438" s="13" t="s">
        <v>57</v>
      </c>
      <c r="O438" s="13"/>
      <c r="P438" s="20"/>
      <c r="Q438" s="1">
        <v>253</v>
      </c>
      <c r="R438" s="1"/>
      <c r="S438" s="1">
        <v>265</v>
      </c>
      <c r="T438" s="1"/>
      <c r="U438" s="1"/>
      <c r="V438" s="1"/>
      <c r="W438" s="1"/>
      <c r="X438" s="1">
        <v>335</v>
      </c>
      <c r="Y438" s="1"/>
      <c r="Z438" s="1"/>
      <c r="AA438" s="1"/>
      <c r="AB438" s="1"/>
      <c r="AC438" s="20"/>
      <c r="AD438" s="20"/>
      <c r="AE438" s="1">
        <f t="shared" si="33"/>
        <v>3</v>
      </c>
      <c r="AF438" s="1">
        <f t="shared" si="29"/>
        <v>284.33333333333331</v>
      </c>
      <c r="AG438" s="11" t="str">
        <f t="shared" si="30"/>
        <v>APROVADO</v>
      </c>
    </row>
    <row r="439" spans="2:33" ht="25.5" hidden="1" x14ac:dyDescent="0.25">
      <c r="B439" s="5">
        <v>434</v>
      </c>
      <c r="C439" s="6" t="s">
        <v>2135</v>
      </c>
      <c r="D439" s="5" t="s">
        <v>33</v>
      </c>
      <c r="E439" s="5" t="s">
        <v>2136</v>
      </c>
      <c r="F439" s="5" t="s">
        <v>2137</v>
      </c>
      <c r="G439" s="7" t="s">
        <v>336</v>
      </c>
      <c r="H439" s="8">
        <v>306290</v>
      </c>
      <c r="I439" s="7" t="s">
        <v>2138</v>
      </c>
      <c r="J439" s="7" t="s">
        <v>254</v>
      </c>
      <c r="K439" s="7" t="s">
        <v>2139</v>
      </c>
      <c r="L439" s="9" t="s">
        <v>2140</v>
      </c>
      <c r="M439" s="10">
        <v>45322</v>
      </c>
      <c r="N439" s="5" t="s">
        <v>67</v>
      </c>
      <c r="O439" s="9"/>
      <c r="P439" s="20"/>
      <c r="Q439" s="39">
        <v>336</v>
      </c>
      <c r="R439" s="1"/>
      <c r="S439" s="1"/>
      <c r="T439" s="1"/>
      <c r="U439" s="1"/>
      <c r="V439" s="1">
        <v>340</v>
      </c>
      <c r="W439" s="1">
        <v>340</v>
      </c>
      <c r="X439" s="1"/>
      <c r="Y439" s="1"/>
      <c r="Z439" s="1"/>
      <c r="AA439" s="1"/>
      <c r="AB439" s="1"/>
      <c r="AC439" s="1"/>
      <c r="AD439" s="1"/>
      <c r="AE439" s="1">
        <f t="shared" si="33"/>
        <v>3</v>
      </c>
      <c r="AF439" s="1">
        <f t="shared" si="29"/>
        <v>338.66666666666669</v>
      </c>
      <c r="AG439" s="11" t="str">
        <f t="shared" si="30"/>
        <v>APROVADO</v>
      </c>
    </row>
    <row r="440" spans="2:33" ht="25.5" hidden="1" x14ac:dyDescent="0.25">
      <c r="B440" s="5">
        <v>435</v>
      </c>
      <c r="C440" s="6" t="s">
        <v>2141</v>
      </c>
      <c r="D440" s="5" t="s">
        <v>33</v>
      </c>
      <c r="E440" s="7" t="s">
        <v>2136</v>
      </c>
      <c r="F440" s="7" t="s">
        <v>2142</v>
      </c>
      <c r="G440" s="7" t="s">
        <v>336</v>
      </c>
      <c r="H440" s="8">
        <v>238400</v>
      </c>
      <c r="I440" s="7" t="s">
        <v>2138</v>
      </c>
      <c r="J440" s="7" t="s">
        <v>254</v>
      </c>
      <c r="K440" s="7" t="s">
        <v>2139</v>
      </c>
      <c r="L440" s="9" t="s">
        <v>2140</v>
      </c>
      <c r="M440" s="10">
        <v>45322</v>
      </c>
      <c r="N440" s="7" t="s">
        <v>67</v>
      </c>
      <c r="O440" s="9"/>
      <c r="P440" s="20"/>
      <c r="Q440" s="40">
        <v>309</v>
      </c>
      <c r="R440" s="1"/>
      <c r="S440" s="1"/>
      <c r="T440" s="1"/>
      <c r="U440" s="1"/>
      <c r="V440" s="1">
        <v>340</v>
      </c>
      <c r="W440" s="1">
        <v>313</v>
      </c>
      <c r="X440" s="1"/>
      <c r="Y440" s="1"/>
      <c r="Z440" s="1"/>
      <c r="AA440" s="1"/>
      <c r="AB440" s="1"/>
      <c r="AC440" s="1"/>
      <c r="AD440" s="1"/>
      <c r="AE440" s="1">
        <f t="shared" si="33"/>
        <v>3</v>
      </c>
      <c r="AF440" s="1">
        <f t="shared" si="29"/>
        <v>320.66666666666669</v>
      </c>
      <c r="AG440" s="11" t="str">
        <f t="shared" si="30"/>
        <v>APROVADO</v>
      </c>
    </row>
    <row r="441" spans="2:33" ht="25.5" hidden="1" x14ac:dyDescent="0.25">
      <c r="B441" s="5">
        <v>436</v>
      </c>
      <c r="C441" s="6" t="s">
        <v>2143</v>
      </c>
      <c r="D441" s="5" t="s">
        <v>33</v>
      </c>
      <c r="E441" s="5" t="s">
        <v>2136</v>
      </c>
      <c r="F441" s="5" t="s">
        <v>2144</v>
      </c>
      <c r="G441" s="7" t="s">
        <v>107</v>
      </c>
      <c r="H441" s="8">
        <v>580000</v>
      </c>
      <c r="I441" s="7" t="s">
        <v>2138</v>
      </c>
      <c r="J441" s="7" t="s">
        <v>254</v>
      </c>
      <c r="K441" s="7" t="s">
        <v>2139</v>
      </c>
      <c r="L441" s="9" t="s">
        <v>2140</v>
      </c>
      <c r="M441" s="10">
        <v>45322</v>
      </c>
      <c r="N441" s="5" t="s">
        <v>67</v>
      </c>
      <c r="O441" s="9"/>
      <c r="P441" s="20"/>
      <c r="Q441" s="39">
        <v>311</v>
      </c>
      <c r="R441" s="1"/>
      <c r="S441" s="1"/>
      <c r="T441" s="1"/>
      <c r="U441" s="1"/>
      <c r="V441" s="1"/>
      <c r="W441" s="1">
        <v>317</v>
      </c>
      <c r="X441" s="1">
        <v>327</v>
      </c>
      <c r="Y441" s="1"/>
      <c r="Z441" s="1"/>
      <c r="AA441" s="1"/>
      <c r="AB441" s="1"/>
      <c r="AC441" s="1"/>
      <c r="AD441" s="1"/>
      <c r="AE441" s="1">
        <f t="shared" si="33"/>
        <v>3</v>
      </c>
      <c r="AF441" s="1">
        <f t="shared" si="29"/>
        <v>318.33333333333331</v>
      </c>
      <c r="AG441" s="11" t="str">
        <f t="shared" si="30"/>
        <v>APROVADO</v>
      </c>
    </row>
    <row r="442" spans="2:33" ht="38.25" hidden="1" x14ac:dyDescent="0.25">
      <c r="B442" s="5">
        <v>437</v>
      </c>
      <c r="C442" s="6" t="s">
        <v>2145</v>
      </c>
      <c r="D442" s="5" t="s">
        <v>33</v>
      </c>
      <c r="E442" s="7" t="s">
        <v>2146</v>
      </c>
      <c r="F442" s="7" t="s">
        <v>2147</v>
      </c>
      <c r="G442" s="7" t="s">
        <v>107</v>
      </c>
      <c r="H442" s="8">
        <v>424690</v>
      </c>
      <c r="I442" s="7" t="s">
        <v>73</v>
      </c>
      <c r="J442" s="5" t="s">
        <v>74</v>
      </c>
      <c r="K442" s="7" t="s">
        <v>2148</v>
      </c>
      <c r="L442" s="9" t="s">
        <v>2149</v>
      </c>
      <c r="M442" s="10">
        <v>45322</v>
      </c>
      <c r="N442" s="7" t="s">
        <v>67</v>
      </c>
      <c r="O442" s="9"/>
      <c r="P442" s="20"/>
      <c r="Q442" s="40">
        <v>279</v>
      </c>
      <c r="R442" s="1"/>
      <c r="S442" s="1"/>
      <c r="T442" s="1"/>
      <c r="U442" s="1"/>
      <c r="V442" s="1">
        <v>283</v>
      </c>
      <c r="W442" s="1">
        <v>299</v>
      </c>
      <c r="X442" s="1"/>
      <c r="Y442" s="1"/>
      <c r="Z442" s="1"/>
      <c r="AA442" s="1"/>
      <c r="AB442" s="1"/>
      <c r="AC442" s="1"/>
      <c r="AD442" s="1"/>
      <c r="AE442" s="1">
        <f t="shared" si="33"/>
        <v>3</v>
      </c>
      <c r="AF442" s="1">
        <f t="shared" si="29"/>
        <v>287</v>
      </c>
      <c r="AG442" s="11" t="str">
        <f t="shared" si="30"/>
        <v>APROVADO</v>
      </c>
    </row>
    <row r="443" spans="2:33" ht="38.25" hidden="1" x14ac:dyDescent="0.25">
      <c r="B443" s="5">
        <v>438</v>
      </c>
      <c r="C443" s="6" t="s">
        <v>2150</v>
      </c>
      <c r="D443" s="5" t="s">
        <v>33</v>
      </c>
      <c r="E443" s="7" t="s">
        <v>2146</v>
      </c>
      <c r="F443" s="7" t="s">
        <v>2151</v>
      </c>
      <c r="G443" s="7" t="s">
        <v>107</v>
      </c>
      <c r="H443" s="8">
        <v>378300</v>
      </c>
      <c r="I443" s="7" t="s">
        <v>73</v>
      </c>
      <c r="J443" s="5" t="s">
        <v>74</v>
      </c>
      <c r="K443" s="7" t="s">
        <v>2148</v>
      </c>
      <c r="L443" s="9" t="s">
        <v>2149</v>
      </c>
      <c r="M443" s="10">
        <v>45322</v>
      </c>
      <c r="N443" s="7" t="s">
        <v>67</v>
      </c>
      <c r="O443" s="9"/>
      <c r="P443" s="20"/>
      <c r="Q443" s="40">
        <v>279</v>
      </c>
      <c r="R443" s="1"/>
      <c r="S443" s="1"/>
      <c r="T443" s="1"/>
      <c r="U443" s="1"/>
      <c r="V443" s="1">
        <v>331</v>
      </c>
      <c r="W443" s="1">
        <v>317</v>
      </c>
      <c r="X443" s="1"/>
      <c r="Y443" s="1"/>
      <c r="Z443" s="1"/>
      <c r="AA443" s="1"/>
      <c r="AB443" s="1"/>
      <c r="AC443" s="1"/>
      <c r="AD443" s="1"/>
      <c r="AE443" s="1">
        <f t="shared" si="33"/>
        <v>3</v>
      </c>
      <c r="AF443" s="1">
        <f t="shared" si="29"/>
        <v>309</v>
      </c>
      <c r="AG443" s="11" t="str">
        <f t="shared" si="30"/>
        <v>APROVADO</v>
      </c>
    </row>
    <row r="444" spans="2:33" ht="38.25" hidden="1" x14ac:dyDescent="0.25">
      <c r="B444" s="5">
        <v>439</v>
      </c>
      <c r="C444" s="6" t="s">
        <v>2152</v>
      </c>
      <c r="D444" s="5" t="s">
        <v>33</v>
      </c>
      <c r="E444" s="7" t="s">
        <v>2146</v>
      </c>
      <c r="F444" s="7" t="s">
        <v>2153</v>
      </c>
      <c r="G444" s="7" t="s">
        <v>107</v>
      </c>
      <c r="H444" s="8">
        <v>358226</v>
      </c>
      <c r="I444" s="7" t="s">
        <v>73</v>
      </c>
      <c r="J444" s="5" t="s">
        <v>74</v>
      </c>
      <c r="K444" s="7" t="s">
        <v>2148</v>
      </c>
      <c r="L444" s="9" t="s">
        <v>2149</v>
      </c>
      <c r="M444" s="10">
        <v>45322</v>
      </c>
      <c r="N444" s="7" t="s">
        <v>67</v>
      </c>
      <c r="O444" s="9"/>
      <c r="P444" s="20"/>
      <c r="Q444" s="40">
        <v>279</v>
      </c>
      <c r="R444" s="1"/>
      <c r="S444" s="1"/>
      <c r="T444" s="1"/>
      <c r="U444" s="1"/>
      <c r="V444" s="1">
        <v>269</v>
      </c>
      <c r="W444" s="1">
        <v>286</v>
      </c>
      <c r="X444" s="1"/>
      <c r="Y444" s="1"/>
      <c r="Z444" s="1"/>
      <c r="AA444" s="1"/>
      <c r="AB444" s="1"/>
      <c r="AC444" s="1"/>
      <c r="AD444" s="1"/>
      <c r="AE444" s="1">
        <f t="shared" si="33"/>
        <v>3</v>
      </c>
      <c r="AF444" s="1">
        <f t="shared" si="29"/>
        <v>278</v>
      </c>
      <c r="AG444" s="11" t="str">
        <f t="shared" si="30"/>
        <v>APROVADO</v>
      </c>
    </row>
    <row r="445" spans="2:33" ht="25.5" hidden="1" x14ac:dyDescent="0.25">
      <c r="B445" s="5">
        <v>440</v>
      </c>
      <c r="C445" s="27" t="s">
        <v>2154</v>
      </c>
      <c r="D445" s="5" t="s">
        <v>33</v>
      </c>
      <c r="E445" s="7" t="s">
        <v>2155</v>
      </c>
      <c r="F445" s="7" t="s">
        <v>2156</v>
      </c>
      <c r="G445" s="7" t="s">
        <v>36</v>
      </c>
      <c r="H445" s="8">
        <v>307058.67</v>
      </c>
      <c r="I445" s="7" t="s">
        <v>73</v>
      </c>
      <c r="J445" s="7" t="s">
        <v>74</v>
      </c>
      <c r="K445" s="7" t="s">
        <v>2157</v>
      </c>
      <c r="L445" s="9" t="s">
        <v>2158</v>
      </c>
      <c r="M445" s="10">
        <v>45322</v>
      </c>
      <c r="N445" s="7" t="s">
        <v>41</v>
      </c>
      <c r="O445" s="9"/>
      <c r="P445" s="20"/>
      <c r="Q445" s="40">
        <v>326</v>
      </c>
      <c r="R445" s="1">
        <v>140</v>
      </c>
      <c r="S445" s="1"/>
      <c r="T445" s="1">
        <v>149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>
        <f t="shared" si="33"/>
        <v>3</v>
      </c>
      <c r="AF445" s="1">
        <f t="shared" si="29"/>
        <v>205</v>
      </c>
      <c r="AG445" s="11" t="str">
        <f t="shared" si="30"/>
        <v>APROVADO</v>
      </c>
    </row>
    <row r="446" spans="2:33" ht="25.5" hidden="1" x14ac:dyDescent="0.25">
      <c r="B446" s="5">
        <v>441</v>
      </c>
      <c r="C446" s="27" t="s">
        <v>2159</v>
      </c>
      <c r="D446" s="5" t="s">
        <v>33</v>
      </c>
      <c r="E446" s="7" t="s">
        <v>2155</v>
      </c>
      <c r="F446" s="7" t="s">
        <v>2160</v>
      </c>
      <c r="G446" s="7" t="s">
        <v>36</v>
      </c>
      <c r="H446" s="8">
        <v>106832</v>
      </c>
      <c r="I446" s="7" t="s">
        <v>73</v>
      </c>
      <c r="J446" s="7" t="s">
        <v>74</v>
      </c>
      <c r="K446" s="7" t="s">
        <v>2157</v>
      </c>
      <c r="L446" s="9" t="s">
        <v>2158</v>
      </c>
      <c r="M446" s="10">
        <v>45322</v>
      </c>
      <c r="N446" s="7" t="s">
        <v>41</v>
      </c>
      <c r="O446" s="9"/>
      <c r="P446" s="20"/>
      <c r="Q446" s="40">
        <v>330</v>
      </c>
      <c r="R446" s="1">
        <v>147</v>
      </c>
      <c r="S446" s="1"/>
      <c r="T446" s="1">
        <v>152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>
        <f t="shared" si="33"/>
        <v>3</v>
      </c>
      <c r="AF446" s="1">
        <f t="shared" si="29"/>
        <v>209.66666666666666</v>
      </c>
      <c r="AG446" s="11" t="str">
        <f t="shared" si="30"/>
        <v>APROVADO</v>
      </c>
    </row>
    <row r="447" spans="2:33" ht="25.5" hidden="1" x14ac:dyDescent="0.25">
      <c r="B447" s="5">
        <v>442</v>
      </c>
      <c r="C447" s="27" t="s">
        <v>2161</v>
      </c>
      <c r="D447" s="5" t="s">
        <v>33</v>
      </c>
      <c r="E447" s="7" t="s">
        <v>2162</v>
      </c>
      <c r="F447" s="7" t="s">
        <v>2163</v>
      </c>
      <c r="G447" s="7" t="s">
        <v>107</v>
      </c>
      <c r="H447" s="8">
        <v>500000</v>
      </c>
      <c r="I447" s="7" t="s">
        <v>253</v>
      </c>
      <c r="J447" s="7" t="s">
        <v>254</v>
      </c>
      <c r="K447" s="7" t="s">
        <v>2164</v>
      </c>
      <c r="L447" s="9" t="s">
        <v>2165</v>
      </c>
      <c r="M447" s="10">
        <v>45322</v>
      </c>
      <c r="N447" s="7" t="s">
        <v>41</v>
      </c>
      <c r="O447" s="9"/>
      <c r="P447" s="20"/>
      <c r="Q447" s="40">
        <v>294</v>
      </c>
      <c r="R447" s="1">
        <v>207</v>
      </c>
      <c r="S447" s="1"/>
      <c r="T447" s="1">
        <v>227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>
        <f t="shared" si="33"/>
        <v>3</v>
      </c>
      <c r="AF447" s="1">
        <f t="shared" si="29"/>
        <v>242.66666666666666</v>
      </c>
      <c r="AG447" s="11" t="str">
        <f t="shared" si="30"/>
        <v>APROVADO</v>
      </c>
    </row>
    <row r="448" spans="2:33" hidden="1" x14ac:dyDescent="0.25">
      <c r="B448" s="5">
        <v>443</v>
      </c>
      <c r="C448" s="6" t="s">
        <v>2166</v>
      </c>
      <c r="D448" s="5" t="s">
        <v>33</v>
      </c>
      <c r="E448" s="5" t="s">
        <v>2167</v>
      </c>
      <c r="F448" s="5" t="s">
        <v>2168</v>
      </c>
      <c r="G448" s="5" t="s">
        <v>62</v>
      </c>
      <c r="H448" s="8">
        <v>220000</v>
      </c>
      <c r="I448" s="7" t="s">
        <v>290</v>
      </c>
      <c r="J448" s="7" t="s">
        <v>154</v>
      </c>
      <c r="K448" s="7" t="s">
        <v>2169</v>
      </c>
      <c r="L448" s="9" t="s">
        <v>2170</v>
      </c>
      <c r="M448" s="10">
        <v>45322</v>
      </c>
      <c r="N448" s="5" t="s">
        <v>57</v>
      </c>
      <c r="O448" s="7" t="s">
        <v>2171</v>
      </c>
      <c r="P448" s="20"/>
      <c r="Q448" s="39">
        <v>329</v>
      </c>
      <c r="R448" s="1"/>
      <c r="S448" s="1"/>
      <c r="T448" s="1"/>
      <c r="U448" s="1"/>
      <c r="V448" s="1">
        <v>340</v>
      </c>
      <c r="W448" s="1">
        <v>335</v>
      </c>
      <c r="X448" s="1"/>
      <c r="Y448" s="1"/>
      <c r="Z448" s="1"/>
      <c r="AA448" s="1"/>
      <c r="AB448" s="1"/>
      <c r="AC448" s="1"/>
      <c r="AD448" s="1"/>
      <c r="AE448" s="1">
        <f t="shared" si="33"/>
        <v>3</v>
      </c>
      <c r="AF448" s="1">
        <f t="shared" si="29"/>
        <v>334.66666666666669</v>
      </c>
      <c r="AG448" s="11" t="str">
        <f t="shared" si="30"/>
        <v>APROVADO</v>
      </c>
    </row>
    <row r="449" spans="2:33" ht="25.5" hidden="1" x14ac:dyDescent="0.25">
      <c r="B449" s="5">
        <v>444</v>
      </c>
      <c r="C449" s="6" t="s">
        <v>2172</v>
      </c>
      <c r="D449" s="5" t="s">
        <v>33</v>
      </c>
      <c r="E449" s="7" t="s">
        <v>2173</v>
      </c>
      <c r="F449" s="7" t="s">
        <v>2174</v>
      </c>
      <c r="G449" s="7" t="s">
        <v>336</v>
      </c>
      <c r="H449" s="49">
        <v>2997082.04</v>
      </c>
      <c r="I449" s="7" t="s">
        <v>73</v>
      </c>
      <c r="J449" s="5" t="s">
        <v>74</v>
      </c>
      <c r="K449" s="9" t="s">
        <v>2175</v>
      </c>
      <c r="L449" s="9" t="s">
        <v>2176</v>
      </c>
      <c r="M449" s="10">
        <v>45322</v>
      </c>
      <c r="N449" s="7" t="s">
        <v>67</v>
      </c>
      <c r="O449" s="9"/>
      <c r="P449" s="20"/>
      <c r="Q449" s="40">
        <v>293</v>
      </c>
      <c r="R449" s="1"/>
      <c r="S449" s="1"/>
      <c r="T449" s="1"/>
      <c r="U449" s="1"/>
      <c r="V449" s="1">
        <v>296</v>
      </c>
      <c r="W449" s="1">
        <v>307</v>
      </c>
      <c r="X449" s="1"/>
      <c r="Y449" s="1"/>
      <c r="Z449" s="1"/>
      <c r="AA449" s="1"/>
      <c r="AB449" s="1"/>
      <c r="AC449" s="1"/>
      <c r="AD449" s="1"/>
      <c r="AE449" s="1">
        <f t="shared" si="33"/>
        <v>3</v>
      </c>
      <c r="AF449" s="1">
        <f t="shared" si="29"/>
        <v>298.66666666666669</v>
      </c>
      <c r="AG449" s="11" t="str">
        <f t="shared" si="30"/>
        <v>APROVADO</v>
      </c>
    </row>
    <row r="450" spans="2:33" ht="38.25" hidden="1" x14ac:dyDescent="0.25">
      <c r="B450" s="5">
        <v>445</v>
      </c>
      <c r="C450" s="16" t="s">
        <v>2177</v>
      </c>
      <c r="D450" s="5" t="s">
        <v>33</v>
      </c>
      <c r="E450" s="5" t="s">
        <v>2178</v>
      </c>
      <c r="F450" s="5" t="s">
        <v>2179</v>
      </c>
      <c r="G450" s="7" t="s">
        <v>36</v>
      </c>
      <c r="H450" s="17">
        <v>250000</v>
      </c>
      <c r="I450" s="7" t="s">
        <v>1146</v>
      </c>
      <c r="J450" s="7" t="s">
        <v>123</v>
      </c>
      <c r="K450" s="5" t="s">
        <v>2180</v>
      </c>
      <c r="L450" s="9" t="s">
        <v>2181</v>
      </c>
      <c r="M450" s="10">
        <v>45322</v>
      </c>
      <c r="N450" s="7" t="s">
        <v>82</v>
      </c>
      <c r="O450" s="7" t="s">
        <v>845</v>
      </c>
      <c r="P450" s="20"/>
      <c r="Q450" s="40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 t="e">
        <f t="shared" si="29"/>
        <v>#DIV/0!</v>
      </c>
      <c r="AG450" s="11" t="e">
        <f t="shared" si="30"/>
        <v>#DIV/0!</v>
      </c>
    </row>
    <row r="451" spans="2:33" ht="24" hidden="1" customHeight="1" x14ac:dyDescent="0.25">
      <c r="B451" s="5">
        <v>446</v>
      </c>
      <c r="C451" s="6" t="s">
        <v>2182</v>
      </c>
      <c r="D451" s="5" t="s">
        <v>51</v>
      </c>
      <c r="E451" s="7" t="s">
        <v>2183</v>
      </c>
      <c r="F451" s="7" t="s">
        <v>2184</v>
      </c>
      <c r="G451" s="7" t="s">
        <v>107</v>
      </c>
      <c r="H451" s="28">
        <v>73120.100000000006</v>
      </c>
      <c r="I451" s="13" t="s">
        <v>2185</v>
      </c>
      <c r="J451" s="11" t="s">
        <v>189</v>
      </c>
      <c r="K451" s="13" t="s">
        <v>2186</v>
      </c>
      <c r="L451" s="30" t="s">
        <v>2187</v>
      </c>
      <c r="M451" s="26">
        <v>45322</v>
      </c>
      <c r="N451" s="13" t="s">
        <v>57</v>
      </c>
      <c r="O451" s="13"/>
      <c r="P451" s="20"/>
      <c r="Q451" s="1">
        <v>340</v>
      </c>
      <c r="R451" s="1"/>
      <c r="S451" s="1"/>
      <c r="T451" s="1"/>
      <c r="U451" s="1"/>
      <c r="V451" s="1"/>
      <c r="W451" s="1"/>
      <c r="X451" s="1">
        <v>340</v>
      </c>
      <c r="Y451" s="1">
        <v>282</v>
      </c>
      <c r="Z451" s="1"/>
      <c r="AA451" s="1"/>
      <c r="AB451" s="1"/>
      <c r="AC451" s="20"/>
      <c r="AD451" s="20"/>
      <c r="AE451" s="1">
        <f t="shared" ref="AE451:AE466" si="34">COUNT(Q451:AD451)</f>
        <v>3</v>
      </c>
      <c r="AF451" s="1">
        <f t="shared" si="29"/>
        <v>320.66666666666669</v>
      </c>
      <c r="AG451" s="11" t="str">
        <f t="shared" si="30"/>
        <v>APROVADO</v>
      </c>
    </row>
    <row r="452" spans="2:33" ht="25.5" hidden="1" x14ac:dyDescent="0.25">
      <c r="B452" s="5">
        <v>447</v>
      </c>
      <c r="C452" s="27" t="s">
        <v>2188</v>
      </c>
      <c r="D452" s="5" t="s">
        <v>33</v>
      </c>
      <c r="E452" s="9" t="s">
        <v>2189</v>
      </c>
      <c r="F452" s="9" t="s">
        <v>2190</v>
      </c>
      <c r="G452" s="9" t="s">
        <v>300</v>
      </c>
      <c r="H452" s="49">
        <v>927704.17</v>
      </c>
      <c r="I452" s="7" t="s">
        <v>73</v>
      </c>
      <c r="J452" s="7" t="s">
        <v>74</v>
      </c>
      <c r="K452" s="9" t="s">
        <v>2191</v>
      </c>
      <c r="L452" s="9" t="s">
        <v>2192</v>
      </c>
      <c r="M452" s="10">
        <v>45322</v>
      </c>
      <c r="N452" s="7" t="s">
        <v>41</v>
      </c>
      <c r="O452" s="9"/>
      <c r="P452" s="20"/>
      <c r="Q452" s="40">
        <v>328</v>
      </c>
      <c r="R452" s="1">
        <v>212</v>
      </c>
      <c r="S452" s="1"/>
      <c r="T452" s="1">
        <v>236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>
        <f t="shared" si="34"/>
        <v>3</v>
      </c>
      <c r="AF452" s="1">
        <f t="shared" si="29"/>
        <v>258.66666666666669</v>
      </c>
      <c r="AG452" s="11" t="str">
        <f t="shared" si="30"/>
        <v>APROVADO</v>
      </c>
    </row>
    <row r="453" spans="2:33" ht="25.5" hidden="1" x14ac:dyDescent="0.25">
      <c r="B453" s="5">
        <v>448</v>
      </c>
      <c r="C453" s="6" t="s">
        <v>2193</v>
      </c>
      <c r="D453" s="5" t="s">
        <v>33</v>
      </c>
      <c r="E453" s="5" t="s">
        <v>2194</v>
      </c>
      <c r="F453" s="5" t="s">
        <v>2195</v>
      </c>
      <c r="G453" s="5" t="s">
        <v>62</v>
      </c>
      <c r="H453" s="49">
        <v>16476.169999999998</v>
      </c>
      <c r="I453" s="7" t="s">
        <v>2196</v>
      </c>
      <c r="J453" s="9" t="s">
        <v>115</v>
      </c>
      <c r="K453" s="7" t="s">
        <v>2197</v>
      </c>
      <c r="L453" s="9" t="s">
        <v>2198</v>
      </c>
      <c r="M453" s="10">
        <v>45322</v>
      </c>
      <c r="N453" s="5" t="s">
        <v>67</v>
      </c>
      <c r="O453" s="9"/>
      <c r="P453" s="20"/>
      <c r="Q453" s="39">
        <v>340</v>
      </c>
      <c r="R453" s="1"/>
      <c r="S453" s="1"/>
      <c r="T453" s="1"/>
      <c r="U453" s="1"/>
      <c r="V453" s="1">
        <v>340</v>
      </c>
      <c r="W453" s="1">
        <v>340</v>
      </c>
      <c r="X453" s="1"/>
      <c r="Y453" s="1"/>
      <c r="Z453" s="1"/>
      <c r="AA453" s="1"/>
      <c r="AB453" s="1"/>
      <c r="AC453" s="1"/>
      <c r="AD453" s="1"/>
      <c r="AE453" s="1">
        <f t="shared" si="34"/>
        <v>3</v>
      </c>
      <c r="AF453" s="1">
        <f t="shared" ref="AF453:AF516" si="35">AVERAGE(Q453:AD453)</f>
        <v>340</v>
      </c>
      <c r="AG453" s="11" t="str">
        <f t="shared" ref="AG453:AG516" si="36">IF(AF453&gt;=$AG$1,"APROVADO","REPROVADO")</f>
        <v>APROVADO</v>
      </c>
    </row>
    <row r="454" spans="2:33" ht="51" hidden="1" x14ac:dyDescent="0.25">
      <c r="B454" s="5">
        <v>449</v>
      </c>
      <c r="C454" s="6" t="s">
        <v>2199</v>
      </c>
      <c r="D454" s="5" t="s">
        <v>33</v>
      </c>
      <c r="E454" s="9" t="s">
        <v>2200</v>
      </c>
      <c r="F454" s="11" t="s">
        <v>2201</v>
      </c>
      <c r="G454" s="11" t="s">
        <v>36</v>
      </c>
      <c r="H454" s="49">
        <v>111000</v>
      </c>
      <c r="I454" s="7" t="s">
        <v>2202</v>
      </c>
      <c r="J454" s="9" t="s">
        <v>115</v>
      </c>
      <c r="K454" s="9" t="s">
        <v>2203</v>
      </c>
      <c r="L454" s="9" t="s">
        <v>2204</v>
      </c>
      <c r="M454" s="10">
        <v>45322</v>
      </c>
      <c r="N454" s="5" t="s">
        <v>67</v>
      </c>
      <c r="O454" s="9"/>
      <c r="P454" s="20"/>
      <c r="Q454" s="39">
        <v>340</v>
      </c>
      <c r="R454" s="1"/>
      <c r="S454" s="1"/>
      <c r="T454" s="1"/>
      <c r="U454" s="1"/>
      <c r="V454" s="1">
        <v>340</v>
      </c>
      <c r="W454" s="1">
        <v>340</v>
      </c>
      <c r="X454" s="1"/>
      <c r="Y454" s="1"/>
      <c r="Z454" s="1"/>
      <c r="AA454" s="1"/>
      <c r="AB454" s="1"/>
      <c r="AC454" s="1"/>
      <c r="AD454" s="1"/>
      <c r="AE454" s="1">
        <f t="shared" si="34"/>
        <v>3</v>
      </c>
      <c r="AF454" s="1">
        <f t="shared" si="35"/>
        <v>340</v>
      </c>
      <c r="AG454" s="11" t="str">
        <f t="shared" si="36"/>
        <v>APROVADO</v>
      </c>
    </row>
    <row r="455" spans="2:33" ht="25.5" hidden="1" x14ac:dyDescent="0.25">
      <c r="B455" s="5">
        <v>450</v>
      </c>
      <c r="C455" s="6" t="s">
        <v>2205</v>
      </c>
      <c r="D455" s="5" t="s">
        <v>33</v>
      </c>
      <c r="E455" s="9" t="s">
        <v>2200</v>
      </c>
      <c r="F455" s="11" t="s">
        <v>2206</v>
      </c>
      <c r="G455" s="11" t="s">
        <v>36</v>
      </c>
      <c r="H455" s="49">
        <v>198000</v>
      </c>
      <c r="I455" s="7" t="s">
        <v>2202</v>
      </c>
      <c r="J455" s="9" t="s">
        <v>115</v>
      </c>
      <c r="K455" s="9" t="s">
        <v>2203</v>
      </c>
      <c r="L455" s="9" t="s">
        <v>2204</v>
      </c>
      <c r="M455" s="10">
        <v>45322</v>
      </c>
      <c r="N455" s="7" t="s">
        <v>67</v>
      </c>
      <c r="O455" s="9"/>
      <c r="P455" s="20"/>
      <c r="Q455" s="40">
        <v>331</v>
      </c>
      <c r="R455" s="1"/>
      <c r="S455" s="1"/>
      <c r="T455" s="1"/>
      <c r="U455" s="1"/>
      <c r="V455" s="1">
        <v>340</v>
      </c>
      <c r="W455" s="1">
        <v>335</v>
      </c>
      <c r="X455" s="1"/>
      <c r="Y455" s="1"/>
      <c r="Z455" s="1"/>
      <c r="AA455" s="1"/>
      <c r="AB455" s="1"/>
      <c r="AC455" s="1"/>
      <c r="AD455" s="1"/>
      <c r="AE455" s="1">
        <f t="shared" si="34"/>
        <v>3</v>
      </c>
      <c r="AF455" s="1">
        <f t="shared" si="35"/>
        <v>335.33333333333331</v>
      </c>
      <c r="AG455" s="11" t="str">
        <f t="shared" si="36"/>
        <v>APROVADO</v>
      </c>
    </row>
    <row r="456" spans="2:33" hidden="1" x14ac:dyDescent="0.25">
      <c r="B456" s="5">
        <v>451</v>
      </c>
      <c r="C456" s="6" t="s">
        <v>2207</v>
      </c>
      <c r="D456" s="5" t="s">
        <v>51</v>
      </c>
      <c r="E456" s="7" t="s">
        <v>2208</v>
      </c>
      <c r="F456" s="7" t="s">
        <v>2209</v>
      </c>
      <c r="G456" s="7" t="s">
        <v>62</v>
      </c>
      <c r="H456" s="28">
        <v>394000</v>
      </c>
      <c r="I456" s="13" t="s">
        <v>2210</v>
      </c>
      <c r="J456" s="11" t="s">
        <v>391</v>
      </c>
      <c r="K456" s="13" t="s">
        <v>2211</v>
      </c>
      <c r="L456" s="30" t="s">
        <v>2212</v>
      </c>
      <c r="M456" s="26">
        <v>45322</v>
      </c>
      <c r="N456" s="13" t="s">
        <v>57</v>
      </c>
      <c r="O456" s="13"/>
      <c r="P456" s="20"/>
      <c r="Q456" s="1">
        <v>267</v>
      </c>
      <c r="R456" s="1"/>
      <c r="S456" s="1"/>
      <c r="T456" s="1"/>
      <c r="U456" s="1"/>
      <c r="V456" s="1">
        <v>311</v>
      </c>
      <c r="W456" s="1"/>
      <c r="X456" s="1">
        <v>311</v>
      </c>
      <c r="Y456" s="1"/>
      <c r="Z456" s="1"/>
      <c r="AA456" s="1"/>
      <c r="AB456" s="1"/>
      <c r="AC456" s="20"/>
      <c r="AD456" s="20"/>
      <c r="AE456" s="1">
        <f t="shared" si="34"/>
        <v>3</v>
      </c>
      <c r="AF456" s="1">
        <f t="shared" si="35"/>
        <v>296.33333333333331</v>
      </c>
      <c r="AG456" s="11" t="str">
        <f t="shared" si="36"/>
        <v>APROVADO</v>
      </c>
    </row>
    <row r="457" spans="2:33" hidden="1" x14ac:dyDescent="0.25">
      <c r="B457" s="5">
        <v>452</v>
      </c>
      <c r="C457" s="6" t="s">
        <v>2213</v>
      </c>
      <c r="D457" s="5" t="s">
        <v>51</v>
      </c>
      <c r="E457" s="7" t="s">
        <v>2208</v>
      </c>
      <c r="F457" s="7" t="s">
        <v>2214</v>
      </c>
      <c r="G457" s="7" t="s">
        <v>107</v>
      </c>
      <c r="H457" s="28">
        <v>144000</v>
      </c>
      <c r="I457" s="13" t="s">
        <v>2210</v>
      </c>
      <c r="J457" s="11" t="s">
        <v>391</v>
      </c>
      <c r="K457" s="13" t="s">
        <v>2211</v>
      </c>
      <c r="L457" s="30" t="s">
        <v>2212</v>
      </c>
      <c r="M457" s="26">
        <v>45322</v>
      </c>
      <c r="N457" s="13" t="s">
        <v>57</v>
      </c>
      <c r="O457" s="13"/>
      <c r="P457" s="20"/>
      <c r="Q457" s="1">
        <v>304</v>
      </c>
      <c r="R457" s="1"/>
      <c r="S457" s="1"/>
      <c r="T457" s="1"/>
      <c r="U457" s="1"/>
      <c r="V457" s="1">
        <v>340</v>
      </c>
      <c r="W457" s="1">
        <v>322</v>
      </c>
      <c r="X457" s="1"/>
      <c r="Y457" s="1"/>
      <c r="Z457" s="1"/>
      <c r="AA457" s="1"/>
      <c r="AB457" s="1"/>
      <c r="AC457" s="20"/>
      <c r="AD457" s="20"/>
      <c r="AE457" s="1">
        <f t="shared" si="34"/>
        <v>3</v>
      </c>
      <c r="AF457" s="1">
        <f t="shared" si="35"/>
        <v>322</v>
      </c>
      <c r="AG457" s="11" t="str">
        <f t="shared" si="36"/>
        <v>APROVADO</v>
      </c>
    </row>
    <row r="458" spans="2:33" hidden="1" x14ac:dyDescent="0.25">
      <c r="B458" s="5">
        <v>453</v>
      </c>
      <c r="C458" s="6" t="s">
        <v>2215</v>
      </c>
      <c r="D458" s="5" t="s">
        <v>51</v>
      </c>
      <c r="E458" s="7" t="s">
        <v>2208</v>
      </c>
      <c r="F458" s="7" t="s">
        <v>2216</v>
      </c>
      <c r="G458" s="7" t="s">
        <v>107</v>
      </c>
      <c r="H458" s="28">
        <v>415522</v>
      </c>
      <c r="I458" s="13" t="s">
        <v>2210</v>
      </c>
      <c r="J458" s="11" t="s">
        <v>391</v>
      </c>
      <c r="K458" s="13" t="s">
        <v>2211</v>
      </c>
      <c r="L458" s="30" t="s">
        <v>2212</v>
      </c>
      <c r="M458" s="26">
        <v>45322</v>
      </c>
      <c r="N458" s="13" t="s">
        <v>57</v>
      </c>
      <c r="O458" s="13"/>
      <c r="P458" s="20"/>
      <c r="Q458" s="1">
        <v>223</v>
      </c>
      <c r="R458" s="1"/>
      <c r="S458" s="1"/>
      <c r="T458" s="1"/>
      <c r="U458" s="1"/>
      <c r="V458" s="1">
        <v>221</v>
      </c>
      <c r="W458" s="1">
        <v>244</v>
      </c>
      <c r="X458" s="1"/>
      <c r="Y458" s="1"/>
      <c r="Z458" s="1"/>
      <c r="AA458" s="1"/>
      <c r="AB458" s="1"/>
      <c r="AC458" s="20"/>
      <c r="AD458" s="20"/>
      <c r="AE458" s="1">
        <f t="shared" si="34"/>
        <v>3</v>
      </c>
      <c r="AF458" s="1">
        <f t="shared" si="35"/>
        <v>229.33333333333334</v>
      </c>
      <c r="AG458" s="11" t="str">
        <f t="shared" si="36"/>
        <v>APROVADO</v>
      </c>
    </row>
    <row r="459" spans="2:33" ht="25.5" hidden="1" x14ac:dyDescent="0.25">
      <c r="B459" s="5">
        <v>454</v>
      </c>
      <c r="C459" s="6" t="s">
        <v>2217</v>
      </c>
      <c r="D459" s="5" t="s">
        <v>33</v>
      </c>
      <c r="E459" s="7" t="s">
        <v>2218</v>
      </c>
      <c r="F459" s="7" t="s">
        <v>2219</v>
      </c>
      <c r="G459" s="7" t="s">
        <v>36</v>
      </c>
      <c r="H459" s="8">
        <v>0</v>
      </c>
      <c r="I459" s="7" t="s">
        <v>2220</v>
      </c>
      <c r="J459" s="7" t="s">
        <v>38</v>
      </c>
      <c r="K459" s="7" t="s">
        <v>2221</v>
      </c>
      <c r="L459" s="9" t="s">
        <v>2222</v>
      </c>
      <c r="M459" s="10">
        <v>45322</v>
      </c>
      <c r="N459" s="13" t="s">
        <v>41</v>
      </c>
      <c r="O459" s="7" t="s">
        <v>2223</v>
      </c>
      <c r="P459" s="20"/>
      <c r="Q459" s="40">
        <v>260</v>
      </c>
      <c r="R459" s="1"/>
      <c r="S459" s="1"/>
      <c r="T459" s="1"/>
      <c r="U459" s="1"/>
      <c r="V459" s="1"/>
      <c r="W459" s="1">
        <v>273</v>
      </c>
      <c r="X459" s="1"/>
      <c r="Y459" s="1">
        <v>340</v>
      </c>
      <c r="Z459" s="1"/>
      <c r="AA459" s="1"/>
      <c r="AB459" s="1"/>
      <c r="AC459" s="1"/>
      <c r="AD459" s="1"/>
      <c r="AE459" s="1">
        <f t="shared" si="34"/>
        <v>3</v>
      </c>
      <c r="AF459" s="1">
        <f t="shared" si="35"/>
        <v>291</v>
      </c>
      <c r="AG459" s="11" t="str">
        <f t="shared" si="36"/>
        <v>APROVADO</v>
      </c>
    </row>
    <row r="460" spans="2:33" hidden="1" x14ac:dyDescent="0.25">
      <c r="B460" s="5">
        <v>455</v>
      </c>
      <c r="C460" s="27" t="s">
        <v>2224</v>
      </c>
      <c r="D460" s="5" t="s">
        <v>33</v>
      </c>
      <c r="E460" s="7" t="s">
        <v>2225</v>
      </c>
      <c r="F460" s="7" t="s">
        <v>2226</v>
      </c>
      <c r="G460" s="7" t="s">
        <v>107</v>
      </c>
      <c r="H460" s="8">
        <v>821100</v>
      </c>
      <c r="I460" s="7" t="s">
        <v>2220</v>
      </c>
      <c r="J460" s="7" t="s">
        <v>38</v>
      </c>
      <c r="K460" s="7" t="s">
        <v>2227</v>
      </c>
      <c r="L460" s="9" t="s">
        <v>2228</v>
      </c>
      <c r="M460" s="10">
        <v>45322</v>
      </c>
      <c r="N460" s="7" t="s">
        <v>41</v>
      </c>
      <c r="O460" s="9"/>
      <c r="P460" s="20"/>
      <c r="Q460" s="40">
        <v>332</v>
      </c>
      <c r="R460" s="1">
        <v>115</v>
      </c>
      <c r="S460" s="1"/>
      <c r="T460" s="1"/>
      <c r="U460" s="1"/>
      <c r="V460" s="1"/>
      <c r="W460" s="1"/>
      <c r="X460" s="1"/>
      <c r="Y460" s="1"/>
      <c r="Z460" s="1">
        <v>260</v>
      </c>
      <c r="AA460" s="1"/>
      <c r="AB460" s="1">
        <v>340</v>
      </c>
      <c r="AC460" s="1">
        <v>316</v>
      </c>
      <c r="AD460" s="1">
        <v>340</v>
      </c>
      <c r="AE460" s="1">
        <f t="shared" si="34"/>
        <v>6</v>
      </c>
      <c r="AF460" s="1">
        <f t="shared" si="35"/>
        <v>283.83333333333331</v>
      </c>
      <c r="AG460" s="11" t="str">
        <f t="shared" si="36"/>
        <v>APROVADO</v>
      </c>
    </row>
    <row r="461" spans="2:33" hidden="1" x14ac:dyDescent="0.25">
      <c r="B461" s="5">
        <v>456</v>
      </c>
      <c r="C461" s="27" t="s">
        <v>2229</v>
      </c>
      <c r="D461" s="5" t="s">
        <v>33</v>
      </c>
      <c r="E461" s="7" t="s">
        <v>2225</v>
      </c>
      <c r="F461" s="7" t="s">
        <v>2230</v>
      </c>
      <c r="G461" s="7" t="s">
        <v>107</v>
      </c>
      <c r="H461" s="8">
        <v>1139100</v>
      </c>
      <c r="I461" s="7" t="s">
        <v>2220</v>
      </c>
      <c r="J461" s="7" t="s">
        <v>38</v>
      </c>
      <c r="K461" s="7" t="s">
        <v>2227</v>
      </c>
      <c r="L461" s="9" t="s">
        <v>2228</v>
      </c>
      <c r="M461" s="10">
        <v>45322</v>
      </c>
      <c r="N461" s="7" t="s">
        <v>41</v>
      </c>
      <c r="O461" s="9"/>
      <c r="P461" s="20"/>
      <c r="Q461" s="40">
        <v>324</v>
      </c>
      <c r="R461" s="1">
        <v>204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>
        <v>253</v>
      </c>
      <c r="AD461" s="1">
        <v>340</v>
      </c>
      <c r="AE461" s="1">
        <f t="shared" si="34"/>
        <v>4</v>
      </c>
      <c r="AF461" s="1">
        <f t="shared" si="35"/>
        <v>280.25</v>
      </c>
      <c r="AG461" s="11" t="str">
        <f t="shared" si="36"/>
        <v>APROVADO</v>
      </c>
    </row>
    <row r="462" spans="2:33" hidden="1" x14ac:dyDescent="0.25">
      <c r="B462" s="5">
        <v>457</v>
      </c>
      <c r="C462" s="27" t="s">
        <v>2231</v>
      </c>
      <c r="D462" s="5" t="s">
        <v>33</v>
      </c>
      <c r="E462" s="7" t="s">
        <v>2225</v>
      </c>
      <c r="F462" s="7" t="s">
        <v>2232</v>
      </c>
      <c r="G462" s="7" t="s">
        <v>107</v>
      </c>
      <c r="H462" s="8">
        <v>812100</v>
      </c>
      <c r="I462" s="7" t="s">
        <v>2220</v>
      </c>
      <c r="J462" s="7" t="s">
        <v>38</v>
      </c>
      <c r="K462" s="7" t="s">
        <v>2227</v>
      </c>
      <c r="L462" s="9" t="s">
        <v>2228</v>
      </c>
      <c r="M462" s="10">
        <v>45322</v>
      </c>
      <c r="N462" s="7" t="s">
        <v>41</v>
      </c>
      <c r="O462" s="9"/>
      <c r="P462" s="20"/>
      <c r="Q462" s="40">
        <v>335</v>
      </c>
      <c r="R462" s="1">
        <v>153</v>
      </c>
      <c r="S462" s="1"/>
      <c r="T462" s="1"/>
      <c r="U462" s="1"/>
      <c r="V462" s="1"/>
      <c r="W462" s="1"/>
      <c r="X462" s="1"/>
      <c r="Y462" s="1"/>
      <c r="Z462" s="1">
        <v>300</v>
      </c>
      <c r="AA462" s="1"/>
      <c r="AB462" s="1">
        <v>334</v>
      </c>
      <c r="AC462" s="1">
        <v>312</v>
      </c>
      <c r="AD462" s="1"/>
      <c r="AE462" s="1">
        <f t="shared" si="34"/>
        <v>5</v>
      </c>
      <c r="AF462" s="1">
        <f t="shared" si="35"/>
        <v>286.8</v>
      </c>
      <c r="AG462" s="11" t="str">
        <f t="shared" si="36"/>
        <v>APROVADO</v>
      </c>
    </row>
    <row r="463" spans="2:33" hidden="1" x14ac:dyDescent="0.25">
      <c r="B463" s="5">
        <v>458</v>
      </c>
      <c r="C463" s="6" t="s">
        <v>2233</v>
      </c>
      <c r="D463" s="5" t="s">
        <v>51</v>
      </c>
      <c r="E463" s="7" t="s">
        <v>2234</v>
      </c>
      <c r="F463" s="7" t="s">
        <v>2235</v>
      </c>
      <c r="G463" s="7" t="s">
        <v>107</v>
      </c>
      <c r="H463" s="28">
        <v>340000</v>
      </c>
      <c r="I463" s="13" t="s">
        <v>2236</v>
      </c>
      <c r="J463" s="11" t="s">
        <v>223</v>
      </c>
      <c r="K463" s="13" t="s">
        <v>2237</v>
      </c>
      <c r="L463" s="30" t="s">
        <v>2238</v>
      </c>
      <c r="M463" s="26">
        <v>45322</v>
      </c>
      <c r="N463" s="13" t="s">
        <v>57</v>
      </c>
      <c r="O463" s="13"/>
      <c r="P463" s="20"/>
      <c r="Q463" s="1">
        <v>299</v>
      </c>
      <c r="R463" s="1"/>
      <c r="S463" s="1"/>
      <c r="T463" s="1"/>
      <c r="U463" s="1"/>
      <c r="V463" s="1"/>
      <c r="W463" s="1"/>
      <c r="X463" s="1">
        <v>312</v>
      </c>
      <c r="Y463" s="1">
        <v>340</v>
      </c>
      <c r="Z463" s="1"/>
      <c r="AA463" s="1"/>
      <c r="AB463" s="1"/>
      <c r="AC463" s="20"/>
      <c r="AD463" s="20"/>
      <c r="AE463" s="1">
        <f t="shared" si="34"/>
        <v>3</v>
      </c>
      <c r="AF463" s="1">
        <f t="shared" si="35"/>
        <v>317</v>
      </c>
      <c r="AG463" s="11" t="str">
        <f t="shared" si="36"/>
        <v>APROVADO</v>
      </c>
    </row>
    <row r="464" spans="2:33" ht="25.5" hidden="1" x14ac:dyDescent="0.25">
      <c r="B464" s="5">
        <v>459</v>
      </c>
      <c r="C464" s="6" t="s">
        <v>2239</v>
      </c>
      <c r="D464" s="5" t="s">
        <v>51</v>
      </c>
      <c r="E464" s="7" t="s">
        <v>2240</v>
      </c>
      <c r="F464" s="7" t="s">
        <v>2241</v>
      </c>
      <c r="G464" s="7" t="s">
        <v>107</v>
      </c>
      <c r="H464" s="28">
        <v>75600</v>
      </c>
      <c r="I464" s="13" t="s">
        <v>2242</v>
      </c>
      <c r="J464" s="11" t="s">
        <v>189</v>
      </c>
      <c r="K464" s="13" t="s">
        <v>2243</v>
      </c>
      <c r="L464" s="30" t="s">
        <v>2244</v>
      </c>
      <c r="M464" s="26">
        <v>45322</v>
      </c>
      <c r="N464" s="13" t="s">
        <v>57</v>
      </c>
      <c r="O464" s="13"/>
      <c r="P464" s="20"/>
      <c r="Q464" s="1">
        <v>330</v>
      </c>
      <c r="R464" s="1"/>
      <c r="S464" s="1"/>
      <c r="T464" s="1"/>
      <c r="U464" s="1"/>
      <c r="V464" s="1">
        <v>340</v>
      </c>
      <c r="W464" s="1">
        <v>338</v>
      </c>
      <c r="X464" s="1"/>
      <c r="Y464" s="1"/>
      <c r="Z464" s="1"/>
      <c r="AA464" s="1"/>
      <c r="AB464" s="1"/>
      <c r="AC464" s="20"/>
      <c r="AD464" s="20"/>
      <c r="AE464" s="1">
        <f t="shared" si="34"/>
        <v>3</v>
      </c>
      <c r="AF464" s="1">
        <f t="shared" si="35"/>
        <v>336</v>
      </c>
      <c r="AG464" s="11" t="str">
        <f t="shared" si="36"/>
        <v>APROVADO</v>
      </c>
    </row>
    <row r="465" spans="2:33" ht="38.25" hidden="1" x14ac:dyDescent="0.25">
      <c r="B465" s="5">
        <v>460</v>
      </c>
      <c r="C465" s="6" t="s">
        <v>2245</v>
      </c>
      <c r="D465" s="5" t="s">
        <v>33</v>
      </c>
      <c r="E465" s="7" t="s">
        <v>2246</v>
      </c>
      <c r="F465" s="7" t="s">
        <v>2247</v>
      </c>
      <c r="G465" s="7" t="s">
        <v>36</v>
      </c>
      <c r="H465" s="8">
        <v>300000</v>
      </c>
      <c r="I465" s="7" t="s">
        <v>1442</v>
      </c>
      <c r="J465" s="7" t="s">
        <v>254</v>
      </c>
      <c r="K465" s="7" t="s">
        <v>2248</v>
      </c>
      <c r="L465" s="9" t="s">
        <v>2249</v>
      </c>
      <c r="M465" s="10">
        <v>45322</v>
      </c>
      <c r="N465" s="7" t="s">
        <v>67</v>
      </c>
      <c r="O465" s="7"/>
      <c r="P465" s="20"/>
      <c r="Q465" s="40"/>
      <c r="R465" s="1"/>
      <c r="S465" s="1"/>
      <c r="T465" s="1"/>
      <c r="U465" s="1"/>
      <c r="V465" s="1"/>
      <c r="W465" s="1">
        <v>340</v>
      </c>
      <c r="X465" s="1">
        <v>317</v>
      </c>
      <c r="Y465" s="1">
        <v>335</v>
      </c>
      <c r="Z465" s="1"/>
      <c r="AA465" s="1"/>
      <c r="AB465" s="1"/>
      <c r="AC465" s="1"/>
      <c r="AD465" s="1"/>
      <c r="AE465" s="1">
        <f t="shared" si="34"/>
        <v>3</v>
      </c>
      <c r="AF465" s="1">
        <f t="shared" si="35"/>
        <v>330.66666666666669</v>
      </c>
      <c r="AG465" s="11" t="str">
        <f t="shared" si="36"/>
        <v>APROVADO</v>
      </c>
    </row>
    <row r="466" spans="2:33" ht="25.5" hidden="1" x14ac:dyDescent="0.25">
      <c r="B466" s="5">
        <v>461</v>
      </c>
      <c r="C466" s="6" t="s">
        <v>2250</v>
      </c>
      <c r="D466" s="5" t="s">
        <v>33</v>
      </c>
      <c r="E466" s="7" t="s">
        <v>2251</v>
      </c>
      <c r="F466" s="7" t="s">
        <v>2252</v>
      </c>
      <c r="G466" s="7" t="s">
        <v>174</v>
      </c>
      <c r="H466" s="8">
        <v>213318.26</v>
      </c>
      <c r="I466" s="7" t="s">
        <v>2253</v>
      </c>
      <c r="J466" s="7" t="s">
        <v>445</v>
      </c>
      <c r="K466" s="7" t="s">
        <v>2254</v>
      </c>
      <c r="L466" s="9" t="s">
        <v>2255</v>
      </c>
      <c r="M466" s="10">
        <v>45322</v>
      </c>
      <c r="N466" s="7" t="s">
        <v>67</v>
      </c>
      <c r="O466" s="7" t="s">
        <v>2256</v>
      </c>
      <c r="P466" s="20"/>
      <c r="Q466" s="40">
        <v>340</v>
      </c>
      <c r="R466" s="1"/>
      <c r="S466" s="1"/>
      <c r="T466" s="1"/>
      <c r="U466" s="1"/>
      <c r="V466" s="1">
        <v>340</v>
      </c>
      <c r="W466" s="1">
        <v>340</v>
      </c>
      <c r="X466" s="1"/>
      <c r="Y466" s="1"/>
      <c r="Z466" s="1"/>
      <c r="AA466" s="1"/>
      <c r="AB466" s="1"/>
      <c r="AC466" s="1"/>
      <c r="AD466" s="1"/>
      <c r="AE466" s="1">
        <f t="shared" si="34"/>
        <v>3</v>
      </c>
      <c r="AF466" s="1">
        <f t="shared" si="35"/>
        <v>340</v>
      </c>
      <c r="AG466" s="11" t="str">
        <f t="shared" si="36"/>
        <v>APROVADO</v>
      </c>
    </row>
    <row r="467" spans="2:33" hidden="1" x14ac:dyDescent="0.25">
      <c r="B467" s="5">
        <v>462</v>
      </c>
      <c r="C467" s="16" t="s">
        <v>2257</v>
      </c>
      <c r="D467" s="5" t="s">
        <v>51</v>
      </c>
      <c r="E467" s="7" t="s">
        <v>2258</v>
      </c>
      <c r="F467" s="7" t="s">
        <v>2259</v>
      </c>
      <c r="G467" s="14" t="s">
        <v>36</v>
      </c>
      <c r="H467" s="28">
        <v>500000</v>
      </c>
      <c r="I467" s="13" t="s">
        <v>2260</v>
      </c>
      <c r="J467" s="11" t="s">
        <v>162</v>
      </c>
      <c r="K467" s="13" t="s">
        <v>2261</v>
      </c>
      <c r="L467" s="30" t="s">
        <v>2262</v>
      </c>
      <c r="M467" s="26">
        <v>45322</v>
      </c>
      <c r="N467" s="7" t="s">
        <v>82</v>
      </c>
      <c r="O467" s="7" t="s">
        <v>845</v>
      </c>
      <c r="P467" s="20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0"/>
      <c r="AD467" s="20"/>
      <c r="AE467" s="20"/>
      <c r="AF467" s="1" t="e">
        <f t="shared" si="35"/>
        <v>#DIV/0!</v>
      </c>
      <c r="AG467" s="11" t="e">
        <f t="shared" si="36"/>
        <v>#DIV/0!</v>
      </c>
    </row>
    <row r="468" spans="2:33" hidden="1" x14ac:dyDescent="0.25">
      <c r="B468" s="5">
        <v>463</v>
      </c>
      <c r="C468" s="32" t="s">
        <v>2263</v>
      </c>
      <c r="D468" s="5" t="s">
        <v>51</v>
      </c>
      <c r="E468" s="13" t="s">
        <v>2258</v>
      </c>
      <c r="F468" s="7" t="s">
        <v>2264</v>
      </c>
      <c r="G468" s="14" t="s">
        <v>36</v>
      </c>
      <c r="H468" s="28">
        <v>198600</v>
      </c>
      <c r="I468" s="13" t="s">
        <v>2260</v>
      </c>
      <c r="J468" s="11" t="s">
        <v>162</v>
      </c>
      <c r="K468" s="13" t="s">
        <v>2261</v>
      </c>
      <c r="L468" s="30" t="s">
        <v>2262</v>
      </c>
      <c r="M468" s="26">
        <v>45322</v>
      </c>
      <c r="N468" s="7" t="s">
        <v>82</v>
      </c>
      <c r="O468" s="7" t="s">
        <v>845</v>
      </c>
      <c r="P468" s="20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0"/>
      <c r="AD468" s="20"/>
      <c r="AE468" s="20"/>
      <c r="AF468" s="1" t="e">
        <f t="shared" si="35"/>
        <v>#DIV/0!</v>
      </c>
      <c r="AG468" s="11" t="e">
        <f t="shared" si="36"/>
        <v>#DIV/0!</v>
      </c>
    </row>
    <row r="469" spans="2:33" hidden="1" x14ac:dyDescent="0.25">
      <c r="B469" s="5">
        <v>464</v>
      </c>
      <c r="C469" s="32" t="s">
        <v>2265</v>
      </c>
      <c r="D469" s="5" t="s">
        <v>51</v>
      </c>
      <c r="E469" s="13" t="s">
        <v>2258</v>
      </c>
      <c r="F469" s="13" t="s">
        <v>2266</v>
      </c>
      <c r="G469" s="14" t="s">
        <v>36</v>
      </c>
      <c r="H469" s="28">
        <v>200000</v>
      </c>
      <c r="I469" s="13" t="s">
        <v>2260</v>
      </c>
      <c r="J469" s="11" t="s">
        <v>162</v>
      </c>
      <c r="K469" s="13" t="s">
        <v>2261</v>
      </c>
      <c r="L469" s="30" t="s">
        <v>2262</v>
      </c>
      <c r="M469" s="26">
        <v>45322</v>
      </c>
      <c r="N469" s="7" t="s">
        <v>82</v>
      </c>
      <c r="O469" s="7" t="s">
        <v>845</v>
      </c>
      <c r="P469" s="20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0"/>
      <c r="AD469" s="20"/>
      <c r="AE469" s="20"/>
      <c r="AF469" s="1" t="e">
        <f t="shared" si="35"/>
        <v>#DIV/0!</v>
      </c>
      <c r="AG469" s="11" t="e">
        <f t="shared" si="36"/>
        <v>#DIV/0!</v>
      </c>
    </row>
    <row r="470" spans="2:33" ht="25.5" hidden="1" x14ac:dyDescent="0.25">
      <c r="B470" s="5">
        <v>465</v>
      </c>
      <c r="C470" s="6" t="s">
        <v>2267</v>
      </c>
      <c r="D470" s="5" t="s">
        <v>33</v>
      </c>
      <c r="E470" s="5" t="s">
        <v>2268</v>
      </c>
      <c r="F470" s="5" t="s">
        <v>2269</v>
      </c>
      <c r="G470" s="5" t="s">
        <v>107</v>
      </c>
      <c r="H470" s="17">
        <v>338304</v>
      </c>
      <c r="I470" s="7" t="s">
        <v>253</v>
      </c>
      <c r="J470" s="7" t="s">
        <v>254</v>
      </c>
      <c r="K470" s="5" t="s">
        <v>2270</v>
      </c>
      <c r="L470" s="9" t="s">
        <v>2271</v>
      </c>
      <c r="M470" s="10">
        <v>45322</v>
      </c>
      <c r="N470" s="5" t="s">
        <v>67</v>
      </c>
      <c r="O470" s="7" t="s">
        <v>90</v>
      </c>
      <c r="P470" s="20"/>
      <c r="Q470" s="39">
        <v>259</v>
      </c>
      <c r="R470" s="1"/>
      <c r="S470" s="1"/>
      <c r="T470" s="1"/>
      <c r="U470" s="1"/>
      <c r="V470" s="1"/>
      <c r="W470" s="1"/>
      <c r="X470" s="1">
        <v>265</v>
      </c>
      <c r="Y470" s="1">
        <v>265</v>
      </c>
      <c r="Z470" s="1"/>
      <c r="AA470" s="1"/>
      <c r="AB470" s="1"/>
      <c r="AC470" s="1"/>
      <c r="AD470" s="1"/>
      <c r="AE470" s="1">
        <f>COUNT(Q470:AD470)</f>
        <v>3</v>
      </c>
      <c r="AF470" s="1">
        <f t="shared" si="35"/>
        <v>263</v>
      </c>
      <c r="AG470" s="11" t="str">
        <f t="shared" si="36"/>
        <v>APROVADO</v>
      </c>
    </row>
    <row r="471" spans="2:33" hidden="1" x14ac:dyDescent="0.25">
      <c r="B471" s="5">
        <v>466</v>
      </c>
      <c r="C471" s="35" t="s">
        <v>2272</v>
      </c>
      <c r="D471" s="5" t="s">
        <v>51</v>
      </c>
      <c r="E471" s="13" t="s">
        <v>2273</v>
      </c>
      <c r="F471" s="13" t="s">
        <v>2274</v>
      </c>
      <c r="G471" s="14" t="s">
        <v>107</v>
      </c>
      <c r="H471" s="28">
        <v>594499.12</v>
      </c>
      <c r="I471" s="13" t="s">
        <v>2275</v>
      </c>
      <c r="J471" s="11" t="s">
        <v>162</v>
      </c>
      <c r="K471" s="13" t="s">
        <v>2276</v>
      </c>
      <c r="L471" s="42" t="s">
        <v>2277</v>
      </c>
      <c r="M471" s="26">
        <v>45322</v>
      </c>
      <c r="N471" s="13" t="s">
        <v>226</v>
      </c>
      <c r="O471" s="20" t="s">
        <v>600</v>
      </c>
      <c r="P471" s="20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0"/>
      <c r="AD471" s="20"/>
      <c r="AE471" s="20"/>
      <c r="AF471" s="1" t="e">
        <f t="shared" si="35"/>
        <v>#DIV/0!</v>
      </c>
      <c r="AG471" s="11" t="e">
        <f t="shared" si="36"/>
        <v>#DIV/0!</v>
      </c>
    </row>
    <row r="472" spans="2:33" ht="38.25" hidden="1" x14ac:dyDescent="0.25">
      <c r="B472" s="5">
        <v>467</v>
      </c>
      <c r="C472" s="6" t="s">
        <v>2278</v>
      </c>
      <c r="D472" s="5" t="s">
        <v>33</v>
      </c>
      <c r="E472" s="5" t="s">
        <v>2279</v>
      </c>
      <c r="F472" s="5" t="s">
        <v>2280</v>
      </c>
      <c r="G472" s="7" t="s">
        <v>336</v>
      </c>
      <c r="H472" s="8">
        <v>449060</v>
      </c>
      <c r="I472" s="7" t="s">
        <v>201</v>
      </c>
      <c r="J472" s="7" t="s">
        <v>202</v>
      </c>
      <c r="K472" s="7" t="s">
        <v>2281</v>
      </c>
      <c r="L472" s="9" t="s">
        <v>2282</v>
      </c>
      <c r="M472" s="10">
        <v>45322</v>
      </c>
      <c r="N472" s="5" t="s">
        <v>67</v>
      </c>
      <c r="O472" s="7"/>
      <c r="P472" s="20"/>
      <c r="Q472" s="39">
        <v>325</v>
      </c>
      <c r="R472" s="1"/>
      <c r="S472" s="1"/>
      <c r="T472" s="1"/>
      <c r="U472" s="1"/>
      <c r="V472" s="1"/>
      <c r="W472" s="1"/>
      <c r="X472" s="1">
        <v>324</v>
      </c>
      <c r="Y472" s="1">
        <v>297</v>
      </c>
      <c r="Z472" s="1"/>
      <c r="AA472" s="1"/>
      <c r="AB472" s="1"/>
      <c r="AC472" s="1"/>
      <c r="AD472" s="1"/>
      <c r="AE472" s="1">
        <f>COUNT(Q472:AD472)</f>
        <v>3</v>
      </c>
      <c r="AF472" s="1">
        <f t="shared" si="35"/>
        <v>315.33333333333331</v>
      </c>
      <c r="AG472" s="11" t="str">
        <f t="shared" si="36"/>
        <v>APROVADO</v>
      </c>
    </row>
    <row r="473" spans="2:33" ht="25.5" hidden="1" x14ac:dyDescent="0.25">
      <c r="B473" s="5">
        <v>468</v>
      </c>
      <c r="C473" s="6" t="s">
        <v>2283</v>
      </c>
      <c r="D473" s="5" t="s">
        <v>33</v>
      </c>
      <c r="E473" s="5" t="s">
        <v>2279</v>
      </c>
      <c r="F473" s="5" t="s">
        <v>2284</v>
      </c>
      <c r="G473" s="7" t="s">
        <v>336</v>
      </c>
      <c r="H473" s="8">
        <v>399210</v>
      </c>
      <c r="I473" s="7" t="s">
        <v>201</v>
      </c>
      <c r="J473" s="7" t="s">
        <v>202</v>
      </c>
      <c r="K473" s="7" t="s">
        <v>2281</v>
      </c>
      <c r="L473" s="9" t="s">
        <v>2282</v>
      </c>
      <c r="M473" s="10">
        <v>45322</v>
      </c>
      <c r="N473" s="39" t="s">
        <v>67</v>
      </c>
      <c r="O473" s="7"/>
      <c r="P473" s="20"/>
      <c r="Q473" s="39">
        <v>330</v>
      </c>
      <c r="R473" s="1"/>
      <c r="S473" s="1"/>
      <c r="T473" s="1"/>
      <c r="U473" s="1"/>
      <c r="V473" s="1"/>
      <c r="W473" s="1"/>
      <c r="X473" s="1">
        <v>318</v>
      </c>
      <c r="Y473" s="1">
        <v>270</v>
      </c>
      <c r="Z473" s="1"/>
      <c r="AA473" s="1"/>
      <c r="AB473" s="1"/>
      <c r="AC473" s="1"/>
      <c r="AD473" s="1"/>
      <c r="AE473" s="1">
        <f>COUNT(Q473:AD473)</f>
        <v>3</v>
      </c>
      <c r="AF473" s="1">
        <f t="shared" si="35"/>
        <v>306</v>
      </c>
      <c r="AG473" s="11" t="str">
        <f t="shared" si="36"/>
        <v>APROVADO</v>
      </c>
    </row>
    <row r="474" spans="2:33" ht="25.5" hidden="1" x14ac:dyDescent="0.25">
      <c r="B474" s="5">
        <v>469</v>
      </c>
      <c r="C474" s="6" t="s">
        <v>2285</v>
      </c>
      <c r="D474" s="5" t="s">
        <v>33</v>
      </c>
      <c r="E474" s="5" t="s">
        <v>2286</v>
      </c>
      <c r="F474" s="50" t="s">
        <v>2287</v>
      </c>
      <c r="G474" s="5" t="s">
        <v>107</v>
      </c>
      <c r="H474" s="17">
        <v>100000</v>
      </c>
      <c r="I474" s="7" t="s">
        <v>2288</v>
      </c>
      <c r="J474" s="5" t="s">
        <v>254</v>
      </c>
      <c r="K474" s="5" t="s">
        <v>2289</v>
      </c>
      <c r="L474" s="31" t="s">
        <v>2290</v>
      </c>
      <c r="M474" s="10">
        <v>45322</v>
      </c>
      <c r="N474" s="5" t="s">
        <v>67</v>
      </c>
      <c r="O474" s="7" t="s">
        <v>2291</v>
      </c>
      <c r="P474" s="20"/>
      <c r="Q474" s="39">
        <v>318</v>
      </c>
      <c r="R474" s="1"/>
      <c r="S474" s="1"/>
      <c r="T474" s="1"/>
      <c r="U474" s="1"/>
      <c r="V474" s="1">
        <v>340</v>
      </c>
      <c r="W474" s="1">
        <v>324</v>
      </c>
      <c r="X474" s="1"/>
      <c r="Y474" s="1"/>
      <c r="Z474" s="1"/>
      <c r="AA474" s="1"/>
      <c r="AB474" s="1"/>
      <c r="AC474" s="1"/>
      <c r="AD474" s="1"/>
      <c r="AE474" s="1">
        <f>COUNT(Q474:AD474)</f>
        <v>3</v>
      </c>
      <c r="AF474" s="1">
        <f t="shared" si="35"/>
        <v>327.33333333333331</v>
      </c>
      <c r="AG474" s="11" t="str">
        <f t="shared" si="36"/>
        <v>APROVADO</v>
      </c>
    </row>
    <row r="475" spans="2:33" ht="25.5" hidden="1" x14ac:dyDescent="0.25">
      <c r="B475" s="5"/>
      <c r="C475" s="6" t="s">
        <v>2285</v>
      </c>
      <c r="D475" s="5" t="s">
        <v>33</v>
      </c>
      <c r="E475" s="5" t="s">
        <v>2286</v>
      </c>
      <c r="F475" s="50" t="s">
        <v>2292</v>
      </c>
      <c r="G475" s="5" t="s">
        <v>62</v>
      </c>
      <c r="H475" s="17">
        <v>600000</v>
      </c>
      <c r="I475" s="7" t="s">
        <v>2288</v>
      </c>
      <c r="J475" s="5" t="s">
        <v>254</v>
      </c>
      <c r="K475" s="5" t="s">
        <v>2289</v>
      </c>
      <c r="L475" s="31" t="s">
        <v>2290</v>
      </c>
      <c r="M475" s="10">
        <v>45322</v>
      </c>
      <c r="N475" s="5" t="s">
        <v>67</v>
      </c>
      <c r="O475" s="7" t="s">
        <v>2291</v>
      </c>
      <c r="P475" s="20"/>
      <c r="Q475" s="39">
        <v>323</v>
      </c>
      <c r="R475" s="1"/>
      <c r="S475" s="1"/>
      <c r="T475" s="1"/>
      <c r="U475" s="1"/>
      <c r="V475" s="1">
        <v>340</v>
      </c>
      <c r="W475" s="1">
        <v>322</v>
      </c>
      <c r="X475" s="1"/>
      <c r="Y475" s="1"/>
      <c r="Z475" s="1"/>
      <c r="AA475" s="1"/>
      <c r="AB475" s="1"/>
      <c r="AC475" s="1"/>
      <c r="AD475" s="1"/>
      <c r="AE475" s="1">
        <f>COUNT(Q475:AD475)</f>
        <v>3</v>
      </c>
      <c r="AF475" s="1">
        <f t="shared" si="35"/>
        <v>328.33333333333331</v>
      </c>
      <c r="AG475" s="11" t="str">
        <f t="shared" si="36"/>
        <v>APROVADO</v>
      </c>
    </row>
    <row r="476" spans="2:33" ht="39" hidden="1" x14ac:dyDescent="0.25">
      <c r="B476" s="5">
        <v>470</v>
      </c>
      <c r="C476" s="22" t="s">
        <v>2293</v>
      </c>
      <c r="D476" s="5" t="s">
        <v>51</v>
      </c>
      <c r="E476" s="13" t="s">
        <v>2294</v>
      </c>
      <c r="F476" s="14" t="s">
        <v>2295</v>
      </c>
      <c r="G476" s="14" t="s">
        <v>36</v>
      </c>
      <c r="H476" s="28">
        <v>100000</v>
      </c>
      <c r="I476" s="13" t="s">
        <v>2296</v>
      </c>
      <c r="J476" s="11" t="s">
        <v>38</v>
      </c>
      <c r="K476" s="13" t="s">
        <v>2297</v>
      </c>
      <c r="L476" s="30" t="s">
        <v>2298</v>
      </c>
      <c r="M476" s="26">
        <v>45322</v>
      </c>
      <c r="N476" s="13" t="s">
        <v>57</v>
      </c>
      <c r="O476" s="13"/>
      <c r="P476" s="20"/>
      <c r="Q476" s="1">
        <v>333</v>
      </c>
      <c r="R476" s="1"/>
      <c r="S476" s="1"/>
      <c r="T476" s="1"/>
      <c r="U476" s="1"/>
      <c r="V476" s="1">
        <v>340</v>
      </c>
      <c r="W476" s="1">
        <v>330</v>
      </c>
      <c r="X476" s="1"/>
      <c r="Y476" s="1"/>
      <c r="Z476" s="1"/>
      <c r="AA476" s="1"/>
      <c r="AB476" s="1"/>
      <c r="AC476" s="20"/>
      <c r="AD476" s="20"/>
      <c r="AE476" s="1">
        <f>COUNT(Q476:AD476)</f>
        <v>3</v>
      </c>
      <c r="AF476" s="1">
        <f t="shared" si="35"/>
        <v>334.33333333333331</v>
      </c>
      <c r="AG476" s="11" t="str">
        <f t="shared" si="36"/>
        <v>APROVADO</v>
      </c>
    </row>
    <row r="477" spans="2:33" ht="26.25" hidden="1" x14ac:dyDescent="0.25">
      <c r="B477" s="5">
        <v>471</v>
      </c>
      <c r="C477" s="35" t="s">
        <v>2299</v>
      </c>
      <c r="D477" s="5" t="s">
        <v>51</v>
      </c>
      <c r="E477" s="13" t="s">
        <v>2300</v>
      </c>
      <c r="F477" s="14" t="s">
        <v>2301</v>
      </c>
      <c r="G477" s="14" t="s">
        <v>36</v>
      </c>
      <c r="H477" s="28">
        <v>800000</v>
      </c>
      <c r="I477" s="13" t="s">
        <v>212</v>
      </c>
      <c r="J477" s="11" t="s">
        <v>123</v>
      </c>
      <c r="K477" s="13" t="s">
        <v>2302</v>
      </c>
      <c r="L477" s="42" t="s">
        <v>2303</v>
      </c>
      <c r="M477" s="26">
        <v>45322</v>
      </c>
      <c r="N477" s="13" t="s">
        <v>226</v>
      </c>
      <c r="O477" s="20" t="s">
        <v>600</v>
      </c>
      <c r="P477" s="20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0"/>
      <c r="AD477" s="20"/>
      <c r="AE477" s="20"/>
      <c r="AF477" s="1" t="e">
        <f t="shared" si="35"/>
        <v>#DIV/0!</v>
      </c>
      <c r="AG477" s="11" t="e">
        <f t="shared" si="36"/>
        <v>#DIV/0!</v>
      </c>
    </row>
    <row r="478" spans="2:33" ht="25.5" hidden="1" x14ac:dyDescent="0.25">
      <c r="B478" s="5">
        <v>472</v>
      </c>
      <c r="C478" s="6" t="s">
        <v>2304</v>
      </c>
      <c r="D478" s="5" t="s">
        <v>33</v>
      </c>
      <c r="E478" s="7" t="s">
        <v>2305</v>
      </c>
      <c r="F478" s="7" t="s">
        <v>2306</v>
      </c>
      <c r="G478" s="7" t="s">
        <v>36</v>
      </c>
      <c r="H478" s="8">
        <v>150000</v>
      </c>
      <c r="I478" s="7" t="s">
        <v>2307</v>
      </c>
      <c r="J478" s="5" t="s">
        <v>181</v>
      </c>
      <c r="K478" s="7" t="s">
        <v>2308</v>
      </c>
      <c r="L478" s="9" t="s">
        <v>2309</v>
      </c>
      <c r="M478" s="10">
        <v>45322</v>
      </c>
      <c r="N478" s="7" t="s">
        <v>67</v>
      </c>
      <c r="O478" s="7"/>
      <c r="P478" s="20"/>
      <c r="Q478" s="40">
        <v>325</v>
      </c>
      <c r="R478" s="1"/>
      <c r="S478" s="1"/>
      <c r="T478" s="1"/>
      <c r="U478" s="1"/>
      <c r="V478" s="1">
        <v>340</v>
      </c>
      <c r="W478" s="1">
        <v>323</v>
      </c>
      <c r="X478" s="1"/>
      <c r="Y478" s="1"/>
      <c r="Z478" s="1"/>
      <c r="AA478" s="1"/>
      <c r="AB478" s="1"/>
      <c r="AC478" s="1"/>
      <c r="AD478" s="1"/>
      <c r="AE478" s="1">
        <f>COUNT(Q478:AD478)</f>
        <v>3</v>
      </c>
      <c r="AF478" s="1">
        <f t="shared" si="35"/>
        <v>329.33333333333331</v>
      </c>
      <c r="AG478" s="11" t="str">
        <f t="shared" si="36"/>
        <v>APROVADO</v>
      </c>
    </row>
    <row r="479" spans="2:33" ht="25.5" hidden="1" x14ac:dyDescent="0.25">
      <c r="B479" s="5">
        <v>473</v>
      </c>
      <c r="C479" s="6" t="s">
        <v>2310</v>
      </c>
      <c r="D479" s="5" t="s">
        <v>33</v>
      </c>
      <c r="E479" s="5" t="s">
        <v>2311</v>
      </c>
      <c r="F479" s="5" t="s">
        <v>2312</v>
      </c>
      <c r="G479" s="7" t="s">
        <v>36</v>
      </c>
      <c r="H479" s="17">
        <v>46669.7</v>
      </c>
      <c r="I479" s="7" t="s">
        <v>2307</v>
      </c>
      <c r="J479" s="5" t="s">
        <v>181</v>
      </c>
      <c r="K479" s="5" t="s">
        <v>2313</v>
      </c>
      <c r="L479" s="9" t="s">
        <v>2314</v>
      </c>
      <c r="M479" s="10">
        <v>45322</v>
      </c>
      <c r="N479" s="7" t="s">
        <v>67</v>
      </c>
      <c r="O479" s="7" t="s">
        <v>2111</v>
      </c>
      <c r="P479" s="20"/>
      <c r="Q479" s="40">
        <v>340</v>
      </c>
      <c r="R479" s="1">
        <v>232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>
        <v>340</v>
      </c>
      <c r="AE479" s="1">
        <f>COUNT(Q479:AD479)</f>
        <v>3</v>
      </c>
      <c r="AF479" s="1">
        <f t="shared" si="35"/>
        <v>304</v>
      </c>
      <c r="AG479" s="11" t="str">
        <f t="shared" si="36"/>
        <v>APROVADO</v>
      </c>
    </row>
    <row r="480" spans="2:33" hidden="1" x14ac:dyDescent="0.25">
      <c r="B480" s="5">
        <v>474</v>
      </c>
      <c r="C480" s="35" t="s">
        <v>2315</v>
      </c>
      <c r="D480" s="5" t="s">
        <v>51</v>
      </c>
      <c r="E480" s="13" t="s">
        <v>2316</v>
      </c>
      <c r="F480" s="14" t="s">
        <v>2317</v>
      </c>
      <c r="G480" s="14" t="s">
        <v>36</v>
      </c>
      <c r="H480" s="28">
        <v>450000</v>
      </c>
      <c r="I480" s="13" t="s">
        <v>2307</v>
      </c>
      <c r="J480" s="11" t="s">
        <v>181</v>
      </c>
      <c r="K480" s="13" t="s">
        <v>2318</v>
      </c>
      <c r="L480" s="30" t="s">
        <v>2319</v>
      </c>
      <c r="M480" s="26">
        <v>45322</v>
      </c>
      <c r="N480" s="13" t="s">
        <v>226</v>
      </c>
      <c r="O480" s="13" t="s">
        <v>227</v>
      </c>
      <c r="P480" s="20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0"/>
      <c r="AD480" s="20"/>
      <c r="AE480" s="20"/>
      <c r="AF480" s="1" t="e">
        <f t="shared" si="35"/>
        <v>#DIV/0!</v>
      </c>
      <c r="AG480" s="11" t="e">
        <f t="shared" si="36"/>
        <v>#DIV/0!</v>
      </c>
    </row>
    <row r="481" spans="2:33" ht="25.5" hidden="1" x14ac:dyDescent="0.25">
      <c r="B481" s="5">
        <v>475</v>
      </c>
      <c r="C481" s="6" t="s">
        <v>2320</v>
      </c>
      <c r="D481" s="5" t="s">
        <v>33</v>
      </c>
      <c r="E481" s="5" t="s">
        <v>2321</v>
      </c>
      <c r="F481" s="5" t="s">
        <v>2322</v>
      </c>
      <c r="G481" s="7" t="s">
        <v>36</v>
      </c>
      <c r="H481" s="17">
        <v>350000</v>
      </c>
      <c r="I481" s="7" t="s">
        <v>290</v>
      </c>
      <c r="J481" s="7" t="s">
        <v>154</v>
      </c>
      <c r="K481" s="5" t="s">
        <v>2323</v>
      </c>
      <c r="L481" s="31" t="s">
        <v>2324</v>
      </c>
      <c r="M481" s="10">
        <v>45322</v>
      </c>
      <c r="N481" s="5" t="s">
        <v>67</v>
      </c>
      <c r="O481" s="7"/>
      <c r="P481" s="20"/>
      <c r="Q481" s="39">
        <v>323</v>
      </c>
      <c r="R481" s="1"/>
      <c r="S481" s="1"/>
      <c r="T481" s="1"/>
      <c r="U481" s="1"/>
      <c r="V481" s="1">
        <v>340</v>
      </c>
      <c r="W481" s="1">
        <v>322</v>
      </c>
      <c r="X481" s="1"/>
      <c r="Y481" s="1"/>
      <c r="Z481" s="1"/>
      <c r="AA481" s="1"/>
      <c r="AB481" s="1"/>
      <c r="AC481" s="1"/>
      <c r="AD481" s="1"/>
      <c r="AE481" s="1">
        <f>COUNT(Q481:AD481)</f>
        <v>3</v>
      </c>
      <c r="AF481" s="1">
        <f t="shared" si="35"/>
        <v>328.33333333333331</v>
      </c>
      <c r="AG481" s="11" t="str">
        <f t="shared" si="36"/>
        <v>APROVADO</v>
      </c>
    </row>
    <row r="482" spans="2:33" ht="39" hidden="1" x14ac:dyDescent="0.25">
      <c r="B482" s="5">
        <v>476</v>
      </c>
      <c r="C482" s="22" t="s">
        <v>2325</v>
      </c>
      <c r="D482" s="5" t="s">
        <v>51</v>
      </c>
      <c r="E482" s="13" t="s">
        <v>2326</v>
      </c>
      <c r="F482" s="14" t="s">
        <v>2327</v>
      </c>
      <c r="G482" s="14" t="s">
        <v>36</v>
      </c>
      <c r="H482" s="28">
        <v>50000</v>
      </c>
      <c r="I482" s="13" t="s">
        <v>2328</v>
      </c>
      <c r="J482" s="11" t="s">
        <v>223</v>
      </c>
      <c r="K482" s="13" t="s">
        <v>2329</v>
      </c>
      <c r="L482" s="30" t="s">
        <v>2330</v>
      </c>
      <c r="M482" s="26">
        <v>45322</v>
      </c>
      <c r="N482" s="13" t="s">
        <v>57</v>
      </c>
      <c r="O482" s="13"/>
      <c r="P482" s="20"/>
      <c r="Q482" s="1">
        <v>340</v>
      </c>
      <c r="R482" s="1"/>
      <c r="S482" s="1"/>
      <c r="T482" s="1"/>
      <c r="U482" s="1"/>
      <c r="V482" s="1">
        <v>340</v>
      </c>
      <c r="W482" s="1">
        <v>340</v>
      </c>
      <c r="X482" s="1"/>
      <c r="Y482" s="1"/>
      <c r="Z482" s="1"/>
      <c r="AA482" s="1"/>
      <c r="AB482" s="1"/>
      <c r="AC482" s="20"/>
      <c r="AD482" s="20"/>
      <c r="AE482" s="1">
        <f>COUNT(Q482:AD482)</f>
        <v>3</v>
      </c>
      <c r="AF482" s="1">
        <f t="shared" si="35"/>
        <v>340</v>
      </c>
      <c r="AG482" s="11" t="str">
        <f t="shared" si="36"/>
        <v>APROVADO</v>
      </c>
    </row>
    <row r="483" spans="2:33" hidden="1" x14ac:dyDescent="0.25">
      <c r="B483" s="5">
        <v>477</v>
      </c>
      <c r="C483" s="24" t="s">
        <v>2331</v>
      </c>
      <c r="D483" s="5" t="s">
        <v>51</v>
      </c>
      <c r="E483" s="13" t="s">
        <v>2332</v>
      </c>
      <c r="F483" s="13" t="s">
        <v>2333</v>
      </c>
      <c r="G483" s="5" t="s">
        <v>36</v>
      </c>
      <c r="H483" s="28">
        <v>100000</v>
      </c>
      <c r="I483" s="13" t="s">
        <v>2334</v>
      </c>
      <c r="J483" s="11" t="s">
        <v>47</v>
      </c>
      <c r="K483" s="13" t="s">
        <v>2335</v>
      </c>
      <c r="L483" s="30" t="s">
        <v>2336</v>
      </c>
      <c r="M483" s="26">
        <v>45322</v>
      </c>
      <c r="N483" s="13" t="s">
        <v>57</v>
      </c>
      <c r="O483" s="13"/>
      <c r="P483" s="20"/>
      <c r="Q483" s="1">
        <v>293</v>
      </c>
      <c r="R483" s="1"/>
      <c r="S483" s="1"/>
      <c r="T483" s="1"/>
      <c r="U483" s="1"/>
      <c r="V483" s="1"/>
      <c r="W483" s="1"/>
      <c r="X483" s="1">
        <v>330</v>
      </c>
      <c r="Y483" s="1">
        <v>340</v>
      </c>
      <c r="Z483" s="1"/>
      <c r="AA483" s="1"/>
      <c r="AB483" s="1"/>
      <c r="AC483" s="20"/>
      <c r="AD483" s="20"/>
      <c r="AE483" s="1">
        <f>COUNT(Q483:AD483)</f>
        <v>3</v>
      </c>
      <c r="AF483" s="1">
        <f t="shared" si="35"/>
        <v>321</v>
      </c>
      <c r="AG483" s="11" t="str">
        <f t="shared" si="36"/>
        <v>APROVADO</v>
      </c>
    </row>
    <row r="484" spans="2:33" hidden="1" x14ac:dyDescent="0.25">
      <c r="B484" s="5">
        <v>478</v>
      </c>
      <c r="C484" s="24" t="s">
        <v>2337</v>
      </c>
      <c r="D484" s="5" t="s">
        <v>51</v>
      </c>
      <c r="E484" s="13" t="s">
        <v>2332</v>
      </c>
      <c r="F484" s="13" t="s">
        <v>2338</v>
      </c>
      <c r="G484" s="5" t="s">
        <v>36</v>
      </c>
      <c r="H484" s="28">
        <v>100000</v>
      </c>
      <c r="I484" s="13" t="s">
        <v>2334</v>
      </c>
      <c r="J484" s="11" t="s">
        <v>47</v>
      </c>
      <c r="K484" s="13" t="s">
        <v>2335</v>
      </c>
      <c r="L484" s="30" t="s">
        <v>2336</v>
      </c>
      <c r="M484" s="26">
        <v>45322</v>
      </c>
      <c r="N484" s="13" t="s">
        <v>57</v>
      </c>
      <c r="O484" s="13"/>
      <c r="P484" s="20"/>
      <c r="Q484" s="1">
        <v>310</v>
      </c>
      <c r="R484" s="1"/>
      <c r="S484" s="1"/>
      <c r="T484" s="1"/>
      <c r="U484" s="1"/>
      <c r="V484" s="1">
        <v>340</v>
      </c>
      <c r="W484" s="1">
        <v>318</v>
      </c>
      <c r="X484" s="1"/>
      <c r="Y484" s="1"/>
      <c r="Z484" s="1"/>
      <c r="AA484" s="1"/>
      <c r="AB484" s="1"/>
      <c r="AC484" s="20"/>
      <c r="AD484" s="20"/>
      <c r="AE484" s="1">
        <f>COUNT(Q484:AD484)</f>
        <v>3</v>
      </c>
      <c r="AF484" s="1">
        <f t="shared" si="35"/>
        <v>322.66666666666669</v>
      </c>
      <c r="AG484" s="11" t="str">
        <f t="shared" si="36"/>
        <v>APROVADO</v>
      </c>
    </row>
    <row r="485" spans="2:33" hidden="1" x14ac:dyDescent="0.25">
      <c r="B485" s="5">
        <v>479</v>
      </c>
      <c r="C485" s="24" t="s">
        <v>2339</v>
      </c>
      <c r="D485" s="5" t="s">
        <v>51</v>
      </c>
      <c r="E485" s="13" t="s">
        <v>2332</v>
      </c>
      <c r="F485" s="13" t="s">
        <v>2340</v>
      </c>
      <c r="G485" s="14" t="s">
        <v>107</v>
      </c>
      <c r="H485" s="28">
        <v>107340</v>
      </c>
      <c r="I485" s="13" t="s">
        <v>2334</v>
      </c>
      <c r="J485" s="11" t="s">
        <v>47</v>
      </c>
      <c r="K485" s="13" t="s">
        <v>2335</v>
      </c>
      <c r="L485" s="30" t="s">
        <v>2336</v>
      </c>
      <c r="M485" s="26">
        <v>45322</v>
      </c>
      <c r="N485" s="13" t="s">
        <v>57</v>
      </c>
      <c r="O485" s="13"/>
      <c r="P485" s="20"/>
      <c r="Q485" s="1">
        <v>316</v>
      </c>
      <c r="R485" s="1"/>
      <c r="S485" s="1"/>
      <c r="T485" s="1"/>
      <c r="U485" s="1"/>
      <c r="V485" s="1">
        <v>340</v>
      </c>
      <c r="W485" s="1">
        <v>319</v>
      </c>
      <c r="X485" s="1"/>
      <c r="Y485" s="1"/>
      <c r="Z485" s="1"/>
      <c r="AA485" s="1"/>
      <c r="AB485" s="1"/>
      <c r="AC485" s="20"/>
      <c r="AD485" s="20"/>
      <c r="AE485" s="1">
        <f>COUNT(Q485:AD485)</f>
        <v>3</v>
      </c>
      <c r="AF485" s="1">
        <f t="shared" si="35"/>
        <v>325</v>
      </c>
      <c r="AG485" s="11" t="str">
        <f t="shared" si="36"/>
        <v>APROVADO</v>
      </c>
    </row>
    <row r="486" spans="2:33" ht="38.25" hidden="1" x14ac:dyDescent="0.25">
      <c r="B486" s="5">
        <v>480</v>
      </c>
      <c r="C486" s="16" t="s">
        <v>2341</v>
      </c>
      <c r="D486" s="5" t="s">
        <v>33</v>
      </c>
      <c r="E486" s="7" t="s">
        <v>2342</v>
      </c>
      <c r="F486" s="9" t="s">
        <v>2343</v>
      </c>
      <c r="G486" s="7" t="s">
        <v>36</v>
      </c>
      <c r="H486" s="8">
        <v>568400</v>
      </c>
      <c r="I486" s="7" t="s">
        <v>73</v>
      </c>
      <c r="J486" s="7" t="s">
        <v>74</v>
      </c>
      <c r="K486" s="7" t="s">
        <v>2344</v>
      </c>
      <c r="L486" s="9" t="s">
        <v>2345</v>
      </c>
      <c r="M486" s="10">
        <v>45322</v>
      </c>
      <c r="N486" s="7" t="s">
        <v>226</v>
      </c>
      <c r="O486" s="7" t="s">
        <v>2346</v>
      </c>
      <c r="P486" s="7" t="s">
        <v>2347</v>
      </c>
      <c r="Q486" s="40">
        <v>0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>
        <f t="shared" si="35"/>
        <v>0</v>
      </c>
      <c r="AG486" s="11" t="str">
        <f t="shared" si="36"/>
        <v>REPROVADO</v>
      </c>
    </row>
    <row r="487" spans="2:33" ht="38.25" hidden="1" x14ac:dyDescent="0.25">
      <c r="B487" s="5">
        <v>481</v>
      </c>
      <c r="C487" s="6" t="s">
        <v>2348</v>
      </c>
      <c r="D487" s="5" t="s">
        <v>33</v>
      </c>
      <c r="E487" s="7" t="s">
        <v>2342</v>
      </c>
      <c r="F487" s="9" t="s">
        <v>2343</v>
      </c>
      <c r="G487" s="7" t="s">
        <v>36</v>
      </c>
      <c r="H487" s="8">
        <v>568400</v>
      </c>
      <c r="I487" s="7" t="s">
        <v>73</v>
      </c>
      <c r="J487" s="7" t="s">
        <v>74</v>
      </c>
      <c r="K487" s="7" t="s">
        <v>2344</v>
      </c>
      <c r="L487" s="9" t="s">
        <v>2345</v>
      </c>
      <c r="M487" s="10">
        <v>45322</v>
      </c>
      <c r="N487" s="7" t="s">
        <v>67</v>
      </c>
      <c r="O487" s="7" t="s">
        <v>2349</v>
      </c>
      <c r="P487" s="20"/>
      <c r="Q487" s="40">
        <v>250</v>
      </c>
      <c r="R487" s="1"/>
      <c r="S487" s="1"/>
      <c r="T487" s="1"/>
      <c r="U487" s="1"/>
      <c r="V487" s="1"/>
      <c r="W487" s="1">
        <v>330</v>
      </c>
      <c r="X487" s="1"/>
      <c r="Y487" s="1">
        <v>340</v>
      </c>
      <c r="Z487" s="1"/>
      <c r="AA487" s="1"/>
      <c r="AB487" s="1"/>
      <c r="AC487" s="1"/>
      <c r="AD487" s="1"/>
      <c r="AE487" s="1">
        <f>COUNT(Q487:AD487)</f>
        <v>3</v>
      </c>
      <c r="AF487" s="1">
        <f t="shared" si="35"/>
        <v>306.66666666666669</v>
      </c>
      <c r="AG487" s="11" t="str">
        <f t="shared" si="36"/>
        <v>APROVADO</v>
      </c>
    </row>
    <row r="488" spans="2:33" ht="26.25" hidden="1" x14ac:dyDescent="0.25">
      <c r="B488" s="5">
        <v>482</v>
      </c>
      <c r="C488" s="24" t="s">
        <v>2350</v>
      </c>
      <c r="D488" s="5" t="s">
        <v>51</v>
      </c>
      <c r="E488" s="13" t="s">
        <v>2351</v>
      </c>
      <c r="F488" s="14" t="s">
        <v>2352</v>
      </c>
      <c r="G488" s="14" t="s">
        <v>36</v>
      </c>
      <c r="H488" s="28">
        <v>350000</v>
      </c>
      <c r="I488" s="13" t="s">
        <v>2353</v>
      </c>
      <c r="J488" s="11" t="s">
        <v>154</v>
      </c>
      <c r="K488" s="13" t="s">
        <v>2354</v>
      </c>
      <c r="L488" s="30" t="s">
        <v>2355</v>
      </c>
      <c r="M488" s="26">
        <v>45322</v>
      </c>
      <c r="N488" s="13" t="s">
        <v>41</v>
      </c>
      <c r="O488" s="13"/>
      <c r="P488" s="20"/>
      <c r="Q488" s="1">
        <v>309</v>
      </c>
      <c r="R488" s="1">
        <v>171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0">
        <v>329</v>
      </c>
      <c r="AD488" s="20"/>
      <c r="AE488" s="1">
        <f>COUNT(Q488:AD488)</f>
        <v>3</v>
      </c>
      <c r="AF488" s="1">
        <f t="shared" si="35"/>
        <v>269.66666666666669</v>
      </c>
      <c r="AG488" s="11" t="str">
        <f t="shared" si="36"/>
        <v>APROVADO</v>
      </c>
    </row>
    <row r="489" spans="2:33" ht="39" hidden="1" x14ac:dyDescent="0.25">
      <c r="B489" s="5">
        <v>483</v>
      </c>
      <c r="C489" s="24" t="s">
        <v>2356</v>
      </c>
      <c r="D489" s="5" t="s">
        <v>51</v>
      </c>
      <c r="E489" s="13" t="s">
        <v>2357</v>
      </c>
      <c r="F489" s="13" t="s">
        <v>2358</v>
      </c>
      <c r="G489" s="14" t="s">
        <v>107</v>
      </c>
      <c r="H489" s="28">
        <v>254600</v>
      </c>
      <c r="I489" s="13" t="s">
        <v>2359</v>
      </c>
      <c r="J489" s="11" t="s">
        <v>47</v>
      </c>
      <c r="K489" s="14" t="s">
        <v>2360</v>
      </c>
      <c r="L489" s="30" t="s">
        <v>2361</v>
      </c>
      <c r="M489" s="26">
        <v>45322</v>
      </c>
      <c r="N489" s="13" t="s">
        <v>57</v>
      </c>
      <c r="O489" s="20"/>
      <c r="P489" s="20"/>
      <c r="Q489" s="1">
        <v>167</v>
      </c>
      <c r="R489" s="1"/>
      <c r="S489" s="1"/>
      <c r="T489" s="1"/>
      <c r="U489" s="1"/>
      <c r="V489" s="1">
        <v>212</v>
      </c>
      <c r="W489" s="1"/>
      <c r="X489" s="1"/>
      <c r="Y489" s="1">
        <v>223</v>
      </c>
      <c r="Z489" s="1"/>
      <c r="AA489" s="1"/>
      <c r="AB489" s="1"/>
      <c r="AC489" s="20"/>
      <c r="AD489" s="20"/>
      <c r="AE489" s="20"/>
      <c r="AF489" s="1">
        <f t="shared" si="35"/>
        <v>200.66666666666666</v>
      </c>
      <c r="AG489" s="11" t="str">
        <f t="shared" si="36"/>
        <v>REPROVADO</v>
      </c>
    </row>
    <row r="490" spans="2:33" ht="26.25" hidden="1" x14ac:dyDescent="0.25">
      <c r="B490" s="5">
        <v>484</v>
      </c>
      <c r="C490" s="24" t="s">
        <v>2362</v>
      </c>
      <c r="D490" s="5" t="s">
        <v>51</v>
      </c>
      <c r="E490" s="13" t="s">
        <v>2357</v>
      </c>
      <c r="F490" s="13" t="s">
        <v>2363</v>
      </c>
      <c r="G490" s="14" t="s">
        <v>107</v>
      </c>
      <c r="H490" s="28">
        <v>120000</v>
      </c>
      <c r="I490" s="13" t="s">
        <v>2359</v>
      </c>
      <c r="J490" s="11" t="s">
        <v>47</v>
      </c>
      <c r="K490" s="14" t="s">
        <v>2364</v>
      </c>
      <c r="L490" s="30" t="s">
        <v>2361</v>
      </c>
      <c r="M490" s="26">
        <v>45322</v>
      </c>
      <c r="N490" s="13" t="s">
        <v>57</v>
      </c>
      <c r="O490" s="20"/>
      <c r="P490" s="20"/>
      <c r="Q490" s="1">
        <v>283</v>
      </c>
      <c r="R490" s="1"/>
      <c r="S490" s="1"/>
      <c r="T490" s="1"/>
      <c r="U490" s="1"/>
      <c r="V490" s="1">
        <v>295</v>
      </c>
      <c r="W490" s="1">
        <v>246</v>
      </c>
      <c r="X490" s="1"/>
      <c r="Y490" s="1"/>
      <c r="Z490" s="1"/>
      <c r="AA490" s="1"/>
      <c r="AB490" s="1"/>
      <c r="AC490" s="20"/>
      <c r="AD490" s="20"/>
      <c r="AE490" s="1">
        <f>COUNT(Q490:AD490)</f>
        <v>3</v>
      </c>
      <c r="AF490" s="1">
        <f t="shared" si="35"/>
        <v>274.66666666666669</v>
      </c>
      <c r="AG490" s="11" t="str">
        <f t="shared" si="36"/>
        <v>APROVADO</v>
      </c>
    </row>
    <row r="491" spans="2:33" ht="25.5" hidden="1" x14ac:dyDescent="0.25">
      <c r="B491" s="5">
        <v>485</v>
      </c>
      <c r="C491" s="27" t="s">
        <v>2365</v>
      </c>
      <c r="D491" s="5" t="s">
        <v>33</v>
      </c>
      <c r="E491" s="7" t="s">
        <v>1964</v>
      </c>
      <c r="F491" s="7" t="s">
        <v>2366</v>
      </c>
      <c r="G491" s="7" t="s">
        <v>36</v>
      </c>
      <c r="H491" s="8">
        <v>236998.45</v>
      </c>
      <c r="I491" s="7" t="s">
        <v>2367</v>
      </c>
      <c r="J491" s="7" t="s">
        <v>235</v>
      </c>
      <c r="K491" s="7" t="s">
        <v>2368</v>
      </c>
      <c r="L491" s="9" t="s">
        <v>2369</v>
      </c>
      <c r="M491" s="10">
        <v>45322</v>
      </c>
      <c r="N491" s="7" t="s">
        <v>41</v>
      </c>
      <c r="O491" s="7"/>
      <c r="P491" s="20"/>
      <c r="Q491" s="40">
        <v>332</v>
      </c>
      <c r="R491" s="1">
        <v>193</v>
      </c>
      <c r="S491" s="1"/>
      <c r="T491" s="1"/>
      <c r="U491" s="1"/>
      <c r="V491" s="1"/>
      <c r="W491" s="1"/>
      <c r="X491" s="1"/>
      <c r="Y491" s="1"/>
      <c r="Z491" s="1"/>
      <c r="AA491" s="1"/>
      <c r="AB491" s="1">
        <v>317</v>
      </c>
      <c r="AC491" s="1">
        <v>286</v>
      </c>
      <c r="AD491" s="1"/>
      <c r="AE491" s="1">
        <f>COUNT(Q491:AD491)</f>
        <v>4</v>
      </c>
      <c r="AF491" s="1">
        <f t="shared" si="35"/>
        <v>282</v>
      </c>
      <c r="AG491" s="11" t="str">
        <f t="shared" si="36"/>
        <v>APROVADO</v>
      </c>
    </row>
    <row r="492" spans="2:33" hidden="1" x14ac:dyDescent="0.25">
      <c r="B492" s="5">
        <v>486</v>
      </c>
      <c r="C492" s="16" t="s">
        <v>2370</v>
      </c>
      <c r="D492" s="5" t="s">
        <v>51</v>
      </c>
      <c r="E492" s="7" t="s">
        <v>2371</v>
      </c>
      <c r="F492" s="7" t="s">
        <v>2372</v>
      </c>
      <c r="G492" s="7" t="s">
        <v>36</v>
      </c>
      <c r="H492" s="28">
        <v>633863.52</v>
      </c>
      <c r="I492" s="13" t="s">
        <v>2373</v>
      </c>
      <c r="J492" s="11" t="s">
        <v>38</v>
      </c>
      <c r="K492" s="7" t="s">
        <v>2374</v>
      </c>
      <c r="L492" s="43" t="s">
        <v>2375</v>
      </c>
      <c r="M492" s="26">
        <v>45322</v>
      </c>
      <c r="N492" s="13" t="s">
        <v>226</v>
      </c>
      <c r="O492" s="13" t="s">
        <v>1278</v>
      </c>
      <c r="P492" s="20"/>
      <c r="Q492" s="1">
        <v>0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0"/>
      <c r="AD492" s="20"/>
      <c r="AE492" s="20"/>
      <c r="AF492" s="1">
        <f t="shared" si="35"/>
        <v>0</v>
      </c>
      <c r="AG492" s="11" t="str">
        <f t="shared" si="36"/>
        <v>REPROVADO</v>
      </c>
    </row>
    <row r="493" spans="2:33" hidden="1" x14ac:dyDescent="0.25">
      <c r="B493" s="5">
        <v>487</v>
      </c>
      <c r="C493" s="32" t="s">
        <v>2376</v>
      </c>
      <c r="D493" s="5" t="s">
        <v>51</v>
      </c>
      <c r="E493" s="13" t="s">
        <v>2377</v>
      </c>
      <c r="F493" s="13" t="s">
        <v>2378</v>
      </c>
      <c r="G493" s="14" t="s">
        <v>107</v>
      </c>
      <c r="H493" s="28">
        <v>30430.400000000001</v>
      </c>
      <c r="I493" s="13" t="s">
        <v>2379</v>
      </c>
      <c r="J493" s="11" t="s">
        <v>115</v>
      </c>
      <c r="K493" s="13" t="s">
        <v>2380</v>
      </c>
      <c r="L493" s="30" t="s">
        <v>2381</v>
      </c>
      <c r="M493" s="26">
        <v>45322</v>
      </c>
      <c r="N493" s="7" t="s">
        <v>82</v>
      </c>
      <c r="O493" s="7" t="s">
        <v>845</v>
      </c>
      <c r="P493" s="20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0"/>
      <c r="AD493" s="20"/>
      <c r="AE493" s="20"/>
      <c r="AF493" s="1" t="e">
        <f t="shared" si="35"/>
        <v>#DIV/0!</v>
      </c>
      <c r="AG493" s="11" t="e">
        <f t="shared" si="36"/>
        <v>#DIV/0!</v>
      </c>
    </row>
    <row r="494" spans="2:33" ht="38.25" hidden="1" x14ac:dyDescent="0.25">
      <c r="B494" s="5">
        <v>488</v>
      </c>
      <c r="C494" s="6" t="s">
        <v>2382</v>
      </c>
      <c r="D494" s="5" t="s">
        <v>33</v>
      </c>
      <c r="E494" s="7" t="s">
        <v>2383</v>
      </c>
      <c r="F494" s="7" t="s">
        <v>2384</v>
      </c>
      <c r="G494" s="7" t="s">
        <v>107</v>
      </c>
      <c r="H494" s="8">
        <v>475579.66</v>
      </c>
      <c r="I494" s="7" t="s">
        <v>73</v>
      </c>
      <c r="J494" s="5" t="s">
        <v>74</v>
      </c>
      <c r="K494" s="7" t="s">
        <v>2385</v>
      </c>
      <c r="L494" s="9" t="s">
        <v>2386</v>
      </c>
      <c r="M494" s="10">
        <v>45322</v>
      </c>
      <c r="N494" s="7" t="s">
        <v>67</v>
      </c>
      <c r="O494" s="7"/>
      <c r="P494" s="20"/>
      <c r="Q494" s="40">
        <v>320</v>
      </c>
      <c r="R494" s="1"/>
      <c r="S494" s="1"/>
      <c r="T494" s="1"/>
      <c r="U494" s="1"/>
      <c r="V494" s="1"/>
      <c r="W494" s="1"/>
      <c r="X494" s="1">
        <v>305</v>
      </c>
      <c r="Y494" s="1">
        <v>308</v>
      </c>
      <c r="Z494" s="1"/>
      <c r="AA494" s="1"/>
      <c r="AB494" s="1"/>
      <c r="AC494" s="1"/>
      <c r="AD494" s="1"/>
      <c r="AE494" s="1">
        <f>COUNT(Q494:AD494)</f>
        <v>3</v>
      </c>
      <c r="AF494" s="1">
        <f t="shared" si="35"/>
        <v>311</v>
      </c>
      <c r="AG494" s="11" t="str">
        <f t="shared" si="36"/>
        <v>APROVADO</v>
      </c>
    </row>
    <row r="495" spans="2:33" ht="51.75" hidden="1" x14ac:dyDescent="0.25">
      <c r="B495" s="5">
        <v>489</v>
      </c>
      <c r="C495" s="32" t="s">
        <v>2387</v>
      </c>
      <c r="D495" s="5" t="s">
        <v>51</v>
      </c>
      <c r="E495" s="13" t="s">
        <v>2388</v>
      </c>
      <c r="F495" s="14" t="s">
        <v>2389</v>
      </c>
      <c r="G495" s="7" t="s">
        <v>45</v>
      </c>
      <c r="H495" s="28">
        <v>72000</v>
      </c>
      <c r="I495" s="13" t="s">
        <v>2390</v>
      </c>
      <c r="J495" s="11" t="s">
        <v>223</v>
      </c>
      <c r="K495" s="13" t="s">
        <v>2391</v>
      </c>
      <c r="L495" s="30" t="s">
        <v>2392</v>
      </c>
      <c r="M495" s="26">
        <v>45322</v>
      </c>
      <c r="N495" s="7" t="s">
        <v>82</v>
      </c>
      <c r="O495" s="14" t="s">
        <v>2393</v>
      </c>
      <c r="P495" s="20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0"/>
      <c r="AD495" s="20"/>
      <c r="AE495" s="20"/>
      <c r="AF495" s="1" t="e">
        <f t="shared" si="35"/>
        <v>#DIV/0!</v>
      </c>
      <c r="AG495" s="11" t="e">
        <f t="shared" si="36"/>
        <v>#DIV/0!</v>
      </c>
    </row>
    <row r="496" spans="2:33" ht="25.5" hidden="1" x14ac:dyDescent="0.25">
      <c r="B496" s="5">
        <v>490</v>
      </c>
      <c r="C496" s="27" t="s">
        <v>2394</v>
      </c>
      <c r="D496" s="5" t="s">
        <v>33</v>
      </c>
      <c r="E496" s="7" t="s">
        <v>2395</v>
      </c>
      <c r="F496" s="7" t="s">
        <v>2396</v>
      </c>
      <c r="G496" s="7" t="s">
        <v>107</v>
      </c>
      <c r="H496" s="8">
        <v>268000</v>
      </c>
      <c r="I496" s="7" t="s">
        <v>2397</v>
      </c>
      <c r="J496" s="7" t="s">
        <v>181</v>
      </c>
      <c r="K496" s="7" t="s">
        <v>2398</v>
      </c>
      <c r="L496" s="9" t="s">
        <v>2399</v>
      </c>
      <c r="M496" s="10">
        <v>45322</v>
      </c>
      <c r="N496" s="7" t="s">
        <v>41</v>
      </c>
      <c r="O496" s="7"/>
      <c r="P496" s="20"/>
      <c r="Q496" s="40">
        <v>307</v>
      </c>
      <c r="R496" s="1">
        <v>160</v>
      </c>
      <c r="S496" s="1"/>
      <c r="T496" s="1"/>
      <c r="U496" s="1"/>
      <c r="V496" s="1"/>
      <c r="W496" s="1"/>
      <c r="X496" s="1"/>
      <c r="Y496" s="1"/>
      <c r="Z496" s="1"/>
      <c r="AA496" s="1"/>
      <c r="AB496" s="1">
        <v>305</v>
      </c>
      <c r="AC496" s="1"/>
      <c r="AD496" s="1"/>
      <c r="AE496" s="1">
        <f>COUNT(Q496:AD496)</f>
        <v>3</v>
      </c>
      <c r="AF496" s="1">
        <f t="shared" si="35"/>
        <v>257.33333333333331</v>
      </c>
      <c r="AG496" s="11" t="str">
        <f t="shared" si="36"/>
        <v>APROVADO</v>
      </c>
    </row>
    <row r="497" spans="2:33" ht="39" hidden="1" x14ac:dyDescent="0.25">
      <c r="B497" s="5">
        <v>491</v>
      </c>
      <c r="C497" s="22" t="s">
        <v>2400</v>
      </c>
      <c r="D497" s="5" t="s">
        <v>51</v>
      </c>
      <c r="E497" s="13" t="s">
        <v>2401</v>
      </c>
      <c r="F497" s="13" t="s">
        <v>2402</v>
      </c>
      <c r="G497" s="14" t="s">
        <v>36</v>
      </c>
      <c r="H497" s="28">
        <v>150000</v>
      </c>
      <c r="I497" s="13" t="s">
        <v>2397</v>
      </c>
      <c r="J497" s="11" t="s">
        <v>181</v>
      </c>
      <c r="K497" s="13" t="s">
        <v>2403</v>
      </c>
      <c r="L497" s="30" t="s">
        <v>2404</v>
      </c>
      <c r="M497" s="26">
        <v>45322</v>
      </c>
      <c r="N497" s="13" t="s">
        <v>41</v>
      </c>
      <c r="O497" s="14" t="s">
        <v>2405</v>
      </c>
      <c r="P497" s="20"/>
      <c r="Q497" s="1">
        <v>340</v>
      </c>
      <c r="R497" s="1">
        <v>186</v>
      </c>
      <c r="S497" s="1"/>
      <c r="T497" s="1">
        <v>210</v>
      </c>
      <c r="U497" s="1"/>
      <c r="V497" s="1"/>
      <c r="W497" s="1"/>
      <c r="X497" s="1"/>
      <c r="Y497" s="1"/>
      <c r="Z497" s="1"/>
      <c r="AA497" s="1"/>
      <c r="AB497" s="1"/>
      <c r="AC497" s="1">
        <v>340</v>
      </c>
      <c r="AD497" s="20"/>
      <c r="AE497" s="1">
        <f>COUNT(Q497:AD497)</f>
        <v>4</v>
      </c>
      <c r="AF497" s="1">
        <f t="shared" si="35"/>
        <v>269</v>
      </c>
      <c r="AG497" s="11" t="str">
        <f t="shared" si="36"/>
        <v>APROVADO</v>
      </c>
    </row>
    <row r="498" spans="2:33" ht="51" hidden="1" x14ac:dyDescent="0.25">
      <c r="B498" s="5">
        <v>492</v>
      </c>
      <c r="C498" s="16" t="s">
        <v>2406</v>
      </c>
      <c r="D498" s="5" t="s">
        <v>33</v>
      </c>
      <c r="E498" s="5" t="s">
        <v>2407</v>
      </c>
      <c r="F498" s="5" t="s">
        <v>2408</v>
      </c>
      <c r="G498" s="5" t="s">
        <v>174</v>
      </c>
      <c r="H498" s="17">
        <v>3500000</v>
      </c>
      <c r="I498" s="7" t="s">
        <v>73</v>
      </c>
      <c r="J498" s="5" t="s">
        <v>74</v>
      </c>
      <c r="K498" s="5" t="s">
        <v>2409</v>
      </c>
      <c r="L498" s="9" t="s">
        <v>2410</v>
      </c>
      <c r="M498" s="10">
        <v>45322</v>
      </c>
      <c r="N498" s="7" t="s">
        <v>226</v>
      </c>
      <c r="O498" s="7" t="s">
        <v>600</v>
      </c>
      <c r="P498" s="20"/>
      <c r="Q498" s="40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 t="e">
        <f t="shared" si="35"/>
        <v>#DIV/0!</v>
      </c>
      <c r="AG498" s="11" t="e">
        <f t="shared" si="36"/>
        <v>#DIV/0!</v>
      </c>
    </row>
    <row r="499" spans="2:33" ht="25.5" hidden="1" x14ac:dyDescent="0.25">
      <c r="B499" s="5">
        <v>493</v>
      </c>
      <c r="C499" s="27" t="s">
        <v>2411</v>
      </c>
      <c r="D499" s="5" t="s">
        <v>33</v>
      </c>
      <c r="E499" s="7" t="s">
        <v>2412</v>
      </c>
      <c r="F499" s="7" t="s">
        <v>2413</v>
      </c>
      <c r="G499" s="7" t="s">
        <v>36</v>
      </c>
      <c r="H499" s="8">
        <v>600000</v>
      </c>
      <c r="I499" s="7" t="s">
        <v>73</v>
      </c>
      <c r="J499" s="7" t="s">
        <v>74</v>
      </c>
      <c r="K499" s="7" t="s">
        <v>2414</v>
      </c>
      <c r="L499" s="9" t="s">
        <v>2415</v>
      </c>
      <c r="M499" s="10">
        <v>45322</v>
      </c>
      <c r="N499" s="7" t="s">
        <v>41</v>
      </c>
      <c r="O499" s="7"/>
      <c r="P499" s="20"/>
      <c r="Q499" s="40">
        <v>316</v>
      </c>
      <c r="R499" s="1">
        <v>256</v>
      </c>
      <c r="S499" s="1"/>
      <c r="T499" s="1"/>
      <c r="U499" s="1"/>
      <c r="V499" s="1"/>
      <c r="W499" s="1"/>
      <c r="X499" s="1"/>
      <c r="Y499" s="1"/>
      <c r="Z499" s="1"/>
      <c r="AA499" s="1"/>
      <c r="AB499" s="1">
        <v>268</v>
      </c>
      <c r="AC499" s="1">
        <v>292</v>
      </c>
      <c r="AD499" s="1"/>
      <c r="AE499" s="1">
        <f t="shared" ref="AE499:AE505" si="37">COUNT(Q499:AD499)</f>
        <v>4</v>
      </c>
      <c r="AF499" s="1">
        <f t="shared" si="35"/>
        <v>283</v>
      </c>
      <c r="AG499" s="11" t="str">
        <f t="shared" si="36"/>
        <v>APROVADO</v>
      </c>
    </row>
    <row r="500" spans="2:33" ht="25.5" hidden="1" x14ac:dyDescent="0.25">
      <c r="B500" s="5">
        <v>494</v>
      </c>
      <c r="C500" s="6" t="s">
        <v>2416</v>
      </c>
      <c r="D500" s="5" t="s">
        <v>33</v>
      </c>
      <c r="E500" s="7" t="s">
        <v>2417</v>
      </c>
      <c r="F500" s="7" t="s">
        <v>2418</v>
      </c>
      <c r="G500" s="7" t="s">
        <v>107</v>
      </c>
      <c r="H500" s="8">
        <v>1261817.04</v>
      </c>
      <c r="I500" s="7" t="s">
        <v>73</v>
      </c>
      <c r="J500" s="7" t="s">
        <v>74</v>
      </c>
      <c r="K500" s="7" t="s">
        <v>2419</v>
      </c>
      <c r="L500" s="9" t="s">
        <v>2420</v>
      </c>
      <c r="M500" s="10">
        <v>45322</v>
      </c>
      <c r="N500" s="7" t="s">
        <v>67</v>
      </c>
      <c r="O500" s="7"/>
      <c r="P500" s="20"/>
      <c r="Q500" s="40">
        <v>245</v>
      </c>
      <c r="R500" s="1"/>
      <c r="S500" s="1">
        <v>210</v>
      </c>
      <c r="T500" s="1"/>
      <c r="U500" s="1"/>
      <c r="V500" s="1"/>
      <c r="W500" s="1"/>
      <c r="X500" s="1"/>
      <c r="Y500" s="1">
        <v>245</v>
      </c>
      <c r="Z500" s="1"/>
      <c r="AA500" s="1"/>
      <c r="AB500" s="1"/>
      <c r="AC500" s="1"/>
      <c r="AD500" s="1"/>
      <c r="AE500" s="1">
        <f t="shared" si="37"/>
        <v>3</v>
      </c>
      <c r="AF500" s="1">
        <f t="shared" si="35"/>
        <v>233.33333333333334</v>
      </c>
      <c r="AG500" s="11" t="str">
        <f t="shared" si="36"/>
        <v>APROVADO</v>
      </c>
    </row>
    <row r="501" spans="2:33" ht="25.5" hidden="1" x14ac:dyDescent="0.25">
      <c r="B501" s="5">
        <v>495</v>
      </c>
      <c r="C501" s="6" t="s">
        <v>2421</v>
      </c>
      <c r="D501" s="5" t="s">
        <v>33</v>
      </c>
      <c r="E501" s="7" t="s">
        <v>2422</v>
      </c>
      <c r="F501" s="7" t="s">
        <v>2423</v>
      </c>
      <c r="G501" s="7" t="s">
        <v>336</v>
      </c>
      <c r="H501" s="8">
        <v>516590.96</v>
      </c>
      <c r="I501" s="7" t="s">
        <v>201</v>
      </c>
      <c r="J501" s="7" t="s">
        <v>202</v>
      </c>
      <c r="K501" s="7" t="s">
        <v>2424</v>
      </c>
      <c r="L501" s="9" t="s">
        <v>2425</v>
      </c>
      <c r="M501" s="10">
        <v>45322</v>
      </c>
      <c r="N501" s="7" t="s">
        <v>67</v>
      </c>
      <c r="O501" s="9"/>
      <c r="P501" s="20"/>
      <c r="Q501" s="40">
        <v>262</v>
      </c>
      <c r="R501" s="1"/>
      <c r="S501" s="1">
        <v>281</v>
      </c>
      <c r="T501" s="1"/>
      <c r="U501" s="1"/>
      <c r="V501" s="1"/>
      <c r="W501" s="1"/>
      <c r="X501" s="1">
        <v>249</v>
      </c>
      <c r="Y501" s="1"/>
      <c r="Z501" s="1"/>
      <c r="AA501" s="1"/>
      <c r="AB501" s="1"/>
      <c r="AC501" s="1"/>
      <c r="AD501" s="1"/>
      <c r="AE501" s="1">
        <f t="shared" si="37"/>
        <v>3</v>
      </c>
      <c r="AF501" s="1">
        <f t="shared" si="35"/>
        <v>264</v>
      </c>
      <c r="AG501" s="11" t="str">
        <f t="shared" si="36"/>
        <v>APROVADO</v>
      </c>
    </row>
    <row r="502" spans="2:33" ht="25.5" hidden="1" x14ac:dyDescent="0.25">
      <c r="B502" s="5">
        <v>496</v>
      </c>
      <c r="C502" s="6" t="s">
        <v>2426</v>
      </c>
      <c r="D502" s="5" t="s">
        <v>33</v>
      </c>
      <c r="E502" s="5" t="s">
        <v>2422</v>
      </c>
      <c r="F502" s="5" t="s">
        <v>2427</v>
      </c>
      <c r="G502" s="7" t="s">
        <v>300</v>
      </c>
      <c r="H502" s="8">
        <v>505667</v>
      </c>
      <c r="I502" s="7" t="s">
        <v>201</v>
      </c>
      <c r="J502" s="7" t="s">
        <v>202</v>
      </c>
      <c r="K502" s="7" t="s">
        <v>2424</v>
      </c>
      <c r="L502" s="9" t="s">
        <v>2425</v>
      </c>
      <c r="M502" s="10">
        <v>45322</v>
      </c>
      <c r="N502" s="5" t="s">
        <v>67</v>
      </c>
      <c r="O502" s="9"/>
      <c r="P502" s="20"/>
      <c r="Q502" s="39">
        <v>267</v>
      </c>
      <c r="R502" s="1"/>
      <c r="S502" s="1"/>
      <c r="T502" s="1"/>
      <c r="U502" s="1"/>
      <c r="V502" s="1"/>
      <c r="W502" s="1"/>
      <c r="X502" s="1">
        <v>316</v>
      </c>
      <c r="Y502" s="1">
        <v>316</v>
      </c>
      <c r="Z502" s="1"/>
      <c r="AA502" s="1"/>
      <c r="AB502" s="1"/>
      <c r="AC502" s="1"/>
      <c r="AD502" s="1"/>
      <c r="AE502" s="1">
        <f t="shared" si="37"/>
        <v>3</v>
      </c>
      <c r="AF502" s="1">
        <f t="shared" si="35"/>
        <v>299.66666666666669</v>
      </c>
      <c r="AG502" s="11" t="str">
        <f t="shared" si="36"/>
        <v>APROVADO</v>
      </c>
    </row>
    <row r="503" spans="2:33" hidden="1" x14ac:dyDescent="0.25">
      <c r="B503" s="5">
        <v>497</v>
      </c>
      <c r="C503" s="24" t="s">
        <v>2428</v>
      </c>
      <c r="D503" s="5" t="s">
        <v>51</v>
      </c>
      <c r="E503" s="13" t="s">
        <v>2429</v>
      </c>
      <c r="F503" s="13" t="s">
        <v>2402</v>
      </c>
      <c r="G503" s="14" t="s">
        <v>36</v>
      </c>
      <c r="H503" s="28">
        <v>164000</v>
      </c>
      <c r="I503" s="13" t="s">
        <v>2430</v>
      </c>
      <c r="J503" s="11" t="s">
        <v>47</v>
      </c>
      <c r="K503" s="13" t="s">
        <v>2431</v>
      </c>
      <c r="L503" s="30" t="s">
        <v>2432</v>
      </c>
      <c r="M503" s="26">
        <v>45322</v>
      </c>
      <c r="N503" s="13" t="s">
        <v>41</v>
      </c>
      <c r="O503" s="13"/>
      <c r="P503" s="20"/>
      <c r="Q503" s="1">
        <v>304</v>
      </c>
      <c r="R503" s="1">
        <v>223</v>
      </c>
      <c r="S503" s="1"/>
      <c r="T503" s="1">
        <v>237</v>
      </c>
      <c r="U503" s="1"/>
      <c r="V503" s="1"/>
      <c r="W503" s="1"/>
      <c r="X503" s="1"/>
      <c r="Y503" s="1"/>
      <c r="Z503" s="1"/>
      <c r="AA503" s="1"/>
      <c r="AB503" s="1"/>
      <c r="AC503" s="20"/>
      <c r="AD503" s="20"/>
      <c r="AE503" s="1">
        <f t="shared" si="37"/>
        <v>3</v>
      </c>
      <c r="AF503" s="1">
        <f t="shared" si="35"/>
        <v>254.66666666666666</v>
      </c>
      <c r="AG503" s="11" t="str">
        <f t="shared" si="36"/>
        <v>APROVADO</v>
      </c>
    </row>
    <row r="504" spans="2:33" ht="25.5" hidden="1" x14ac:dyDescent="0.25">
      <c r="B504" s="5">
        <v>498</v>
      </c>
      <c r="C504" s="27" t="s">
        <v>2433</v>
      </c>
      <c r="D504" s="5" t="s">
        <v>33</v>
      </c>
      <c r="E504" s="7" t="s">
        <v>2434</v>
      </c>
      <c r="F504" s="7" t="s">
        <v>2435</v>
      </c>
      <c r="G504" s="7" t="s">
        <v>36</v>
      </c>
      <c r="H504" s="8">
        <v>2004407.56</v>
      </c>
      <c r="I504" s="7" t="s">
        <v>2436</v>
      </c>
      <c r="J504" s="7" t="s">
        <v>254</v>
      </c>
      <c r="K504" s="7" t="s">
        <v>2437</v>
      </c>
      <c r="L504" s="9" t="s">
        <v>2438</v>
      </c>
      <c r="M504" s="10">
        <v>45322</v>
      </c>
      <c r="N504" s="7" t="s">
        <v>41</v>
      </c>
      <c r="O504" s="7"/>
      <c r="P504" s="20"/>
      <c r="Q504" s="40">
        <v>335</v>
      </c>
      <c r="R504" s="1">
        <v>231</v>
      </c>
      <c r="S504" s="1"/>
      <c r="T504" s="1">
        <v>300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>
        <f t="shared" si="37"/>
        <v>3</v>
      </c>
      <c r="AF504" s="1">
        <f t="shared" si="35"/>
        <v>288.66666666666669</v>
      </c>
      <c r="AG504" s="11" t="str">
        <f t="shared" si="36"/>
        <v>APROVADO</v>
      </c>
    </row>
    <row r="505" spans="2:33" ht="25.5" hidden="1" x14ac:dyDescent="0.25">
      <c r="B505" s="5">
        <v>499</v>
      </c>
      <c r="C505" s="27" t="s">
        <v>2439</v>
      </c>
      <c r="D505" s="5" t="s">
        <v>33</v>
      </c>
      <c r="E505" s="7" t="s">
        <v>2440</v>
      </c>
      <c r="F505" s="7" t="s">
        <v>2441</v>
      </c>
      <c r="G505" s="7" t="s">
        <v>107</v>
      </c>
      <c r="H505" s="8">
        <v>280000</v>
      </c>
      <c r="I505" s="7" t="s">
        <v>2442</v>
      </c>
      <c r="J505" s="7" t="s">
        <v>795</v>
      </c>
      <c r="K505" s="7" t="s">
        <v>2443</v>
      </c>
      <c r="L505" s="9" t="s">
        <v>2444</v>
      </c>
      <c r="M505" s="10">
        <v>45322</v>
      </c>
      <c r="N505" s="7" t="s">
        <v>41</v>
      </c>
      <c r="O505" s="7"/>
      <c r="P505" s="20"/>
      <c r="Q505" s="40">
        <v>302</v>
      </c>
      <c r="R505" s="1">
        <v>141</v>
      </c>
      <c r="S505" s="20"/>
      <c r="T505" s="1"/>
      <c r="U505" s="1"/>
      <c r="V505" s="1"/>
      <c r="W505" s="1"/>
      <c r="X505" s="1"/>
      <c r="Y505" s="1"/>
      <c r="Z505" s="1"/>
      <c r="AA505" s="1"/>
      <c r="AB505" s="1">
        <v>314</v>
      </c>
      <c r="AC505" s="1"/>
      <c r="AD505" s="1"/>
      <c r="AE505" s="1">
        <f t="shared" si="37"/>
        <v>3</v>
      </c>
      <c r="AF505" s="1">
        <f t="shared" si="35"/>
        <v>252.33333333333334</v>
      </c>
      <c r="AG505" s="11" t="str">
        <f t="shared" si="36"/>
        <v>APROVADO</v>
      </c>
    </row>
    <row r="506" spans="2:33" hidden="1" x14ac:dyDescent="0.25">
      <c r="B506" s="5">
        <v>500</v>
      </c>
      <c r="C506" s="32" t="s">
        <v>2445</v>
      </c>
      <c r="D506" s="5" t="s">
        <v>51</v>
      </c>
      <c r="E506" s="13" t="s">
        <v>2429</v>
      </c>
      <c r="F506" s="13" t="s">
        <v>2446</v>
      </c>
      <c r="G506" s="14" t="s">
        <v>36</v>
      </c>
      <c r="H506" s="28">
        <v>160000</v>
      </c>
      <c r="I506" s="13" t="s">
        <v>2430</v>
      </c>
      <c r="J506" s="11" t="s">
        <v>47</v>
      </c>
      <c r="K506" s="13" t="s">
        <v>2447</v>
      </c>
      <c r="L506" s="30" t="s">
        <v>2448</v>
      </c>
      <c r="M506" s="26">
        <v>45322</v>
      </c>
      <c r="N506" s="13" t="s">
        <v>226</v>
      </c>
      <c r="O506" s="13" t="s">
        <v>600</v>
      </c>
      <c r="P506" s="20"/>
      <c r="Q506" s="1">
        <v>0</v>
      </c>
      <c r="R506" s="1">
        <v>0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0"/>
      <c r="AD506" s="20"/>
      <c r="AE506" s="20"/>
      <c r="AF506" s="1">
        <f t="shared" si="35"/>
        <v>0</v>
      </c>
      <c r="AG506" s="11" t="str">
        <f t="shared" si="36"/>
        <v>REPROVADO</v>
      </c>
    </row>
    <row r="507" spans="2:33" hidden="1" x14ac:dyDescent="0.25">
      <c r="B507" s="5">
        <v>501</v>
      </c>
      <c r="C507" s="16" t="s">
        <v>2449</v>
      </c>
      <c r="D507" s="5" t="s">
        <v>51</v>
      </c>
      <c r="E507" s="7" t="s">
        <v>2450</v>
      </c>
      <c r="F507" s="7" t="s">
        <v>2451</v>
      </c>
      <c r="G507" s="7" t="s">
        <v>36</v>
      </c>
      <c r="H507" s="28">
        <v>164000</v>
      </c>
      <c r="I507" s="13" t="s">
        <v>2452</v>
      </c>
      <c r="J507" s="11" t="s">
        <v>47</v>
      </c>
      <c r="K507" s="7" t="s">
        <v>2453</v>
      </c>
      <c r="L507" s="7" t="s">
        <v>2454</v>
      </c>
      <c r="M507" s="26">
        <v>45322</v>
      </c>
      <c r="N507" s="7" t="s">
        <v>82</v>
      </c>
      <c r="O507" s="14" t="s">
        <v>2455</v>
      </c>
      <c r="P507" s="1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0"/>
      <c r="AD507" s="20"/>
      <c r="AE507" s="20"/>
      <c r="AF507" s="1" t="e">
        <f t="shared" si="35"/>
        <v>#DIV/0!</v>
      </c>
      <c r="AG507" s="11" t="e">
        <f t="shared" si="36"/>
        <v>#DIV/0!</v>
      </c>
    </row>
    <row r="508" spans="2:33" hidden="1" x14ac:dyDescent="0.25">
      <c r="B508" s="5">
        <v>502</v>
      </c>
      <c r="C508" s="22" t="s">
        <v>2456</v>
      </c>
      <c r="D508" s="5" t="s">
        <v>51</v>
      </c>
      <c r="E508" s="13" t="s">
        <v>2457</v>
      </c>
      <c r="F508" s="13" t="s">
        <v>2458</v>
      </c>
      <c r="G508" s="14" t="s">
        <v>107</v>
      </c>
      <c r="H508" s="28">
        <v>150000</v>
      </c>
      <c r="I508" s="13" t="s">
        <v>2459</v>
      </c>
      <c r="J508" s="11" t="s">
        <v>47</v>
      </c>
      <c r="K508" s="13" t="s">
        <v>2460</v>
      </c>
      <c r="L508" s="30" t="s">
        <v>2461</v>
      </c>
      <c r="M508" s="26">
        <v>45322</v>
      </c>
      <c r="N508" s="13" t="s">
        <v>57</v>
      </c>
      <c r="O508" s="14" t="s">
        <v>118</v>
      </c>
      <c r="P508" s="13"/>
      <c r="Q508" s="1">
        <v>230</v>
      </c>
      <c r="R508" s="1"/>
      <c r="S508" s="1"/>
      <c r="T508" s="1"/>
      <c r="U508" s="1"/>
      <c r="V508" s="1">
        <v>236</v>
      </c>
      <c r="W508" s="1">
        <v>240</v>
      </c>
      <c r="X508" s="1"/>
      <c r="Y508" s="1"/>
      <c r="Z508" s="1"/>
      <c r="AA508" s="1"/>
      <c r="AB508" s="1"/>
      <c r="AC508" s="20"/>
      <c r="AD508" s="20"/>
      <c r="AE508" s="1">
        <f>COUNT(Q508:AD508)</f>
        <v>3</v>
      </c>
      <c r="AF508" s="1">
        <f t="shared" si="35"/>
        <v>235.33333333333334</v>
      </c>
      <c r="AG508" s="11" t="str">
        <f t="shared" si="36"/>
        <v>APROVADO</v>
      </c>
    </row>
    <row r="509" spans="2:33" ht="25.5" hidden="1" x14ac:dyDescent="0.25">
      <c r="B509" s="5">
        <v>503</v>
      </c>
      <c r="C509" s="16" t="s">
        <v>2462</v>
      </c>
      <c r="D509" s="5" t="s">
        <v>33</v>
      </c>
      <c r="E509" s="5" t="s">
        <v>2463</v>
      </c>
      <c r="F509" s="5" t="s">
        <v>2464</v>
      </c>
      <c r="G509" s="5" t="s">
        <v>107</v>
      </c>
      <c r="H509" s="17">
        <v>926171.28</v>
      </c>
      <c r="I509" s="7" t="s">
        <v>73</v>
      </c>
      <c r="J509" s="5" t="s">
        <v>74</v>
      </c>
      <c r="K509" s="5" t="s">
        <v>2465</v>
      </c>
      <c r="L509" s="51" t="s">
        <v>2466</v>
      </c>
      <c r="M509" s="10">
        <v>45322</v>
      </c>
      <c r="N509" s="7" t="s">
        <v>82</v>
      </c>
      <c r="O509" s="7" t="s">
        <v>845</v>
      </c>
      <c r="P509" s="7"/>
      <c r="Q509" s="40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 t="e">
        <f t="shared" si="35"/>
        <v>#DIV/0!</v>
      </c>
      <c r="AG509" s="11" t="e">
        <f t="shared" si="36"/>
        <v>#DIV/0!</v>
      </c>
    </row>
    <row r="510" spans="2:33" ht="25.5" hidden="1" x14ac:dyDescent="0.25">
      <c r="B510" s="5">
        <v>504</v>
      </c>
      <c r="C510" s="16" t="s">
        <v>2467</v>
      </c>
      <c r="D510" s="5" t="s">
        <v>33</v>
      </c>
      <c r="E510" s="5" t="s">
        <v>2468</v>
      </c>
      <c r="F510" s="5" t="s">
        <v>2469</v>
      </c>
      <c r="G510" s="7" t="s">
        <v>45</v>
      </c>
      <c r="H510" s="17">
        <v>964213.56</v>
      </c>
      <c r="I510" s="7" t="s">
        <v>73</v>
      </c>
      <c r="J510" s="5" t="s">
        <v>74</v>
      </c>
      <c r="K510" s="5" t="s">
        <v>2470</v>
      </c>
      <c r="L510" s="51" t="s">
        <v>2471</v>
      </c>
      <c r="M510" s="10">
        <v>45322</v>
      </c>
      <c r="N510" s="7" t="s">
        <v>82</v>
      </c>
      <c r="O510" s="7" t="s">
        <v>845</v>
      </c>
      <c r="P510" s="7"/>
      <c r="Q510" s="40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 t="e">
        <f t="shared" si="35"/>
        <v>#DIV/0!</v>
      </c>
      <c r="AG510" s="11" t="e">
        <f t="shared" si="36"/>
        <v>#DIV/0!</v>
      </c>
    </row>
    <row r="511" spans="2:33" ht="25.5" hidden="1" x14ac:dyDescent="0.25">
      <c r="B511" s="5">
        <v>505</v>
      </c>
      <c r="C511" s="16" t="s">
        <v>2472</v>
      </c>
      <c r="D511" s="5" t="s">
        <v>33</v>
      </c>
      <c r="E511" s="5" t="s">
        <v>2468</v>
      </c>
      <c r="F511" s="5" t="s">
        <v>2473</v>
      </c>
      <c r="G511" s="7" t="s">
        <v>45</v>
      </c>
      <c r="H511" s="17">
        <v>958879.56</v>
      </c>
      <c r="I511" s="7" t="s">
        <v>73</v>
      </c>
      <c r="J511" s="5" t="s">
        <v>74</v>
      </c>
      <c r="K511" s="5" t="s">
        <v>2465</v>
      </c>
      <c r="L511" s="51" t="s">
        <v>2466</v>
      </c>
      <c r="M511" s="10">
        <v>45322</v>
      </c>
      <c r="N511" s="7" t="s">
        <v>82</v>
      </c>
      <c r="O511" s="7" t="s">
        <v>845</v>
      </c>
      <c r="P511" s="7"/>
      <c r="Q511" s="40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 t="e">
        <f t="shared" si="35"/>
        <v>#DIV/0!</v>
      </c>
      <c r="AG511" s="11" t="e">
        <f t="shared" si="36"/>
        <v>#DIV/0!</v>
      </c>
    </row>
    <row r="512" spans="2:33" ht="25.5" hidden="1" x14ac:dyDescent="0.25">
      <c r="B512" s="5">
        <v>506</v>
      </c>
      <c r="C512" s="27" t="s">
        <v>2474</v>
      </c>
      <c r="D512" s="5" t="s">
        <v>33</v>
      </c>
      <c r="E512" s="7" t="s">
        <v>2475</v>
      </c>
      <c r="F512" s="7" t="s">
        <v>2476</v>
      </c>
      <c r="G512" s="7" t="s">
        <v>36</v>
      </c>
      <c r="H512" s="8">
        <v>588000</v>
      </c>
      <c r="I512" s="7" t="s">
        <v>2477</v>
      </c>
      <c r="J512" s="7" t="s">
        <v>235</v>
      </c>
      <c r="K512" s="7" t="s">
        <v>2478</v>
      </c>
      <c r="L512" s="9" t="s">
        <v>2479</v>
      </c>
      <c r="M512" s="10">
        <v>45322</v>
      </c>
      <c r="N512" s="7" t="s">
        <v>41</v>
      </c>
      <c r="O512" s="7"/>
      <c r="P512" s="7" t="s">
        <v>2480</v>
      </c>
      <c r="Q512" s="40">
        <v>333</v>
      </c>
      <c r="R512" s="1"/>
      <c r="S512" s="1"/>
      <c r="T512" s="1">
        <v>259</v>
      </c>
      <c r="U512" s="1"/>
      <c r="V512" s="1"/>
      <c r="W512" s="1"/>
      <c r="X512" s="1"/>
      <c r="Y512" s="1"/>
      <c r="Z512" s="1"/>
      <c r="AA512" s="1"/>
      <c r="AB512" s="1"/>
      <c r="AC512" s="1">
        <v>307</v>
      </c>
      <c r="AD512" s="1"/>
      <c r="AE512" s="1">
        <f>COUNT(Q512:AD512)</f>
        <v>3</v>
      </c>
      <c r="AF512" s="1">
        <f t="shared" si="35"/>
        <v>299.66666666666669</v>
      </c>
      <c r="AG512" s="11" t="str">
        <f t="shared" si="36"/>
        <v>APROVADO</v>
      </c>
    </row>
    <row r="513" spans="2:33" hidden="1" x14ac:dyDescent="0.25">
      <c r="B513" s="5">
        <v>507</v>
      </c>
      <c r="C513" s="24" t="s">
        <v>2481</v>
      </c>
      <c r="D513" s="5" t="s">
        <v>51</v>
      </c>
      <c r="E513" s="13" t="s">
        <v>2482</v>
      </c>
      <c r="F513" s="13" t="s">
        <v>1053</v>
      </c>
      <c r="G513" s="14" t="s">
        <v>107</v>
      </c>
      <c r="H513" s="28">
        <v>239275</v>
      </c>
      <c r="I513" s="13" t="s">
        <v>390</v>
      </c>
      <c r="J513" s="11" t="s">
        <v>391</v>
      </c>
      <c r="K513" s="13" t="s">
        <v>2483</v>
      </c>
      <c r="L513" s="30" t="s">
        <v>2461</v>
      </c>
      <c r="M513" s="26">
        <v>45322</v>
      </c>
      <c r="N513" s="13" t="s">
        <v>57</v>
      </c>
      <c r="O513" s="14" t="s">
        <v>2484</v>
      </c>
      <c r="P513" s="13"/>
      <c r="Q513" s="1">
        <v>273</v>
      </c>
      <c r="R513" s="1"/>
      <c r="S513" s="1"/>
      <c r="T513" s="1"/>
      <c r="U513" s="1"/>
      <c r="V513" s="1"/>
      <c r="W513" s="1"/>
      <c r="X513" s="1">
        <v>300</v>
      </c>
      <c r="Y513" s="1">
        <v>331</v>
      </c>
      <c r="Z513" s="1"/>
      <c r="AA513" s="1"/>
      <c r="AB513" s="1"/>
      <c r="AC513" s="20"/>
      <c r="AD513" s="20"/>
      <c r="AE513" s="1">
        <f>COUNT(Q513:AD513)</f>
        <v>3</v>
      </c>
      <c r="AF513" s="1">
        <f t="shared" si="35"/>
        <v>301.33333333333331</v>
      </c>
      <c r="AG513" s="11" t="str">
        <f t="shared" si="36"/>
        <v>APROVADO</v>
      </c>
    </row>
    <row r="514" spans="2:33" hidden="1" x14ac:dyDescent="0.25">
      <c r="B514" s="5">
        <v>508</v>
      </c>
      <c r="C514" s="24" t="s">
        <v>2485</v>
      </c>
      <c r="D514" s="5" t="s">
        <v>51</v>
      </c>
      <c r="E514" s="13" t="s">
        <v>2482</v>
      </c>
      <c r="F514" s="13" t="s">
        <v>2486</v>
      </c>
      <c r="G514" s="14" t="s">
        <v>776</v>
      </c>
      <c r="H514" s="28">
        <v>200000</v>
      </c>
      <c r="I514" s="13" t="s">
        <v>390</v>
      </c>
      <c r="J514" s="11" t="s">
        <v>391</v>
      </c>
      <c r="K514" s="13" t="s">
        <v>2487</v>
      </c>
      <c r="L514" s="30" t="s">
        <v>2488</v>
      </c>
      <c r="M514" s="26">
        <v>45322</v>
      </c>
      <c r="N514" s="13" t="s">
        <v>41</v>
      </c>
      <c r="O514" s="14"/>
      <c r="P514" s="13"/>
      <c r="Q514" s="1">
        <v>306</v>
      </c>
      <c r="R514" s="1">
        <v>129</v>
      </c>
      <c r="S514" s="1"/>
      <c r="T514" s="1">
        <v>98</v>
      </c>
      <c r="U514" s="1"/>
      <c r="V514" s="1"/>
      <c r="W514" s="1"/>
      <c r="X514" s="1"/>
      <c r="Y514" s="1"/>
      <c r="Z514" s="1"/>
      <c r="AA514" s="1"/>
      <c r="AB514" s="1"/>
      <c r="AC514" s="20"/>
      <c r="AD514" s="20"/>
      <c r="AE514" s="20"/>
      <c r="AF514" s="1">
        <f t="shared" si="35"/>
        <v>177.66666666666666</v>
      </c>
      <c r="AG514" s="11" t="str">
        <f t="shared" si="36"/>
        <v>REPROVADO</v>
      </c>
    </row>
    <row r="515" spans="2:33" hidden="1" x14ac:dyDescent="0.25">
      <c r="B515" s="5">
        <v>509</v>
      </c>
      <c r="C515" s="24" t="s">
        <v>2489</v>
      </c>
      <c r="D515" s="5" t="s">
        <v>51</v>
      </c>
      <c r="E515" s="13" t="s">
        <v>2482</v>
      </c>
      <c r="F515" s="13" t="s">
        <v>357</v>
      </c>
      <c r="G515" s="7" t="s">
        <v>62</v>
      </c>
      <c r="H515" s="28">
        <v>1884000</v>
      </c>
      <c r="I515" s="13" t="s">
        <v>390</v>
      </c>
      <c r="J515" s="11" t="s">
        <v>391</v>
      </c>
      <c r="K515" s="13" t="s">
        <v>2490</v>
      </c>
      <c r="L515" s="30" t="s">
        <v>2461</v>
      </c>
      <c r="M515" s="26">
        <v>45322</v>
      </c>
      <c r="N515" s="13" t="s">
        <v>57</v>
      </c>
      <c r="O515" s="14" t="s">
        <v>2491</v>
      </c>
      <c r="P515" s="13"/>
      <c r="Q515" s="1">
        <v>340</v>
      </c>
      <c r="R515" s="1"/>
      <c r="S515" s="1"/>
      <c r="T515" s="1"/>
      <c r="U515" s="1"/>
      <c r="V515" s="1">
        <v>340</v>
      </c>
      <c r="W515" s="1">
        <v>340</v>
      </c>
      <c r="X515" s="1"/>
      <c r="Y515" s="1"/>
      <c r="Z515" s="1"/>
      <c r="AA515" s="1"/>
      <c r="AB515" s="1"/>
      <c r="AC515" s="20"/>
      <c r="AD515" s="20"/>
      <c r="AE515" s="1">
        <f t="shared" ref="AE515:AE525" si="38">COUNT(Q515:AD515)</f>
        <v>3</v>
      </c>
      <c r="AF515" s="1">
        <f t="shared" si="35"/>
        <v>340</v>
      </c>
      <c r="AG515" s="11" t="str">
        <f t="shared" si="36"/>
        <v>APROVADO</v>
      </c>
    </row>
    <row r="516" spans="2:33" ht="25.5" hidden="1" x14ac:dyDescent="0.25">
      <c r="B516" s="5">
        <v>510</v>
      </c>
      <c r="C516" s="27" t="s">
        <v>2492</v>
      </c>
      <c r="D516" s="5" t="s">
        <v>33</v>
      </c>
      <c r="E516" s="7" t="s">
        <v>2493</v>
      </c>
      <c r="F516" s="7" t="s">
        <v>2494</v>
      </c>
      <c r="G516" s="7" t="s">
        <v>107</v>
      </c>
      <c r="H516" s="8">
        <v>1224168</v>
      </c>
      <c r="I516" s="7" t="s">
        <v>1732</v>
      </c>
      <c r="J516" s="7" t="s">
        <v>235</v>
      </c>
      <c r="K516" s="7" t="s">
        <v>2495</v>
      </c>
      <c r="L516" s="9" t="s">
        <v>2496</v>
      </c>
      <c r="M516" s="10">
        <v>45322</v>
      </c>
      <c r="N516" s="7" t="s">
        <v>41</v>
      </c>
      <c r="O516" s="7"/>
      <c r="P516" s="7"/>
      <c r="Q516" s="40">
        <v>319</v>
      </c>
      <c r="R516" s="1">
        <v>109</v>
      </c>
      <c r="S516" s="1"/>
      <c r="T516" s="1"/>
      <c r="U516" s="1"/>
      <c r="V516" s="1"/>
      <c r="W516" s="1"/>
      <c r="X516" s="1"/>
      <c r="Y516" s="1"/>
      <c r="Z516" s="1">
        <v>283</v>
      </c>
      <c r="AA516" s="1"/>
      <c r="AB516" s="1"/>
      <c r="AC516" s="1"/>
      <c r="AD516" s="1"/>
      <c r="AE516" s="1">
        <f t="shared" si="38"/>
        <v>3</v>
      </c>
      <c r="AF516" s="1">
        <f t="shared" si="35"/>
        <v>237</v>
      </c>
      <c r="AG516" s="11" t="str">
        <f t="shared" si="36"/>
        <v>APROVADO</v>
      </c>
    </row>
    <row r="517" spans="2:33" ht="25.5" hidden="1" x14ac:dyDescent="0.25">
      <c r="B517" s="5">
        <v>511</v>
      </c>
      <c r="C517" s="27" t="s">
        <v>2497</v>
      </c>
      <c r="D517" s="5" t="s">
        <v>33</v>
      </c>
      <c r="E517" s="7" t="s">
        <v>2498</v>
      </c>
      <c r="F517" s="7" t="s">
        <v>2499</v>
      </c>
      <c r="G517" s="7" t="s">
        <v>36</v>
      </c>
      <c r="H517" s="8">
        <v>982220</v>
      </c>
      <c r="I517" s="7" t="s">
        <v>2500</v>
      </c>
      <c r="J517" s="7" t="s">
        <v>677</v>
      </c>
      <c r="K517" s="7" t="s">
        <v>2501</v>
      </c>
      <c r="L517" s="9" t="s">
        <v>2502</v>
      </c>
      <c r="M517" s="10">
        <v>45322</v>
      </c>
      <c r="N517" s="7" t="s">
        <v>41</v>
      </c>
      <c r="O517" s="7"/>
      <c r="P517" s="7"/>
      <c r="Q517" s="40">
        <v>335</v>
      </c>
      <c r="R517" s="1">
        <v>172</v>
      </c>
      <c r="S517" s="1"/>
      <c r="T517" s="1">
        <v>240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>
        <f t="shared" si="38"/>
        <v>3</v>
      </c>
      <c r="AF517" s="1">
        <f t="shared" ref="AF517:AF580" si="39">AVERAGE(Q517:AD517)</f>
        <v>249</v>
      </c>
      <c r="AG517" s="11" t="str">
        <f t="shared" ref="AG517:AG580" si="40">IF(AF517&gt;=$AG$1,"APROVADO","REPROVADO")</f>
        <v>APROVADO</v>
      </c>
    </row>
    <row r="518" spans="2:33" ht="25.5" hidden="1" x14ac:dyDescent="0.25">
      <c r="B518" s="5">
        <v>512</v>
      </c>
      <c r="C518" s="6" t="s">
        <v>2503</v>
      </c>
      <c r="D518" s="5" t="s">
        <v>33</v>
      </c>
      <c r="E518" s="5" t="s">
        <v>2504</v>
      </c>
      <c r="F518" s="5" t="s">
        <v>2505</v>
      </c>
      <c r="G518" s="5" t="s">
        <v>107</v>
      </c>
      <c r="H518" s="17">
        <v>770400</v>
      </c>
      <c r="I518" s="7" t="s">
        <v>73</v>
      </c>
      <c r="J518" s="5" t="s">
        <v>74</v>
      </c>
      <c r="K518" s="5" t="s">
        <v>2506</v>
      </c>
      <c r="L518" s="31" t="s">
        <v>2507</v>
      </c>
      <c r="M518" s="10">
        <v>45322</v>
      </c>
      <c r="N518" s="5" t="s">
        <v>67</v>
      </c>
      <c r="O518" s="7" t="s">
        <v>89</v>
      </c>
      <c r="P518" s="9"/>
      <c r="Q518" s="39">
        <v>310</v>
      </c>
      <c r="R518" s="1"/>
      <c r="S518" s="1"/>
      <c r="T518" s="1"/>
      <c r="U518" s="1"/>
      <c r="V518" s="1">
        <v>340</v>
      </c>
      <c r="W518" s="1">
        <v>305</v>
      </c>
      <c r="X518" s="1"/>
      <c r="Y518" s="1"/>
      <c r="Z518" s="1"/>
      <c r="AA518" s="1"/>
      <c r="AB518" s="1"/>
      <c r="AC518" s="1"/>
      <c r="AD518" s="1"/>
      <c r="AE518" s="1">
        <f t="shared" si="38"/>
        <v>3</v>
      </c>
      <c r="AF518" s="1">
        <f t="shared" si="39"/>
        <v>318.33333333333331</v>
      </c>
      <c r="AG518" s="11" t="str">
        <f t="shared" si="40"/>
        <v>APROVADO</v>
      </c>
    </row>
    <row r="519" spans="2:33" hidden="1" x14ac:dyDescent="0.25">
      <c r="B519" s="5">
        <v>513</v>
      </c>
      <c r="C519" s="24" t="s">
        <v>2508</v>
      </c>
      <c r="D519" s="5" t="s">
        <v>51</v>
      </c>
      <c r="E519" s="13" t="s">
        <v>2509</v>
      </c>
      <c r="F519" s="13" t="s">
        <v>2510</v>
      </c>
      <c r="G519" s="14" t="s">
        <v>107</v>
      </c>
      <c r="H519" s="28">
        <v>34165</v>
      </c>
      <c r="I519" s="13" t="s">
        <v>2511</v>
      </c>
      <c r="J519" s="11" t="s">
        <v>47</v>
      </c>
      <c r="K519" s="13" t="s">
        <v>2512</v>
      </c>
      <c r="L519" s="30" t="s">
        <v>2513</v>
      </c>
      <c r="M519" s="26">
        <v>45322</v>
      </c>
      <c r="N519" s="13" t="s">
        <v>57</v>
      </c>
      <c r="O519" s="14" t="s">
        <v>2514</v>
      </c>
      <c r="P519" s="13"/>
      <c r="Q519" s="1">
        <v>265</v>
      </c>
      <c r="R519" s="1"/>
      <c r="S519" s="1"/>
      <c r="T519" s="1"/>
      <c r="U519" s="1"/>
      <c r="V519" s="1"/>
      <c r="W519" s="1"/>
      <c r="X519" s="1">
        <v>324</v>
      </c>
      <c r="Y519" s="1">
        <v>324</v>
      </c>
      <c r="Z519" s="1"/>
      <c r="AA519" s="1"/>
      <c r="AB519" s="1"/>
      <c r="AC519" s="20"/>
      <c r="AD519" s="20"/>
      <c r="AE519" s="1">
        <f t="shared" si="38"/>
        <v>3</v>
      </c>
      <c r="AF519" s="1">
        <f t="shared" si="39"/>
        <v>304.33333333333331</v>
      </c>
      <c r="AG519" s="11" t="str">
        <f t="shared" si="40"/>
        <v>APROVADO</v>
      </c>
    </row>
    <row r="520" spans="2:33" ht="25.5" hidden="1" x14ac:dyDescent="0.25">
      <c r="B520" s="5">
        <v>514</v>
      </c>
      <c r="C520" s="6" t="s">
        <v>2515</v>
      </c>
      <c r="D520" s="5" t="s">
        <v>33</v>
      </c>
      <c r="E520" s="7" t="s">
        <v>2516</v>
      </c>
      <c r="F520" s="7" t="s">
        <v>2517</v>
      </c>
      <c r="G520" s="5" t="s">
        <v>62</v>
      </c>
      <c r="H520" s="8">
        <v>749855.9</v>
      </c>
      <c r="I520" s="7" t="s">
        <v>73</v>
      </c>
      <c r="J520" s="5" t="s">
        <v>74</v>
      </c>
      <c r="K520" s="7" t="s">
        <v>2518</v>
      </c>
      <c r="L520" s="9" t="s">
        <v>2519</v>
      </c>
      <c r="M520" s="10">
        <v>45322</v>
      </c>
      <c r="N520" s="7" t="s">
        <v>67</v>
      </c>
      <c r="O520" s="7" t="s">
        <v>68</v>
      </c>
      <c r="P520" s="7" t="s">
        <v>2520</v>
      </c>
      <c r="Q520" s="40">
        <v>240</v>
      </c>
      <c r="R520" s="1"/>
      <c r="S520" s="1"/>
      <c r="T520" s="1"/>
      <c r="U520" s="1"/>
      <c r="V520" s="1"/>
      <c r="W520" s="1">
        <v>277</v>
      </c>
      <c r="X520" s="1"/>
      <c r="Y520" s="1">
        <v>340</v>
      </c>
      <c r="Z520" s="1"/>
      <c r="AA520" s="1"/>
      <c r="AB520" s="1"/>
      <c r="AC520" s="1"/>
      <c r="AD520" s="1"/>
      <c r="AE520" s="1">
        <f t="shared" si="38"/>
        <v>3</v>
      </c>
      <c r="AF520" s="1">
        <f t="shared" si="39"/>
        <v>285.66666666666669</v>
      </c>
      <c r="AG520" s="11" t="str">
        <f t="shared" si="40"/>
        <v>APROVADO</v>
      </c>
    </row>
    <row r="521" spans="2:33" ht="38.25" hidden="1" x14ac:dyDescent="0.25">
      <c r="B521" s="5">
        <v>515</v>
      </c>
      <c r="C521" s="6" t="s">
        <v>2521</v>
      </c>
      <c r="D521" s="5" t="s">
        <v>33</v>
      </c>
      <c r="E521" s="7" t="s">
        <v>2522</v>
      </c>
      <c r="F521" s="7" t="s">
        <v>2523</v>
      </c>
      <c r="G521" s="7" t="s">
        <v>300</v>
      </c>
      <c r="H521" s="8">
        <v>614048.15</v>
      </c>
      <c r="I521" s="7" t="s">
        <v>1475</v>
      </c>
      <c r="J521" s="7" t="s">
        <v>64</v>
      </c>
      <c r="K521" s="7" t="s">
        <v>2524</v>
      </c>
      <c r="L521" s="9" t="s">
        <v>2525</v>
      </c>
      <c r="M521" s="10">
        <v>45322</v>
      </c>
      <c r="N521" s="7" t="s">
        <v>67</v>
      </c>
      <c r="O521" s="7" t="s">
        <v>68</v>
      </c>
      <c r="P521" s="7"/>
      <c r="Q521" s="40">
        <v>286</v>
      </c>
      <c r="R521" s="1"/>
      <c r="S521" s="1">
        <v>271</v>
      </c>
      <c r="T521" s="1"/>
      <c r="U521" s="1"/>
      <c r="V521" s="1"/>
      <c r="W521" s="1"/>
      <c r="X521" s="1"/>
      <c r="Y521" s="1">
        <v>271</v>
      </c>
      <c r="Z521" s="1"/>
      <c r="AA521" s="1"/>
      <c r="AB521" s="1"/>
      <c r="AC521" s="1"/>
      <c r="AD521" s="1"/>
      <c r="AE521" s="1">
        <f t="shared" si="38"/>
        <v>3</v>
      </c>
      <c r="AF521" s="1">
        <f t="shared" si="39"/>
        <v>276</v>
      </c>
      <c r="AG521" s="11" t="str">
        <f t="shared" si="40"/>
        <v>APROVADO</v>
      </c>
    </row>
    <row r="522" spans="2:33" ht="25.5" hidden="1" x14ac:dyDescent="0.25">
      <c r="B522" s="5">
        <v>516</v>
      </c>
      <c r="C522" s="6" t="s">
        <v>2526</v>
      </c>
      <c r="D522" s="5" t="s">
        <v>33</v>
      </c>
      <c r="E522" s="7" t="s">
        <v>2527</v>
      </c>
      <c r="F522" s="7" t="s">
        <v>2528</v>
      </c>
      <c r="G522" s="7" t="s">
        <v>2529</v>
      </c>
      <c r="H522" s="8">
        <v>738261.48</v>
      </c>
      <c r="I522" s="7" t="s">
        <v>73</v>
      </c>
      <c r="J522" s="5" t="s">
        <v>74</v>
      </c>
      <c r="K522" s="7" t="s">
        <v>2530</v>
      </c>
      <c r="L522" s="9" t="s">
        <v>2531</v>
      </c>
      <c r="M522" s="10">
        <v>45322</v>
      </c>
      <c r="N522" s="7" t="s">
        <v>41</v>
      </c>
      <c r="O522" s="7"/>
      <c r="P522" s="7"/>
      <c r="Q522" s="40">
        <v>275</v>
      </c>
      <c r="R522" s="1"/>
      <c r="S522" s="1"/>
      <c r="T522" s="1"/>
      <c r="U522" s="1"/>
      <c r="V522" s="1"/>
      <c r="W522" s="1"/>
      <c r="X522" s="1"/>
      <c r="Y522" s="1"/>
      <c r="Z522" s="1">
        <v>210</v>
      </c>
      <c r="AA522" s="1">
        <v>241</v>
      </c>
      <c r="AB522" s="1"/>
      <c r="AC522" s="1"/>
      <c r="AD522" s="1"/>
      <c r="AE522" s="1">
        <f t="shared" si="38"/>
        <v>3</v>
      </c>
      <c r="AF522" s="1">
        <f t="shared" si="39"/>
        <v>242</v>
      </c>
      <c r="AG522" s="11" t="str">
        <f t="shared" si="40"/>
        <v>APROVADO</v>
      </c>
    </row>
    <row r="523" spans="2:33" ht="25.5" hidden="1" x14ac:dyDescent="0.25">
      <c r="B523" s="5">
        <v>517</v>
      </c>
      <c r="C523" s="6" t="s">
        <v>2532</v>
      </c>
      <c r="D523" s="5" t="s">
        <v>33</v>
      </c>
      <c r="E523" s="7" t="s">
        <v>2516</v>
      </c>
      <c r="F523" s="7" t="s">
        <v>2533</v>
      </c>
      <c r="G523" s="5" t="s">
        <v>62</v>
      </c>
      <c r="H523" s="8">
        <v>720339</v>
      </c>
      <c r="I523" s="7" t="s">
        <v>73</v>
      </c>
      <c r="J523" s="5" t="s">
        <v>74</v>
      </c>
      <c r="K523" s="7" t="s">
        <v>2518</v>
      </c>
      <c r="L523" s="9" t="s">
        <v>2519</v>
      </c>
      <c r="M523" s="10">
        <v>45322</v>
      </c>
      <c r="N523" s="7" t="s">
        <v>67</v>
      </c>
      <c r="O523" s="7" t="s">
        <v>68</v>
      </c>
      <c r="P523" s="7" t="s">
        <v>2520</v>
      </c>
      <c r="Q523" s="40">
        <v>226</v>
      </c>
      <c r="R523" s="1"/>
      <c r="S523" s="1"/>
      <c r="T523" s="1"/>
      <c r="U523" s="1"/>
      <c r="V523" s="1"/>
      <c r="W523" s="1">
        <v>278</v>
      </c>
      <c r="X523" s="1"/>
      <c r="Y523" s="1">
        <v>320</v>
      </c>
      <c r="Z523" s="1"/>
      <c r="AA523" s="1"/>
      <c r="AB523" s="1"/>
      <c r="AC523" s="1"/>
      <c r="AD523" s="1"/>
      <c r="AE523" s="1">
        <f t="shared" si="38"/>
        <v>3</v>
      </c>
      <c r="AF523" s="1">
        <f t="shared" si="39"/>
        <v>274.66666666666669</v>
      </c>
      <c r="AG523" s="11" t="str">
        <f t="shared" si="40"/>
        <v>APROVADO</v>
      </c>
    </row>
    <row r="524" spans="2:33" ht="26.25" hidden="1" x14ac:dyDescent="0.25">
      <c r="B524" s="5">
        <v>518</v>
      </c>
      <c r="C524" s="24" t="s">
        <v>2534</v>
      </c>
      <c r="D524" s="5" t="s">
        <v>51</v>
      </c>
      <c r="E524" s="13" t="s">
        <v>2535</v>
      </c>
      <c r="F524" s="14" t="s">
        <v>2536</v>
      </c>
      <c r="G524" s="14" t="s">
        <v>36</v>
      </c>
      <c r="H524" s="28">
        <v>329350</v>
      </c>
      <c r="I524" s="13" t="s">
        <v>2138</v>
      </c>
      <c r="J524" s="11" t="s">
        <v>254</v>
      </c>
      <c r="K524" s="14" t="s">
        <v>2537</v>
      </c>
      <c r="L524" s="30" t="s">
        <v>2538</v>
      </c>
      <c r="M524" s="26">
        <v>45322</v>
      </c>
      <c r="N524" s="13" t="s">
        <v>57</v>
      </c>
      <c r="O524" s="14" t="s">
        <v>518</v>
      </c>
      <c r="P524" s="13"/>
      <c r="Q524" s="1">
        <v>323</v>
      </c>
      <c r="R524" s="1"/>
      <c r="S524" s="1"/>
      <c r="T524" s="1"/>
      <c r="U524" s="1"/>
      <c r="V524" s="1">
        <v>340</v>
      </c>
      <c r="W524" s="1">
        <v>316</v>
      </c>
      <c r="X524" s="1"/>
      <c r="Y524" s="1"/>
      <c r="Z524" s="1"/>
      <c r="AA524" s="1"/>
      <c r="AB524" s="1"/>
      <c r="AC524" s="20"/>
      <c r="AD524" s="20"/>
      <c r="AE524" s="1">
        <f t="shared" si="38"/>
        <v>3</v>
      </c>
      <c r="AF524" s="1">
        <f t="shared" si="39"/>
        <v>326.33333333333331</v>
      </c>
      <c r="AG524" s="11" t="str">
        <f t="shared" si="40"/>
        <v>APROVADO</v>
      </c>
    </row>
    <row r="525" spans="2:33" hidden="1" x14ac:dyDescent="0.25">
      <c r="B525" s="5">
        <v>519</v>
      </c>
      <c r="C525" s="24" t="s">
        <v>2539</v>
      </c>
      <c r="D525" s="5" t="s">
        <v>51</v>
      </c>
      <c r="E525" s="13" t="s">
        <v>2535</v>
      </c>
      <c r="F525" s="13" t="s">
        <v>2540</v>
      </c>
      <c r="G525" s="14" t="s">
        <v>36</v>
      </c>
      <c r="H525" s="28">
        <v>329350</v>
      </c>
      <c r="I525" s="13" t="s">
        <v>2138</v>
      </c>
      <c r="J525" s="11" t="s">
        <v>254</v>
      </c>
      <c r="K525" s="14" t="s">
        <v>2537</v>
      </c>
      <c r="L525" s="30" t="s">
        <v>2541</v>
      </c>
      <c r="M525" s="26">
        <v>45322</v>
      </c>
      <c r="N525" s="13" t="s">
        <v>57</v>
      </c>
      <c r="O525" s="14" t="s">
        <v>518</v>
      </c>
      <c r="P525" s="13"/>
      <c r="Q525" s="1">
        <v>293</v>
      </c>
      <c r="R525" s="1"/>
      <c r="S525" s="1"/>
      <c r="T525" s="1"/>
      <c r="U525" s="1"/>
      <c r="V525" s="1"/>
      <c r="W525" s="1"/>
      <c r="X525" s="1">
        <v>304</v>
      </c>
      <c r="Y525" s="1">
        <v>304</v>
      </c>
      <c r="Z525" s="1"/>
      <c r="AA525" s="1"/>
      <c r="AB525" s="1"/>
      <c r="AC525" s="20"/>
      <c r="AD525" s="20"/>
      <c r="AE525" s="1">
        <f t="shared" si="38"/>
        <v>3</v>
      </c>
      <c r="AF525" s="1">
        <f t="shared" si="39"/>
        <v>300.33333333333331</v>
      </c>
      <c r="AG525" s="11" t="str">
        <f t="shared" si="40"/>
        <v>APROVADO</v>
      </c>
    </row>
    <row r="526" spans="2:33" ht="39" hidden="1" x14ac:dyDescent="0.25">
      <c r="B526" s="5">
        <v>520</v>
      </c>
      <c r="C526" s="32" t="s">
        <v>2542</v>
      </c>
      <c r="D526" s="5" t="s">
        <v>51</v>
      </c>
      <c r="E526" s="13" t="s">
        <v>2543</v>
      </c>
      <c r="F526" s="14" t="s">
        <v>2544</v>
      </c>
      <c r="G526" s="14" t="s">
        <v>36</v>
      </c>
      <c r="H526" s="28">
        <v>433800</v>
      </c>
      <c r="I526" s="13" t="s">
        <v>2545</v>
      </c>
      <c r="J526" s="11" t="s">
        <v>38</v>
      </c>
      <c r="K526" s="13" t="s">
        <v>2546</v>
      </c>
      <c r="L526" s="30" t="s">
        <v>2541</v>
      </c>
      <c r="M526" s="26">
        <v>45322</v>
      </c>
      <c r="N526" s="7" t="s">
        <v>82</v>
      </c>
      <c r="O526" s="14" t="s">
        <v>845</v>
      </c>
      <c r="P526" s="1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0"/>
      <c r="AD526" s="20"/>
      <c r="AE526" s="20"/>
      <c r="AF526" s="1" t="e">
        <f t="shared" si="39"/>
        <v>#DIV/0!</v>
      </c>
      <c r="AG526" s="11" t="e">
        <f t="shared" si="40"/>
        <v>#DIV/0!</v>
      </c>
    </row>
    <row r="527" spans="2:33" ht="26.25" hidden="1" x14ac:dyDescent="0.25">
      <c r="B527" s="5">
        <v>521</v>
      </c>
      <c r="C527" s="32" t="s">
        <v>2547</v>
      </c>
      <c r="D527" s="5" t="s">
        <v>51</v>
      </c>
      <c r="E527" s="13" t="s">
        <v>2543</v>
      </c>
      <c r="F527" s="14" t="s">
        <v>2548</v>
      </c>
      <c r="G527" s="14" t="s">
        <v>36</v>
      </c>
      <c r="H527" s="28">
        <v>600000</v>
      </c>
      <c r="I527" s="13" t="s">
        <v>2545</v>
      </c>
      <c r="J527" s="11" t="s">
        <v>38</v>
      </c>
      <c r="K527" s="13" t="s">
        <v>2549</v>
      </c>
      <c r="L527" s="30" t="s">
        <v>2550</v>
      </c>
      <c r="M527" s="26">
        <v>45322</v>
      </c>
      <c r="N527" s="7" t="s">
        <v>82</v>
      </c>
      <c r="O527" s="14" t="s">
        <v>845</v>
      </c>
      <c r="P527" s="1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0"/>
      <c r="AD527" s="20"/>
      <c r="AE527" s="20"/>
      <c r="AF527" s="1" t="e">
        <f t="shared" si="39"/>
        <v>#DIV/0!</v>
      </c>
      <c r="AG527" s="11" t="e">
        <f t="shared" si="40"/>
        <v>#DIV/0!</v>
      </c>
    </row>
    <row r="528" spans="2:33" ht="39" hidden="1" x14ac:dyDescent="0.25">
      <c r="B528" s="5">
        <v>522</v>
      </c>
      <c r="C528" s="32" t="s">
        <v>2551</v>
      </c>
      <c r="D528" s="5" t="s">
        <v>51</v>
      </c>
      <c r="E528" s="13" t="s">
        <v>2543</v>
      </c>
      <c r="F528" s="14" t="s">
        <v>2552</v>
      </c>
      <c r="G528" s="14" t="s">
        <v>36</v>
      </c>
      <c r="H528" s="28">
        <v>58200</v>
      </c>
      <c r="I528" s="13" t="s">
        <v>2545</v>
      </c>
      <c r="J528" s="11" t="s">
        <v>38</v>
      </c>
      <c r="K528" s="13" t="s">
        <v>2546</v>
      </c>
      <c r="L528" s="30" t="s">
        <v>2513</v>
      </c>
      <c r="M528" s="26">
        <v>45322</v>
      </c>
      <c r="N528" s="7" t="s">
        <v>82</v>
      </c>
      <c r="O528" s="14" t="s">
        <v>845</v>
      </c>
      <c r="P528" s="1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0"/>
      <c r="AD528" s="20"/>
      <c r="AE528" s="20"/>
      <c r="AF528" s="1" t="e">
        <f t="shared" si="39"/>
        <v>#DIV/0!</v>
      </c>
      <c r="AG528" s="11" t="e">
        <f t="shared" si="40"/>
        <v>#DIV/0!</v>
      </c>
    </row>
    <row r="529" spans="2:33" hidden="1" x14ac:dyDescent="0.25">
      <c r="B529" s="5">
        <v>523</v>
      </c>
      <c r="C529" s="6" t="s">
        <v>2553</v>
      </c>
      <c r="D529" s="5" t="s">
        <v>51</v>
      </c>
      <c r="E529" s="7" t="s">
        <v>2554</v>
      </c>
      <c r="F529" s="7" t="s">
        <v>2555</v>
      </c>
      <c r="G529" s="7" t="s">
        <v>45</v>
      </c>
      <c r="H529" s="28">
        <v>80058.679999999993</v>
      </c>
      <c r="I529" s="13" t="s">
        <v>2556</v>
      </c>
      <c r="J529" s="11" t="s">
        <v>115</v>
      </c>
      <c r="K529" s="13" t="s">
        <v>2557</v>
      </c>
      <c r="L529" s="42" t="s">
        <v>2558</v>
      </c>
      <c r="M529" s="26">
        <v>45322</v>
      </c>
      <c r="N529" s="13" t="s">
        <v>57</v>
      </c>
      <c r="O529" s="13" t="s">
        <v>2559</v>
      </c>
      <c r="P529" s="20"/>
      <c r="Q529" s="1">
        <v>306</v>
      </c>
      <c r="R529" s="1"/>
      <c r="S529" s="1"/>
      <c r="T529" s="1"/>
      <c r="U529" s="1"/>
      <c r="V529" s="1">
        <v>310</v>
      </c>
      <c r="W529" s="1">
        <v>299</v>
      </c>
      <c r="X529" s="1"/>
      <c r="Y529" s="1"/>
      <c r="Z529" s="1"/>
      <c r="AA529" s="1"/>
      <c r="AB529" s="1"/>
      <c r="AC529" s="20"/>
      <c r="AD529" s="20"/>
      <c r="AE529" s="1">
        <f>COUNT(Q529:AD529)</f>
        <v>3</v>
      </c>
      <c r="AF529" s="1">
        <f t="shared" si="39"/>
        <v>305</v>
      </c>
      <c r="AG529" s="11" t="str">
        <f t="shared" si="40"/>
        <v>APROVADO</v>
      </c>
    </row>
    <row r="530" spans="2:33" ht="25.5" hidden="1" x14ac:dyDescent="0.25">
      <c r="B530" s="5">
        <v>524</v>
      </c>
      <c r="C530" s="27" t="s">
        <v>2560</v>
      </c>
      <c r="D530" s="5" t="s">
        <v>33</v>
      </c>
      <c r="E530" s="7" t="s">
        <v>2561</v>
      </c>
      <c r="F530" s="7" t="s">
        <v>2562</v>
      </c>
      <c r="G530" s="7" t="s">
        <v>336</v>
      </c>
      <c r="H530" s="8">
        <v>632086</v>
      </c>
      <c r="I530" s="7" t="s">
        <v>1732</v>
      </c>
      <c r="J530" s="7" t="s">
        <v>235</v>
      </c>
      <c r="K530" s="7" t="s">
        <v>2563</v>
      </c>
      <c r="L530" s="9" t="s">
        <v>2564</v>
      </c>
      <c r="M530" s="10">
        <v>45322</v>
      </c>
      <c r="N530" s="7" t="s">
        <v>41</v>
      </c>
      <c r="O530" s="7"/>
      <c r="P530" s="7"/>
      <c r="Q530" s="40">
        <v>332</v>
      </c>
      <c r="R530" s="1">
        <v>161</v>
      </c>
      <c r="S530" s="1"/>
      <c r="T530" s="1"/>
      <c r="U530" s="1"/>
      <c r="V530" s="1"/>
      <c r="W530" s="1"/>
      <c r="X530" s="1"/>
      <c r="Y530" s="1"/>
      <c r="Z530" s="1">
        <v>314</v>
      </c>
      <c r="AA530" s="1"/>
      <c r="AB530" s="1"/>
      <c r="AC530" s="1"/>
      <c r="AD530" s="1"/>
      <c r="AE530" s="1">
        <f>COUNT(Q530:AD530)</f>
        <v>3</v>
      </c>
      <c r="AF530" s="1">
        <f t="shared" si="39"/>
        <v>269</v>
      </c>
      <c r="AG530" s="11" t="str">
        <f t="shared" si="40"/>
        <v>APROVADO</v>
      </c>
    </row>
    <row r="531" spans="2:33" ht="25.5" hidden="1" x14ac:dyDescent="0.25">
      <c r="B531" s="5">
        <v>525</v>
      </c>
      <c r="C531" s="16" t="s">
        <v>2565</v>
      </c>
      <c r="D531" s="5" t="s">
        <v>33</v>
      </c>
      <c r="E531" s="5" t="s">
        <v>2566</v>
      </c>
      <c r="F531" s="5" t="s">
        <v>2567</v>
      </c>
      <c r="G531" s="7" t="s">
        <v>36</v>
      </c>
      <c r="H531" s="17">
        <v>100250.84</v>
      </c>
      <c r="I531" s="7" t="s">
        <v>2556</v>
      </c>
      <c r="J531" s="5" t="s">
        <v>115</v>
      </c>
      <c r="K531" s="5" t="s">
        <v>2568</v>
      </c>
      <c r="L531" s="51" t="s">
        <v>2569</v>
      </c>
      <c r="M531" s="10">
        <v>45322</v>
      </c>
      <c r="N531" s="7" t="s">
        <v>82</v>
      </c>
      <c r="O531" s="7" t="s">
        <v>2570</v>
      </c>
      <c r="P531" s="20"/>
      <c r="Q531" s="40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 t="e">
        <f t="shared" si="39"/>
        <v>#DIV/0!</v>
      </c>
      <c r="AG531" s="11" t="e">
        <f t="shared" si="40"/>
        <v>#DIV/0!</v>
      </c>
    </row>
    <row r="532" spans="2:33" ht="25.5" x14ac:dyDescent="0.25">
      <c r="B532" s="5">
        <v>526</v>
      </c>
      <c r="C532" s="6" t="s">
        <v>2571</v>
      </c>
      <c r="D532" s="5" t="s">
        <v>33</v>
      </c>
      <c r="E532" s="5" t="s">
        <v>2572</v>
      </c>
      <c r="F532" s="5" t="s">
        <v>2573</v>
      </c>
      <c r="G532" s="7" t="s">
        <v>36</v>
      </c>
      <c r="H532" s="17">
        <v>702740.64</v>
      </c>
      <c r="I532" s="7" t="s">
        <v>253</v>
      </c>
      <c r="J532" s="7" t="s">
        <v>254</v>
      </c>
      <c r="K532" s="7" t="s">
        <v>2574</v>
      </c>
      <c r="L532" s="52" t="s">
        <v>2575</v>
      </c>
      <c r="M532" s="10">
        <v>45322</v>
      </c>
      <c r="N532" s="5" t="s">
        <v>67</v>
      </c>
      <c r="O532" s="7" t="s">
        <v>89</v>
      </c>
      <c r="P532" s="7"/>
      <c r="Q532" s="39">
        <v>330</v>
      </c>
      <c r="R532" s="1"/>
      <c r="S532" s="1"/>
      <c r="T532" s="1"/>
      <c r="U532" s="1"/>
      <c r="V532" s="1">
        <v>340</v>
      </c>
      <c r="W532" s="1">
        <v>328</v>
      </c>
      <c r="X532" s="1"/>
      <c r="Y532" s="1"/>
      <c r="Z532" s="1"/>
      <c r="AA532" s="1"/>
      <c r="AB532" s="1"/>
      <c r="AC532" s="1"/>
      <c r="AD532" s="1"/>
      <c r="AE532" s="1">
        <f>COUNT(Q532:AD532)</f>
        <v>3</v>
      </c>
      <c r="AF532" s="1">
        <f t="shared" si="39"/>
        <v>332.66666666666669</v>
      </c>
      <c r="AG532" s="11" t="str">
        <f t="shared" si="40"/>
        <v>APROVADO</v>
      </c>
    </row>
    <row r="533" spans="2:33" ht="25.5" hidden="1" x14ac:dyDescent="0.25">
      <c r="B533" s="5">
        <v>527</v>
      </c>
      <c r="C533" s="6" t="s">
        <v>2576</v>
      </c>
      <c r="D533" s="5" t="s">
        <v>33</v>
      </c>
      <c r="E533" s="5" t="s">
        <v>2577</v>
      </c>
      <c r="F533" s="5" t="s">
        <v>2578</v>
      </c>
      <c r="G533" s="5" t="s">
        <v>107</v>
      </c>
      <c r="H533" s="17">
        <v>300000</v>
      </c>
      <c r="I533" s="7" t="s">
        <v>1637</v>
      </c>
      <c r="J533" s="7" t="s">
        <v>235</v>
      </c>
      <c r="K533" s="5" t="s">
        <v>2579</v>
      </c>
      <c r="L533" s="9" t="s">
        <v>2580</v>
      </c>
      <c r="M533" s="10">
        <v>45322</v>
      </c>
      <c r="N533" s="7" t="s">
        <v>67</v>
      </c>
      <c r="O533" s="7" t="s">
        <v>89</v>
      </c>
      <c r="P533" s="7" t="s">
        <v>90</v>
      </c>
      <c r="Q533" s="40">
        <v>298</v>
      </c>
      <c r="R533" s="1">
        <v>216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>
        <v>292</v>
      </c>
      <c r="AE533" s="1">
        <f>COUNT(Q533:AD533)</f>
        <v>3</v>
      </c>
      <c r="AF533" s="1">
        <f t="shared" si="39"/>
        <v>268.66666666666669</v>
      </c>
      <c r="AG533" s="11" t="str">
        <f t="shared" si="40"/>
        <v>APROVADO</v>
      </c>
    </row>
    <row r="534" spans="2:33" hidden="1" x14ac:dyDescent="0.25">
      <c r="B534" s="5">
        <v>528</v>
      </c>
      <c r="C534" s="16" t="s">
        <v>2581</v>
      </c>
      <c r="D534" s="5" t="s">
        <v>51</v>
      </c>
      <c r="E534" s="7" t="s">
        <v>2582</v>
      </c>
      <c r="F534" s="7" t="s">
        <v>2583</v>
      </c>
      <c r="G534" s="7" t="s">
        <v>36</v>
      </c>
      <c r="H534" s="28">
        <v>33600</v>
      </c>
      <c r="I534" s="13" t="s">
        <v>2584</v>
      </c>
      <c r="J534" s="11" t="s">
        <v>254</v>
      </c>
      <c r="K534" s="13" t="s">
        <v>2585</v>
      </c>
      <c r="L534" s="14" t="s">
        <v>2586</v>
      </c>
      <c r="M534" s="26">
        <v>45322</v>
      </c>
      <c r="N534" s="7" t="s">
        <v>82</v>
      </c>
      <c r="O534" s="14" t="s">
        <v>2587</v>
      </c>
      <c r="P534" s="1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0"/>
      <c r="AD534" s="20"/>
      <c r="AE534" s="20"/>
      <c r="AF534" s="1" t="e">
        <f t="shared" si="39"/>
        <v>#DIV/0!</v>
      </c>
      <c r="AG534" s="11" t="e">
        <f t="shared" si="40"/>
        <v>#DIV/0!</v>
      </c>
    </row>
    <row r="535" spans="2:33" hidden="1" x14ac:dyDescent="0.25">
      <c r="B535" s="5">
        <v>529</v>
      </c>
      <c r="C535" s="16" t="s">
        <v>2588</v>
      </c>
      <c r="D535" s="5" t="s">
        <v>51</v>
      </c>
      <c r="E535" s="7" t="s">
        <v>2582</v>
      </c>
      <c r="F535" s="7" t="s">
        <v>2589</v>
      </c>
      <c r="G535" s="7" t="s">
        <v>36</v>
      </c>
      <c r="H535" s="28">
        <v>432000</v>
      </c>
      <c r="I535" s="13" t="s">
        <v>2584</v>
      </c>
      <c r="J535" s="11" t="s">
        <v>254</v>
      </c>
      <c r="K535" s="13" t="s">
        <v>2585</v>
      </c>
      <c r="L535" s="14" t="s">
        <v>2586</v>
      </c>
      <c r="M535" s="26">
        <v>45322</v>
      </c>
      <c r="N535" s="7" t="s">
        <v>82</v>
      </c>
      <c r="O535" s="14" t="s">
        <v>2587</v>
      </c>
      <c r="P535" s="1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0"/>
      <c r="AD535" s="20"/>
      <c r="AE535" s="20"/>
      <c r="AF535" s="1" t="e">
        <f t="shared" si="39"/>
        <v>#DIV/0!</v>
      </c>
      <c r="AG535" s="11" t="e">
        <f t="shared" si="40"/>
        <v>#DIV/0!</v>
      </c>
    </row>
    <row r="536" spans="2:33" hidden="1" x14ac:dyDescent="0.25">
      <c r="B536" s="5">
        <v>530</v>
      </c>
      <c r="C536" s="16" t="s">
        <v>2590</v>
      </c>
      <c r="D536" s="5" t="s">
        <v>51</v>
      </c>
      <c r="E536" s="7" t="s">
        <v>2582</v>
      </c>
      <c r="F536" s="7" t="s">
        <v>2591</v>
      </c>
      <c r="G536" s="7" t="s">
        <v>36</v>
      </c>
      <c r="H536" s="28">
        <v>33600</v>
      </c>
      <c r="I536" s="13" t="s">
        <v>2584</v>
      </c>
      <c r="J536" s="11" t="s">
        <v>254</v>
      </c>
      <c r="K536" s="13" t="s">
        <v>2585</v>
      </c>
      <c r="L536" s="14" t="s">
        <v>2586</v>
      </c>
      <c r="M536" s="26">
        <v>45322</v>
      </c>
      <c r="N536" s="7" t="s">
        <v>82</v>
      </c>
      <c r="O536" s="14" t="s">
        <v>2587</v>
      </c>
      <c r="P536" s="1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0"/>
      <c r="AD536" s="20"/>
      <c r="AE536" s="20"/>
      <c r="AF536" s="1" t="e">
        <f t="shared" si="39"/>
        <v>#DIV/0!</v>
      </c>
      <c r="AG536" s="11" t="e">
        <f t="shared" si="40"/>
        <v>#DIV/0!</v>
      </c>
    </row>
    <row r="537" spans="2:33" ht="38.25" hidden="1" x14ac:dyDescent="0.25">
      <c r="B537" s="5">
        <v>531</v>
      </c>
      <c r="C537" s="6" t="s">
        <v>2592</v>
      </c>
      <c r="D537" s="5" t="s">
        <v>33</v>
      </c>
      <c r="E537" s="7" t="s">
        <v>2593</v>
      </c>
      <c r="F537" s="7" t="s">
        <v>2594</v>
      </c>
      <c r="G537" s="7" t="s">
        <v>300</v>
      </c>
      <c r="H537" s="8">
        <v>240000</v>
      </c>
      <c r="I537" s="7" t="s">
        <v>2595</v>
      </c>
      <c r="J537" s="7" t="s">
        <v>391</v>
      </c>
      <c r="K537" s="7" t="s">
        <v>2596</v>
      </c>
      <c r="L537" s="9" t="s">
        <v>2597</v>
      </c>
      <c r="M537" s="10">
        <v>45322</v>
      </c>
      <c r="N537" s="7" t="s">
        <v>67</v>
      </c>
      <c r="O537" s="7" t="s">
        <v>375</v>
      </c>
      <c r="P537" s="7"/>
      <c r="Q537" s="40">
        <v>289</v>
      </c>
      <c r="R537" s="1"/>
      <c r="S537" s="1"/>
      <c r="T537" s="1"/>
      <c r="U537" s="1"/>
      <c r="V537" s="1">
        <v>340</v>
      </c>
      <c r="W537" s="1"/>
      <c r="X537" s="1"/>
      <c r="Y537" s="1">
        <v>340</v>
      </c>
      <c r="Z537" s="1"/>
      <c r="AA537" s="1"/>
      <c r="AB537" s="1"/>
      <c r="AC537" s="1"/>
      <c r="AD537" s="1"/>
      <c r="AE537" s="1">
        <f>COUNT(Q537:AD537)</f>
        <v>3</v>
      </c>
      <c r="AF537" s="1">
        <f t="shared" si="39"/>
        <v>323</v>
      </c>
      <c r="AG537" s="11" t="str">
        <f t="shared" si="40"/>
        <v>APROVADO</v>
      </c>
    </row>
    <row r="538" spans="2:33" ht="25.5" hidden="1" x14ac:dyDescent="0.25">
      <c r="B538" s="5">
        <v>532</v>
      </c>
      <c r="C538" s="6" t="s">
        <v>2598</v>
      </c>
      <c r="D538" s="5" t="s">
        <v>33</v>
      </c>
      <c r="E538" s="5" t="s">
        <v>2593</v>
      </c>
      <c r="F538" s="5" t="s">
        <v>2599</v>
      </c>
      <c r="G538" s="5" t="s">
        <v>62</v>
      </c>
      <c r="H538" s="8">
        <v>2737957.34</v>
      </c>
      <c r="I538" s="7" t="s">
        <v>2595</v>
      </c>
      <c r="J538" s="7" t="s">
        <v>391</v>
      </c>
      <c r="K538" s="7" t="s">
        <v>2596</v>
      </c>
      <c r="L538" s="9" t="s">
        <v>2597</v>
      </c>
      <c r="M538" s="10">
        <v>45322</v>
      </c>
      <c r="N538" s="5" t="s">
        <v>67</v>
      </c>
      <c r="O538" s="7" t="s">
        <v>375</v>
      </c>
      <c r="P538" s="7"/>
      <c r="Q538" s="39">
        <v>332</v>
      </c>
      <c r="R538" s="1"/>
      <c r="S538" s="1"/>
      <c r="T538" s="1"/>
      <c r="U538" s="1"/>
      <c r="V538" s="1"/>
      <c r="W538" s="1"/>
      <c r="X538" s="1">
        <v>328</v>
      </c>
      <c r="Y538" s="1">
        <v>305</v>
      </c>
      <c r="Z538" s="1"/>
      <c r="AA538" s="1"/>
      <c r="AB538" s="1"/>
      <c r="AC538" s="1"/>
      <c r="AD538" s="1"/>
      <c r="AE538" s="1">
        <f>COUNT(Q538:AD538)</f>
        <v>3</v>
      </c>
      <c r="AF538" s="1">
        <f t="shared" si="39"/>
        <v>321.66666666666669</v>
      </c>
      <c r="AG538" s="11" t="str">
        <f t="shared" si="40"/>
        <v>APROVADO</v>
      </c>
    </row>
    <row r="539" spans="2:33" ht="25.5" hidden="1" x14ac:dyDescent="0.25">
      <c r="B539" s="5">
        <v>533</v>
      </c>
      <c r="C539" s="16" t="s">
        <v>2600</v>
      </c>
      <c r="D539" s="5" t="s">
        <v>33</v>
      </c>
      <c r="E539" s="7" t="s">
        <v>2593</v>
      </c>
      <c r="F539" s="7" t="s">
        <v>2601</v>
      </c>
      <c r="G539" s="5" t="s">
        <v>62</v>
      </c>
      <c r="H539" s="8">
        <v>572385</v>
      </c>
      <c r="I539" s="7" t="s">
        <v>2595</v>
      </c>
      <c r="J539" s="7" t="s">
        <v>391</v>
      </c>
      <c r="K539" s="7" t="s">
        <v>2596</v>
      </c>
      <c r="L539" s="9" t="s">
        <v>2597</v>
      </c>
      <c r="M539" s="10">
        <v>45322</v>
      </c>
      <c r="N539" s="7" t="s">
        <v>82</v>
      </c>
      <c r="O539" s="7" t="s">
        <v>845</v>
      </c>
      <c r="P539" s="7"/>
      <c r="Q539" s="40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 t="e">
        <f t="shared" si="39"/>
        <v>#DIV/0!</v>
      </c>
      <c r="AG539" s="11" t="e">
        <f t="shared" si="40"/>
        <v>#DIV/0!</v>
      </c>
    </row>
    <row r="540" spans="2:33" ht="25.5" hidden="1" x14ac:dyDescent="0.25">
      <c r="B540" s="5">
        <v>534</v>
      </c>
      <c r="C540" s="6" t="s">
        <v>2602</v>
      </c>
      <c r="D540" s="5" t="s">
        <v>33</v>
      </c>
      <c r="E540" s="7" t="s">
        <v>2593</v>
      </c>
      <c r="F540" s="7" t="s">
        <v>2603</v>
      </c>
      <c r="G540" s="5" t="s">
        <v>62</v>
      </c>
      <c r="H540" s="8">
        <v>4872240</v>
      </c>
      <c r="I540" s="7" t="s">
        <v>2595</v>
      </c>
      <c r="J540" s="7" t="s">
        <v>391</v>
      </c>
      <c r="K540" s="7" t="s">
        <v>2596</v>
      </c>
      <c r="L540" s="9" t="s">
        <v>2597</v>
      </c>
      <c r="M540" s="10">
        <v>45322</v>
      </c>
      <c r="N540" s="7" t="s">
        <v>67</v>
      </c>
      <c r="O540" s="7" t="s">
        <v>359</v>
      </c>
      <c r="P540" s="7"/>
      <c r="Q540" s="40">
        <v>305</v>
      </c>
      <c r="R540" s="1"/>
      <c r="S540" s="1"/>
      <c r="T540" s="1"/>
      <c r="U540" s="1"/>
      <c r="V540" s="1">
        <v>340</v>
      </c>
      <c r="W540" s="1">
        <v>313</v>
      </c>
      <c r="X540" s="1"/>
      <c r="Y540" s="1"/>
      <c r="Z540" s="1"/>
      <c r="AA540" s="1"/>
      <c r="AB540" s="1"/>
      <c r="AC540" s="1"/>
      <c r="AD540" s="1"/>
      <c r="AE540" s="1">
        <f>COUNT(Q540:AD540)</f>
        <v>3</v>
      </c>
      <c r="AF540" s="1">
        <f t="shared" si="39"/>
        <v>319.33333333333331</v>
      </c>
      <c r="AG540" s="11" t="str">
        <f t="shared" si="40"/>
        <v>APROVADO</v>
      </c>
    </row>
    <row r="541" spans="2:33" ht="38.25" hidden="1" x14ac:dyDescent="0.25">
      <c r="B541" s="5">
        <v>535</v>
      </c>
      <c r="C541" s="6" t="s">
        <v>2604</v>
      </c>
      <c r="D541" s="5" t="s">
        <v>51</v>
      </c>
      <c r="E541" s="7" t="s">
        <v>2450</v>
      </c>
      <c r="F541" s="7" t="s">
        <v>2605</v>
      </c>
      <c r="G541" s="7" t="s">
        <v>36</v>
      </c>
      <c r="H541" s="28">
        <v>125000</v>
      </c>
      <c r="I541" s="13" t="s">
        <v>2606</v>
      </c>
      <c r="J541" s="11" t="s">
        <v>64</v>
      </c>
      <c r="K541" s="7" t="s">
        <v>2607</v>
      </c>
      <c r="L541" s="7" t="s">
        <v>2608</v>
      </c>
      <c r="M541" s="26">
        <v>45322</v>
      </c>
      <c r="N541" s="13" t="s">
        <v>57</v>
      </c>
      <c r="O541" s="14" t="s">
        <v>2609</v>
      </c>
      <c r="P541" s="13"/>
      <c r="Q541" s="1">
        <v>281</v>
      </c>
      <c r="R541" s="1"/>
      <c r="S541" s="1"/>
      <c r="T541" s="1"/>
      <c r="U541" s="1"/>
      <c r="V541" s="1"/>
      <c r="W541" s="1"/>
      <c r="X541" s="1">
        <v>313</v>
      </c>
      <c r="Y541" s="1">
        <v>313</v>
      </c>
      <c r="Z541" s="1"/>
      <c r="AA541" s="1"/>
      <c r="AB541" s="1"/>
      <c r="AC541" s="20"/>
      <c r="AD541" s="20"/>
      <c r="AE541" s="1">
        <f>COUNT(Q541:AD541)</f>
        <v>3</v>
      </c>
      <c r="AF541" s="1">
        <f t="shared" si="39"/>
        <v>302.33333333333331</v>
      </c>
      <c r="AG541" s="11" t="str">
        <f t="shared" si="40"/>
        <v>APROVADO</v>
      </c>
    </row>
    <row r="542" spans="2:33" ht="38.25" hidden="1" x14ac:dyDescent="0.25">
      <c r="B542" s="5">
        <v>536</v>
      </c>
      <c r="C542" s="6" t="s">
        <v>2610</v>
      </c>
      <c r="D542" s="5" t="s">
        <v>33</v>
      </c>
      <c r="E542" s="7" t="s">
        <v>2611</v>
      </c>
      <c r="F542" s="7" t="s">
        <v>2612</v>
      </c>
      <c r="G542" s="7" t="s">
        <v>107</v>
      </c>
      <c r="H542" s="8">
        <v>406060</v>
      </c>
      <c r="I542" s="7" t="s">
        <v>73</v>
      </c>
      <c r="J542" s="5" t="s">
        <v>74</v>
      </c>
      <c r="K542" s="7" t="s">
        <v>2613</v>
      </c>
      <c r="L542" s="9" t="s">
        <v>2614</v>
      </c>
      <c r="M542" s="10">
        <v>45322</v>
      </c>
      <c r="N542" s="7" t="s">
        <v>67</v>
      </c>
      <c r="O542" s="7" t="s">
        <v>68</v>
      </c>
      <c r="P542" s="7"/>
      <c r="Q542" s="40">
        <v>235</v>
      </c>
      <c r="R542" s="1"/>
      <c r="S542" s="1">
        <v>245</v>
      </c>
      <c r="T542" s="1"/>
      <c r="U542" s="1"/>
      <c r="V542" s="1"/>
      <c r="W542" s="1"/>
      <c r="X542" s="1">
        <v>245</v>
      </c>
      <c r="Y542" s="1"/>
      <c r="Z542" s="1"/>
      <c r="AA542" s="1"/>
      <c r="AB542" s="1"/>
      <c r="AC542" s="1"/>
      <c r="AD542" s="1"/>
      <c r="AE542" s="1">
        <f>COUNT(Q542:AD542)</f>
        <v>3</v>
      </c>
      <c r="AF542" s="1">
        <f t="shared" si="39"/>
        <v>241.66666666666666</v>
      </c>
      <c r="AG542" s="11" t="str">
        <f t="shared" si="40"/>
        <v>APROVADO</v>
      </c>
    </row>
    <row r="543" spans="2:33" ht="38.25" hidden="1" x14ac:dyDescent="0.25">
      <c r="B543" s="5">
        <v>537</v>
      </c>
      <c r="C543" s="6" t="s">
        <v>2615</v>
      </c>
      <c r="D543" s="5" t="s">
        <v>33</v>
      </c>
      <c r="E543" s="7" t="s">
        <v>2611</v>
      </c>
      <c r="F543" s="7" t="s">
        <v>2616</v>
      </c>
      <c r="G543" s="7" t="s">
        <v>107</v>
      </c>
      <c r="H543" s="8">
        <v>451456</v>
      </c>
      <c r="I543" s="7" t="s">
        <v>73</v>
      </c>
      <c r="J543" s="5" t="s">
        <v>74</v>
      </c>
      <c r="K543" s="7" t="s">
        <v>2613</v>
      </c>
      <c r="L543" s="9" t="s">
        <v>2614</v>
      </c>
      <c r="M543" s="10">
        <v>45322</v>
      </c>
      <c r="N543" s="7" t="s">
        <v>67</v>
      </c>
      <c r="O543" s="7" t="s">
        <v>68</v>
      </c>
      <c r="P543" s="7"/>
      <c r="Q543" s="40">
        <v>235</v>
      </c>
      <c r="R543" s="1"/>
      <c r="S543" s="1">
        <v>247</v>
      </c>
      <c r="T543" s="1"/>
      <c r="U543" s="1"/>
      <c r="V543" s="1"/>
      <c r="W543" s="1"/>
      <c r="X543" s="1">
        <v>258</v>
      </c>
      <c r="Y543" s="1"/>
      <c r="Z543" s="1"/>
      <c r="AA543" s="1"/>
      <c r="AB543" s="1"/>
      <c r="AC543" s="1"/>
      <c r="AD543" s="1"/>
      <c r="AE543" s="1">
        <f>COUNT(Q543:AD543)</f>
        <v>3</v>
      </c>
      <c r="AF543" s="1">
        <f t="shared" si="39"/>
        <v>246.66666666666666</v>
      </c>
      <c r="AG543" s="11" t="str">
        <f t="shared" si="40"/>
        <v>APROVADO</v>
      </c>
    </row>
    <row r="544" spans="2:33" ht="38.25" hidden="1" x14ac:dyDescent="0.25">
      <c r="B544" s="5">
        <v>538</v>
      </c>
      <c r="C544" s="6" t="s">
        <v>2617</v>
      </c>
      <c r="D544" s="5" t="s">
        <v>33</v>
      </c>
      <c r="E544" s="7" t="s">
        <v>2611</v>
      </c>
      <c r="F544" s="7" t="s">
        <v>2618</v>
      </c>
      <c r="G544" s="7" t="s">
        <v>107</v>
      </c>
      <c r="H544" s="8">
        <v>356288</v>
      </c>
      <c r="I544" s="7" t="s">
        <v>73</v>
      </c>
      <c r="J544" s="5" t="s">
        <v>74</v>
      </c>
      <c r="K544" s="7" t="s">
        <v>2613</v>
      </c>
      <c r="L544" s="9" t="s">
        <v>2614</v>
      </c>
      <c r="M544" s="10">
        <v>45322</v>
      </c>
      <c r="N544" s="7" t="s">
        <v>67</v>
      </c>
      <c r="O544" s="7" t="s">
        <v>68</v>
      </c>
      <c r="P544" s="7"/>
      <c r="Q544" s="40">
        <v>235</v>
      </c>
      <c r="R544" s="1"/>
      <c r="S544" s="1">
        <v>237</v>
      </c>
      <c r="T544" s="1"/>
      <c r="U544" s="1"/>
      <c r="V544" s="1"/>
      <c r="W544" s="1"/>
      <c r="X544" s="1">
        <v>262</v>
      </c>
      <c r="Y544" s="1"/>
      <c r="Z544" s="1"/>
      <c r="AA544" s="1"/>
      <c r="AB544" s="1"/>
      <c r="AC544" s="1"/>
      <c r="AD544" s="1"/>
      <c r="AE544" s="1">
        <f>COUNT(Q544:AD544)</f>
        <v>3</v>
      </c>
      <c r="AF544" s="1">
        <f t="shared" si="39"/>
        <v>244.66666666666666</v>
      </c>
      <c r="AG544" s="11" t="str">
        <f t="shared" si="40"/>
        <v>APROVADO</v>
      </c>
    </row>
    <row r="545" spans="2:33" ht="25.5" hidden="1" x14ac:dyDescent="0.25">
      <c r="B545" s="5">
        <v>539</v>
      </c>
      <c r="C545" s="16" t="s">
        <v>2619</v>
      </c>
      <c r="D545" s="5" t="s">
        <v>33</v>
      </c>
      <c r="E545" s="7" t="s">
        <v>2620</v>
      </c>
      <c r="F545" s="7" t="s">
        <v>2621</v>
      </c>
      <c r="G545" s="7" t="s">
        <v>36</v>
      </c>
      <c r="H545" s="8">
        <v>711219.24</v>
      </c>
      <c r="I545" s="7" t="s">
        <v>73</v>
      </c>
      <c r="J545" s="5" t="s">
        <v>74</v>
      </c>
      <c r="K545" s="7" t="s">
        <v>2622</v>
      </c>
      <c r="L545" s="9" t="s">
        <v>2623</v>
      </c>
      <c r="M545" s="10">
        <v>45322</v>
      </c>
      <c r="N545" s="7" t="s">
        <v>82</v>
      </c>
      <c r="O545" s="7" t="s">
        <v>83</v>
      </c>
      <c r="P545" s="7"/>
      <c r="Q545" s="40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 t="e">
        <f t="shared" si="39"/>
        <v>#DIV/0!</v>
      </c>
      <c r="AG545" s="11" t="e">
        <f t="shared" si="40"/>
        <v>#DIV/0!</v>
      </c>
    </row>
    <row r="546" spans="2:33" ht="38.25" hidden="1" x14ac:dyDescent="0.25">
      <c r="B546" s="5">
        <v>540</v>
      </c>
      <c r="C546" s="16" t="s">
        <v>2624</v>
      </c>
      <c r="D546" s="5" t="s">
        <v>33</v>
      </c>
      <c r="E546" s="7" t="s">
        <v>2625</v>
      </c>
      <c r="F546" s="7" t="s">
        <v>2626</v>
      </c>
      <c r="G546" s="7" t="s">
        <v>36</v>
      </c>
      <c r="H546" s="8">
        <v>262359</v>
      </c>
      <c r="I546" s="7" t="s">
        <v>2627</v>
      </c>
      <c r="J546" s="7" t="s">
        <v>95</v>
      </c>
      <c r="K546" s="7" t="s">
        <v>2628</v>
      </c>
      <c r="L546" s="9" t="s">
        <v>2629</v>
      </c>
      <c r="M546" s="10">
        <v>45322</v>
      </c>
      <c r="N546" s="7" t="s">
        <v>226</v>
      </c>
      <c r="O546" s="7" t="s">
        <v>600</v>
      </c>
      <c r="P546" s="7"/>
      <c r="Q546" s="40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 t="e">
        <f t="shared" si="39"/>
        <v>#DIV/0!</v>
      </c>
      <c r="AG546" s="11" t="e">
        <f t="shared" si="40"/>
        <v>#DIV/0!</v>
      </c>
    </row>
    <row r="547" spans="2:33" ht="38.25" hidden="1" x14ac:dyDescent="0.25">
      <c r="B547" s="5">
        <v>541</v>
      </c>
      <c r="C547" s="6" t="s">
        <v>2630</v>
      </c>
      <c r="D547" s="5" t="s">
        <v>33</v>
      </c>
      <c r="E547" s="7" t="s">
        <v>2625</v>
      </c>
      <c r="F547" s="7" t="s">
        <v>2631</v>
      </c>
      <c r="G547" s="7" t="s">
        <v>36</v>
      </c>
      <c r="H547" s="8">
        <v>101246.7</v>
      </c>
      <c r="I547" s="7" t="s">
        <v>2627</v>
      </c>
      <c r="J547" s="7" t="s">
        <v>95</v>
      </c>
      <c r="K547" s="7" t="s">
        <v>2628</v>
      </c>
      <c r="L547" s="9" t="s">
        <v>2629</v>
      </c>
      <c r="M547" s="10">
        <v>45322</v>
      </c>
      <c r="N547" s="7" t="s">
        <v>67</v>
      </c>
      <c r="O547" s="7" t="s">
        <v>68</v>
      </c>
      <c r="P547" s="7"/>
      <c r="Q547" s="40">
        <v>340</v>
      </c>
      <c r="R547" s="1"/>
      <c r="S547" s="1"/>
      <c r="T547" s="1"/>
      <c r="U547" s="1"/>
      <c r="V547" s="1">
        <v>340</v>
      </c>
      <c r="W547" s="1">
        <v>340</v>
      </c>
      <c r="X547" s="1"/>
      <c r="Y547" s="1"/>
      <c r="Z547" s="1"/>
      <c r="AA547" s="1"/>
      <c r="AB547" s="1"/>
      <c r="AC547" s="1"/>
      <c r="AD547" s="1"/>
      <c r="AE547" s="1">
        <f>COUNT(Q547:AD547)</f>
        <v>3</v>
      </c>
      <c r="AF547" s="1">
        <f t="shared" si="39"/>
        <v>340</v>
      </c>
      <c r="AG547" s="11" t="str">
        <f t="shared" si="40"/>
        <v>APROVADO</v>
      </c>
    </row>
    <row r="548" spans="2:33" ht="38.25" hidden="1" x14ac:dyDescent="0.25">
      <c r="B548" s="5">
        <v>542</v>
      </c>
      <c r="C548" s="6" t="s">
        <v>2632</v>
      </c>
      <c r="D548" s="5" t="s">
        <v>33</v>
      </c>
      <c r="E548" s="7" t="s">
        <v>2625</v>
      </c>
      <c r="F548" s="7" t="s">
        <v>2633</v>
      </c>
      <c r="G548" s="7" t="s">
        <v>36</v>
      </c>
      <c r="H548" s="8">
        <v>75658.17</v>
      </c>
      <c r="I548" s="7" t="s">
        <v>2627</v>
      </c>
      <c r="J548" s="7" t="s">
        <v>95</v>
      </c>
      <c r="K548" s="7" t="s">
        <v>2628</v>
      </c>
      <c r="L548" s="9" t="s">
        <v>2629</v>
      </c>
      <c r="M548" s="10">
        <v>45322</v>
      </c>
      <c r="N548" s="7" t="s">
        <v>67</v>
      </c>
      <c r="O548" s="7" t="s">
        <v>68</v>
      </c>
      <c r="P548" s="7"/>
      <c r="Q548" s="40">
        <v>340</v>
      </c>
      <c r="R548" s="1"/>
      <c r="S548" s="1"/>
      <c r="T548" s="1"/>
      <c r="U548" s="1"/>
      <c r="V548" s="1">
        <v>340</v>
      </c>
      <c r="W548" s="1">
        <v>340</v>
      </c>
      <c r="X548" s="1"/>
      <c r="Y548" s="1"/>
      <c r="Z548" s="1"/>
      <c r="AA548" s="1"/>
      <c r="AB548" s="1"/>
      <c r="AC548" s="1"/>
      <c r="AD548" s="1"/>
      <c r="AE548" s="1">
        <f>COUNT(Q548:AD548)</f>
        <v>3</v>
      </c>
      <c r="AF548" s="1">
        <f t="shared" si="39"/>
        <v>340</v>
      </c>
      <c r="AG548" s="11" t="str">
        <f t="shared" si="40"/>
        <v>APROVADO</v>
      </c>
    </row>
    <row r="549" spans="2:33" ht="25.5" hidden="1" x14ac:dyDescent="0.25">
      <c r="B549" s="5">
        <v>543</v>
      </c>
      <c r="C549" s="16" t="s">
        <v>2634</v>
      </c>
      <c r="D549" s="5" t="s">
        <v>33</v>
      </c>
      <c r="E549" s="7" t="s">
        <v>2635</v>
      </c>
      <c r="F549" s="7" t="s">
        <v>2636</v>
      </c>
      <c r="G549" s="7" t="s">
        <v>36</v>
      </c>
      <c r="H549" s="8">
        <v>500000</v>
      </c>
      <c r="I549" s="7" t="s">
        <v>2436</v>
      </c>
      <c r="J549" s="7" t="s">
        <v>254</v>
      </c>
      <c r="K549" s="7" t="s">
        <v>2637</v>
      </c>
      <c r="L549" s="9" t="s">
        <v>2638</v>
      </c>
      <c r="M549" s="10">
        <v>45322</v>
      </c>
      <c r="N549" s="7" t="s">
        <v>82</v>
      </c>
      <c r="O549" s="7" t="s">
        <v>845</v>
      </c>
      <c r="P549" s="9"/>
      <c r="Q549" s="40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 t="e">
        <f t="shared" si="39"/>
        <v>#DIV/0!</v>
      </c>
      <c r="AG549" s="11" t="e">
        <f t="shared" si="40"/>
        <v>#DIV/0!</v>
      </c>
    </row>
    <row r="550" spans="2:33" ht="25.5" hidden="1" x14ac:dyDescent="0.25">
      <c r="B550" s="5">
        <v>544</v>
      </c>
      <c r="C550" s="6" t="s">
        <v>2639</v>
      </c>
      <c r="D550" s="5" t="s">
        <v>33</v>
      </c>
      <c r="E550" s="5" t="s">
        <v>2640</v>
      </c>
      <c r="F550" s="5" t="s">
        <v>2641</v>
      </c>
      <c r="G550" s="7" t="s">
        <v>107</v>
      </c>
      <c r="H550" s="8">
        <v>606000</v>
      </c>
      <c r="I550" s="7" t="s">
        <v>73</v>
      </c>
      <c r="J550" s="5" t="s">
        <v>74</v>
      </c>
      <c r="K550" s="5" t="s">
        <v>2642</v>
      </c>
      <c r="L550" s="31" t="s">
        <v>2643</v>
      </c>
      <c r="M550" s="10">
        <v>45322</v>
      </c>
      <c r="N550" s="5" t="s">
        <v>67</v>
      </c>
      <c r="O550" s="7" t="s">
        <v>89</v>
      </c>
      <c r="P550" s="7" t="s">
        <v>2644</v>
      </c>
      <c r="Q550" s="39">
        <v>240</v>
      </c>
      <c r="R550" s="1"/>
      <c r="S550" s="1"/>
      <c r="T550" s="1"/>
      <c r="U550" s="1"/>
      <c r="V550" s="1"/>
      <c r="W550" s="1"/>
      <c r="X550" s="1">
        <v>303</v>
      </c>
      <c r="Y550" s="1">
        <v>304</v>
      </c>
      <c r="Z550" s="1"/>
      <c r="AA550" s="1"/>
      <c r="AB550" s="1"/>
      <c r="AC550" s="1"/>
      <c r="AD550" s="1"/>
      <c r="AE550" s="1">
        <f t="shared" ref="AE550:AE564" si="41">COUNT(Q550:AD550)</f>
        <v>3</v>
      </c>
      <c r="AF550" s="1">
        <f t="shared" si="39"/>
        <v>282.33333333333331</v>
      </c>
      <c r="AG550" s="11" t="str">
        <f t="shared" si="40"/>
        <v>APROVADO</v>
      </c>
    </row>
    <row r="551" spans="2:33" ht="25.5" hidden="1" x14ac:dyDescent="0.25">
      <c r="B551" s="5">
        <v>545</v>
      </c>
      <c r="C551" s="6" t="s">
        <v>2645</v>
      </c>
      <c r="D551" s="5" t="s">
        <v>33</v>
      </c>
      <c r="E551" s="5" t="s">
        <v>2640</v>
      </c>
      <c r="F551" s="5" t="s">
        <v>2646</v>
      </c>
      <c r="G551" s="5" t="s">
        <v>107</v>
      </c>
      <c r="H551" s="17">
        <v>1308000</v>
      </c>
      <c r="I551" s="7" t="s">
        <v>73</v>
      </c>
      <c r="J551" s="5" t="s">
        <v>74</v>
      </c>
      <c r="K551" s="5" t="s">
        <v>2642</v>
      </c>
      <c r="L551" s="9" t="s">
        <v>2643</v>
      </c>
      <c r="M551" s="10">
        <v>45322</v>
      </c>
      <c r="N551" s="5" t="s">
        <v>67</v>
      </c>
      <c r="O551" s="7" t="s">
        <v>89</v>
      </c>
      <c r="P551" s="7" t="s">
        <v>2644</v>
      </c>
      <c r="Q551" s="39">
        <v>236</v>
      </c>
      <c r="R551" s="1"/>
      <c r="S551" s="1"/>
      <c r="T551" s="1"/>
      <c r="U551" s="1"/>
      <c r="V551" s="1"/>
      <c r="W551" s="1"/>
      <c r="X551" s="1">
        <v>308</v>
      </c>
      <c r="Y551" s="1">
        <v>303</v>
      </c>
      <c r="Z551" s="1"/>
      <c r="AA551" s="1"/>
      <c r="AB551" s="1"/>
      <c r="AC551" s="1"/>
      <c r="AD551" s="1"/>
      <c r="AE551" s="1">
        <f t="shared" si="41"/>
        <v>3</v>
      </c>
      <c r="AF551" s="1">
        <f t="shared" si="39"/>
        <v>282.33333333333331</v>
      </c>
      <c r="AG551" s="11" t="str">
        <f t="shared" si="40"/>
        <v>APROVADO</v>
      </c>
    </row>
    <row r="552" spans="2:33" ht="25.5" hidden="1" x14ac:dyDescent="0.25">
      <c r="B552" s="5">
        <v>546</v>
      </c>
      <c r="C552" s="6" t="s">
        <v>2647</v>
      </c>
      <c r="D552" s="5" t="s">
        <v>33</v>
      </c>
      <c r="E552" s="5" t="s">
        <v>2640</v>
      </c>
      <c r="F552" s="5" t="s">
        <v>2648</v>
      </c>
      <c r="G552" s="5" t="s">
        <v>107</v>
      </c>
      <c r="H552" s="17">
        <v>1765500</v>
      </c>
      <c r="I552" s="7" t="s">
        <v>73</v>
      </c>
      <c r="J552" s="5" t="s">
        <v>74</v>
      </c>
      <c r="K552" s="5" t="s">
        <v>2642</v>
      </c>
      <c r="L552" s="9" t="s">
        <v>2643</v>
      </c>
      <c r="M552" s="10">
        <v>45322</v>
      </c>
      <c r="N552" s="5" t="s">
        <v>67</v>
      </c>
      <c r="O552" s="7" t="s">
        <v>89</v>
      </c>
      <c r="P552" s="7" t="s">
        <v>2644</v>
      </c>
      <c r="Q552" s="39">
        <v>167</v>
      </c>
      <c r="R552" s="1"/>
      <c r="S552" s="1"/>
      <c r="T552" s="1"/>
      <c r="U552" s="1"/>
      <c r="V552" s="1"/>
      <c r="W552" s="1"/>
      <c r="X552" s="1">
        <v>303</v>
      </c>
      <c r="Y552" s="1">
        <v>303</v>
      </c>
      <c r="Z552" s="1"/>
      <c r="AA552" s="1"/>
      <c r="AB552" s="1"/>
      <c r="AC552" s="1"/>
      <c r="AD552" s="1"/>
      <c r="AE552" s="1">
        <f t="shared" si="41"/>
        <v>3</v>
      </c>
      <c r="AF552" s="1">
        <f t="shared" si="39"/>
        <v>257.66666666666669</v>
      </c>
      <c r="AG552" s="11" t="str">
        <f t="shared" si="40"/>
        <v>APROVADO</v>
      </c>
    </row>
    <row r="553" spans="2:33" ht="25.5" hidden="1" x14ac:dyDescent="0.25">
      <c r="B553" s="5">
        <v>547</v>
      </c>
      <c r="C553" s="6" t="s">
        <v>2649</v>
      </c>
      <c r="D553" s="5" t="s">
        <v>33</v>
      </c>
      <c r="E553" s="5" t="s">
        <v>2650</v>
      </c>
      <c r="F553" s="5" t="s">
        <v>2651</v>
      </c>
      <c r="G553" s="7" t="s">
        <v>107</v>
      </c>
      <c r="H553" s="8">
        <v>1308000</v>
      </c>
      <c r="I553" s="7" t="s">
        <v>73</v>
      </c>
      <c r="J553" s="5" t="s">
        <v>74</v>
      </c>
      <c r="K553" s="7" t="s">
        <v>2652</v>
      </c>
      <c r="L553" s="31" t="s">
        <v>2653</v>
      </c>
      <c r="M553" s="10">
        <v>45322</v>
      </c>
      <c r="N553" s="5" t="s">
        <v>67</v>
      </c>
      <c r="O553" s="7" t="s">
        <v>89</v>
      </c>
      <c r="P553" s="7" t="s">
        <v>68</v>
      </c>
      <c r="Q553" s="39">
        <v>296</v>
      </c>
      <c r="R553" s="1"/>
      <c r="S553" s="1"/>
      <c r="T553" s="1"/>
      <c r="U553" s="1"/>
      <c r="V553" s="1"/>
      <c r="W553" s="1"/>
      <c r="X553" s="1">
        <v>314</v>
      </c>
      <c r="Y553" s="1">
        <v>313</v>
      </c>
      <c r="Z553" s="1"/>
      <c r="AA553" s="1"/>
      <c r="AB553" s="1"/>
      <c r="AC553" s="1"/>
      <c r="AD553" s="1"/>
      <c r="AE553" s="1">
        <f t="shared" si="41"/>
        <v>3</v>
      </c>
      <c r="AF553" s="1">
        <f t="shared" si="39"/>
        <v>307.66666666666669</v>
      </c>
      <c r="AG553" s="11" t="str">
        <f t="shared" si="40"/>
        <v>APROVADO</v>
      </c>
    </row>
    <row r="554" spans="2:33" ht="25.5" hidden="1" x14ac:dyDescent="0.25">
      <c r="B554" s="5">
        <v>548</v>
      </c>
      <c r="C554" s="6" t="s">
        <v>2654</v>
      </c>
      <c r="D554" s="5" t="s">
        <v>33</v>
      </c>
      <c r="E554" s="5" t="s">
        <v>2650</v>
      </c>
      <c r="F554" s="5" t="s">
        <v>2655</v>
      </c>
      <c r="G554" s="7" t="s">
        <v>107</v>
      </c>
      <c r="H554" s="8">
        <v>1765500</v>
      </c>
      <c r="I554" s="7" t="s">
        <v>73</v>
      </c>
      <c r="J554" s="5" t="s">
        <v>74</v>
      </c>
      <c r="K554" s="7" t="s">
        <v>2656</v>
      </c>
      <c r="L554" s="9" t="s">
        <v>2653</v>
      </c>
      <c r="M554" s="10">
        <v>45322</v>
      </c>
      <c r="N554" s="5" t="s">
        <v>67</v>
      </c>
      <c r="O554" s="7" t="s">
        <v>89</v>
      </c>
      <c r="P554" s="7" t="s">
        <v>68</v>
      </c>
      <c r="Q554" s="39">
        <v>287</v>
      </c>
      <c r="R554" s="1"/>
      <c r="S554" s="1"/>
      <c r="T554" s="1"/>
      <c r="U554" s="1"/>
      <c r="V554" s="1">
        <v>298</v>
      </c>
      <c r="W554" s="1">
        <v>285</v>
      </c>
      <c r="X554" s="1"/>
      <c r="Y554" s="1"/>
      <c r="Z554" s="1"/>
      <c r="AA554" s="1"/>
      <c r="AB554" s="1"/>
      <c r="AC554" s="1"/>
      <c r="AD554" s="1"/>
      <c r="AE554" s="1">
        <f t="shared" si="41"/>
        <v>3</v>
      </c>
      <c r="AF554" s="1">
        <f t="shared" si="39"/>
        <v>290</v>
      </c>
      <c r="AG554" s="11" t="str">
        <f t="shared" si="40"/>
        <v>APROVADO</v>
      </c>
    </row>
    <row r="555" spans="2:33" ht="25.5" hidden="1" x14ac:dyDescent="0.25">
      <c r="B555" s="5">
        <v>549</v>
      </c>
      <c r="C555" s="6" t="s">
        <v>2657</v>
      </c>
      <c r="D555" s="5" t="s">
        <v>33</v>
      </c>
      <c r="E555" s="5" t="s">
        <v>2650</v>
      </c>
      <c r="F555" s="5" t="s">
        <v>2658</v>
      </c>
      <c r="G555" s="7" t="s">
        <v>107</v>
      </c>
      <c r="H555" s="8">
        <v>606000</v>
      </c>
      <c r="I555" s="7" t="s">
        <v>73</v>
      </c>
      <c r="J555" s="5" t="s">
        <v>74</v>
      </c>
      <c r="K555" s="7" t="s">
        <v>2656</v>
      </c>
      <c r="L555" s="9" t="s">
        <v>2653</v>
      </c>
      <c r="M555" s="10">
        <v>45322</v>
      </c>
      <c r="N555" s="5" t="s">
        <v>67</v>
      </c>
      <c r="O555" s="7" t="s">
        <v>89</v>
      </c>
      <c r="P555" s="7" t="s">
        <v>68</v>
      </c>
      <c r="Q555" s="39">
        <v>301</v>
      </c>
      <c r="R555" s="1"/>
      <c r="S555" s="1"/>
      <c r="T555" s="1"/>
      <c r="U555" s="1"/>
      <c r="V555" s="1">
        <v>301</v>
      </c>
      <c r="W555" s="1">
        <v>271</v>
      </c>
      <c r="X555" s="1"/>
      <c r="Y555" s="1"/>
      <c r="Z555" s="1"/>
      <c r="AA555" s="1"/>
      <c r="AB555" s="1"/>
      <c r="AC555" s="1"/>
      <c r="AD555" s="1"/>
      <c r="AE555" s="1">
        <f t="shared" si="41"/>
        <v>3</v>
      </c>
      <c r="AF555" s="1">
        <f t="shared" si="39"/>
        <v>291</v>
      </c>
      <c r="AG555" s="11" t="str">
        <f t="shared" si="40"/>
        <v>APROVADO</v>
      </c>
    </row>
    <row r="556" spans="2:33" ht="38.25" hidden="1" x14ac:dyDescent="0.25">
      <c r="B556" s="5">
        <v>550</v>
      </c>
      <c r="C556" s="6" t="s">
        <v>2659</v>
      </c>
      <c r="D556" s="5" t="s">
        <v>33</v>
      </c>
      <c r="E556" s="7" t="s">
        <v>2660</v>
      </c>
      <c r="F556" s="7" t="s">
        <v>2661</v>
      </c>
      <c r="G556" s="7" t="s">
        <v>107</v>
      </c>
      <c r="H556" s="8">
        <v>378996</v>
      </c>
      <c r="I556" s="7" t="s">
        <v>73</v>
      </c>
      <c r="J556" s="5" t="s">
        <v>74</v>
      </c>
      <c r="K556" s="7" t="s">
        <v>2662</v>
      </c>
      <c r="L556" s="9" t="s">
        <v>2663</v>
      </c>
      <c r="M556" s="10">
        <v>45322</v>
      </c>
      <c r="N556" s="7" t="s">
        <v>67</v>
      </c>
      <c r="O556" s="7" t="s">
        <v>68</v>
      </c>
      <c r="P556" s="7"/>
      <c r="Q556" s="40">
        <v>267</v>
      </c>
      <c r="R556" s="1"/>
      <c r="S556" s="1"/>
      <c r="T556" s="1"/>
      <c r="U556" s="1"/>
      <c r="V556" s="1"/>
      <c r="W556" s="1"/>
      <c r="X556" s="1">
        <v>340</v>
      </c>
      <c r="Y556" s="1"/>
      <c r="Z556" s="1"/>
      <c r="AA556" s="1"/>
      <c r="AB556" s="1"/>
      <c r="AC556" s="1">
        <v>338</v>
      </c>
      <c r="AD556" s="1"/>
      <c r="AE556" s="1">
        <f t="shared" si="41"/>
        <v>3</v>
      </c>
      <c r="AF556" s="1">
        <f t="shared" si="39"/>
        <v>315</v>
      </c>
      <c r="AG556" s="11" t="str">
        <f t="shared" si="40"/>
        <v>APROVADO</v>
      </c>
    </row>
    <row r="557" spans="2:33" ht="38.25" hidden="1" x14ac:dyDescent="0.25">
      <c r="B557" s="5">
        <v>551</v>
      </c>
      <c r="C557" s="6" t="s">
        <v>2664</v>
      </c>
      <c r="D557" s="5" t="s">
        <v>33</v>
      </c>
      <c r="E557" s="7" t="s">
        <v>2660</v>
      </c>
      <c r="F557" s="7" t="s">
        <v>2665</v>
      </c>
      <c r="G557" s="7" t="s">
        <v>107</v>
      </c>
      <c r="H557" s="8">
        <v>353442</v>
      </c>
      <c r="I557" s="7" t="s">
        <v>73</v>
      </c>
      <c r="J557" s="5" t="s">
        <v>74</v>
      </c>
      <c r="K557" s="7" t="s">
        <v>2662</v>
      </c>
      <c r="L557" s="9" t="s">
        <v>2663</v>
      </c>
      <c r="M557" s="10">
        <v>45322</v>
      </c>
      <c r="N557" s="7" t="s">
        <v>67</v>
      </c>
      <c r="O557" s="7" t="s">
        <v>68</v>
      </c>
      <c r="P557" s="7"/>
      <c r="Q557" s="40">
        <v>255</v>
      </c>
      <c r="R557" s="1"/>
      <c r="S557" s="1"/>
      <c r="T557" s="1"/>
      <c r="U557" s="1"/>
      <c r="V557" s="1"/>
      <c r="W557" s="1"/>
      <c r="X557" s="1">
        <v>281</v>
      </c>
      <c r="Y557" s="1">
        <v>286</v>
      </c>
      <c r="Z557" s="1"/>
      <c r="AA557" s="1"/>
      <c r="AB557" s="1"/>
      <c r="AC557" s="1"/>
      <c r="AD557" s="1"/>
      <c r="AE557" s="1">
        <f t="shared" si="41"/>
        <v>3</v>
      </c>
      <c r="AF557" s="1">
        <f t="shared" si="39"/>
        <v>274</v>
      </c>
      <c r="AG557" s="11" t="str">
        <f t="shared" si="40"/>
        <v>APROVADO</v>
      </c>
    </row>
    <row r="558" spans="2:33" ht="38.25" hidden="1" x14ac:dyDescent="0.25">
      <c r="B558" s="5">
        <v>552</v>
      </c>
      <c r="C558" s="6" t="s">
        <v>2666</v>
      </c>
      <c r="D558" s="5" t="s">
        <v>33</v>
      </c>
      <c r="E558" s="7" t="s">
        <v>2667</v>
      </c>
      <c r="F558" s="7" t="s">
        <v>2668</v>
      </c>
      <c r="G558" s="7" t="s">
        <v>107</v>
      </c>
      <c r="H558" s="8">
        <v>379232</v>
      </c>
      <c r="I558" s="7" t="s">
        <v>73</v>
      </c>
      <c r="J558" s="7" t="s">
        <v>74</v>
      </c>
      <c r="K558" s="7" t="s">
        <v>2662</v>
      </c>
      <c r="L558" s="9" t="s">
        <v>2663</v>
      </c>
      <c r="M558" s="10">
        <v>45322</v>
      </c>
      <c r="N558" s="7" t="s">
        <v>67</v>
      </c>
      <c r="O558" s="7" t="s">
        <v>68</v>
      </c>
      <c r="P558" s="7"/>
      <c r="Q558" s="40">
        <v>269</v>
      </c>
      <c r="R558" s="1"/>
      <c r="S558" s="1"/>
      <c r="T558" s="1"/>
      <c r="U558" s="1"/>
      <c r="V558" s="1"/>
      <c r="W558" s="1">
        <v>340</v>
      </c>
      <c r="X558" s="1"/>
      <c r="Y558" s="1">
        <v>340</v>
      </c>
      <c r="Z558" s="1"/>
      <c r="AA558" s="1"/>
      <c r="AB558" s="1"/>
      <c r="AC558" s="1"/>
      <c r="AD558" s="1"/>
      <c r="AE558" s="1">
        <f t="shared" si="41"/>
        <v>3</v>
      </c>
      <c r="AF558" s="1">
        <f t="shared" si="39"/>
        <v>316.33333333333331</v>
      </c>
      <c r="AG558" s="11" t="str">
        <f t="shared" si="40"/>
        <v>APROVADO</v>
      </c>
    </row>
    <row r="559" spans="2:33" ht="38.25" hidden="1" x14ac:dyDescent="0.25">
      <c r="B559" s="5">
        <v>553</v>
      </c>
      <c r="C559" s="6" t="s">
        <v>2669</v>
      </c>
      <c r="D559" s="5" t="s">
        <v>33</v>
      </c>
      <c r="E559" s="5" t="s">
        <v>2667</v>
      </c>
      <c r="F559" s="5" t="s">
        <v>2670</v>
      </c>
      <c r="G559" s="7" t="s">
        <v>107</v>
      </c>
      <c r="H559" s="8">
        <v>417192</v>
      </c>
      <c r="I559" s="7" t="s">
        <v>73</v>
      </c>
      <c r="J559" s="7" t="s">
        <v>74</v>
      </c>
      <c r="K559" s="7" t="s">
        <v>2662</v>
      </c>
      <c r="L559" s="9" t="s">
        <v>2663</v>
      </c>
      <c r="M559" s="10">
        <v>45322</v>
      </c>
      <c r="N559" s="5" t="s">
        <v>67</v>
      </c>
      <c r="O559" s="7" t="s">
        <v>68</v>
      </c>
      <c r="P559" s="7"/>
      <c r="Q559" s="39">
        <v>271</v>
      </c>
      <c r="R559" s="1"/>
      <c r="S559" s="1"/>
      <c r="T559" s="1"/>
      <c r="U559" s="1"/>
      <c r="V559" s="1"/>
      <c r="W559" s="1"/>
      <c r="X559" s="1">
        <v>290</v>
      </c>
      <c r="Y559" s="1">
        <v>288</v>
      </c>
      <c r="Z559" s="1"/>
      <c r="AA559" s="1"/>
      <c r="AB559" s="1"/>
      <c r="AC559" s="1"/>
      <c r="AD559" s="1"/>
      <c r="AE559" s="1">
        <f t="shared" si="41"/>
        <v>3</v>
      </c>
      <c r="AF559" s="1">
        <f t="shared" si="39"/>
        <v>283</v>
      </c>
      <c r="AG559" s="11" t="str">
        <f t="shared" si="40"/>
        <v>APROVADO</v>
      </c>
    </row>
    <row r="560" spans="2:33" ht="38.25" hidden="1" x14ac:dyDescent="0.25">
      <c r="B560" s="5">
        <v>554</v>
      </c>
      <c r="C560" s="6" t="s">
        <v>2671</v>
      </c>
      <c r="D560" s="5" t="s">
        <v>33</v>
      </c>
      <c r="E560" s="7" t="s">
        <v>2667</v>
      </c>
      <c r="F560" s="7" t="s">
        <v>2672</v>
      </c>
      <c r="G560" s="7" t="s">
        <v>107</v>
      </c>
      <c r="H560" s="8">
        <v>481120</v>
      </c>
      <c r="I560" s="7" t="s">
        <v>73</v>
      </c>
      <c r="J560" s="7" t="s">
        <v>74</v>
      </c>
      <c r="K560" s="7" t="s">
        <v>2662</v>
      </c>
      <c r="L560" s="9" t="s">
        <v>2663</v>
      </c>
      <c r="M560" s="10">
        <v>45322</v>
      </c>
      <c r="N560" s="7" t="s">
        <v>67</v>
      </c>
      <c r="O560" s="7" t="s">
        <v>68</v>
      </c>
      <c r="P560" s="7"/>
      <c r="Q560" s="40">
        <v>260</v>
      </c>
      <c r="R560" s="1"/>
      <c r="S560" s="1"/>
      <c r="T560" s="1"/>
      <c r="U560" s="1"/>
      <c r="V560" s="1">
        <v>310</v>
      </c>
      <c r="W560" s="1">
        <v>279</v>
      </c>
      <c r="X560" s="1"/>
      <c r="Y560" s="1"/>
      <c r="Z560" s="1"/>
      <c r="AA560" s="1"/>
      <c r="AB560" s="1"/>
      <c r="AC560" s="1"/>
      <c r="AD560" s="1"/>
      <c r="AE560" s="1">
        <f t="shared" si="41"/>
        <v>3</v>
      </c>
      <c r="AF560" s="1">
        <f t="shared" si="39"/>
        <v>283</v>
      </c>
      <c r="AG560" s="11" t="str">
        <f t="shared" si="40"/>
        <v>APROVADO</v>
      </c>
    </row>
    <row r="561" spans="2:33" ht="38.25" hidden="1" x14ac:dyDescent="0.25">
      <c r="B561" s="5">
        <v>555</v>
      </c>
      <c r="C561" s="6" t="s">
        <v>2673</v>
      </c>
      <c r="D561" s="5" t="s">
        <v>33</v>
      </c>
      <c r="E561" s="5" t="s">
        <v>2660</v>
      </c>
      <c r="F561" s="5" t="s">
        <v>2674</v>
      </c>
      <c r="G561" s="7" t="s">
        <v>107</v>
      </c>
      <c r="H561" s="8">
        <v>442128</v>
      </c>
      <c r="I561" s="7" t="s">
        <v>73</v>
      </c>
      <c r="J561" s="5" t="s">
        <v>74</v>
      </c>
      <c r="K561" s="7" t="s">
        <v>2662</v>
      </c>
      <c r="L561" s="9" t="s">
        <v>2663</v>
      </c>
      <c r="M561" s="10">
        <v>45322</v>
      </c>
      <c r="N561" s="5" t="s">
        <v>67</v>
      </c>
      <c r="O561" s="7" t="s">
        <v>68</v>
      </c>
      <c r="P561" s="7"/>
      <c r="Q561" s="39">
        <v>269</v>
      </c>
      <c r="R561" s="1"/>
      <c r="S561" s="1"/>
      <c r="T561" s="1"/>
      <c r="U561" s="1"/>
      <c r="V561" s="1">
        <v>257</v>
      </c>
      <c r="W561" s="1">
        <v>262</v>
      </c>
      <c r="X561" s="1"/>
      <c r="Y561" s="1"/>
      <c r="Z561" s="1"/>
      <c r="AA561" s="1"/>
      <c r="AB561" s="1"/>
      <c r="AC561" s="1"/>
      <c r="AD561" s="1"/>
      <c r="AE561" s="1">
        <f t="shared" si="41"/>
        <v>3</v>
      </c>
      <c r="AF561" s="1">
        <f t="shared" si="39"/>
        <v>262.66666666666669</v>
      </c>
      <c r="AG561" s="11" t="str">
        <f t="shared" si="40"/>
        <v>APROVADO</v>
      </c>
    </row>
    <row r="562" spans="2:33" ht="38.25" hidden="1" x14ac:dyDescent="0.25">
      <c r="B562" s="5">
        <v>556</v>
      </c>
      <c r="C562" s="6" t="s">
        <v>2675</v>
      </c>
      <c r="D562" s="5" t="s">
        <v>33</v>
      </c>
      <c r="E562" s="7" t="s">
        <v>2676</v>
      </c>
      <c r="F562" s="7" t="s">
        <v>2677</v>
      </c>
      <c r="G562" s="7" t="s">
        <v>107</v>
      </c>
      <c r="H562" s="8">
        <v>377000</v>
      </c>
      <c r="I562" s="7" t="s">
        <v>73</v>
      </c>
      <c r="J562" s="7" t="s">
        <v>74</v>
      </c>
      <c r="K562" s="7" t="s">
        <v>2662</v>
      </c>
      <c r="L562" s="9" t="s">
        <v>2678</v>
      </c>
      <c r="M562" s="10">
        <v>45322</v>
      </c>
      <c r="N562" s="7" t="s">
        <v>67</v>
      </c>
      <c r="O562" s="7" t="s">
        <v>68</v>
      </c>
      <c r="P562" s="7"/>
      <c r="Q562" s="40">
        <v>272</v>
      </c>
      <c r="R562" s="1"/>
      <c r="S562" s="1"/>
      <c r="T562" s="1"/>
      <c r="U562" s="1"/>
      <c r="V562" s="1">
        <v>287</v>
      </c>
      <c r="W562" s="1">
        <v>268</v>
      </c>
      <c r="X562" s="1"/>
      <c r="Y562" s="1"/>
      <c r="Z562" s="1"/>
      <c r="AA562" s="1"/>
      <c r="AB562" s="1"/>
      <c r="AC562" s="1"/>
      <c r="AD562" s="1"/>
      <c r="AE562" s="1">
        <f t="shared" si="41"/>
        <v>3</v>
      </c>
      <c r="AF562" s="1">
        <f t="shared" si="39"/>
        <v>275.66666666666669</v>
      </c>
      <c r="AG562" s="11" t="str">
        <f t="shared" si="40"/>
        <v>APROVADO</v>
      </c>
    </row>
    <row r="563" spans="2:33" ht="38.25" hidden="1" x14ac:dyDescent="0.25">
      <c r="B563" s="5">
        <v>557</v>
      </c>
      <c r="C563" s="6" t="s">
        <v>2679</v>
      </c>
      <c r="D563" s="5" t="s">
        <v>33</v>
      </c>
      <c r="E563" s="7" t="s">
        <v>2676</v>
      </c>
      <c r="F563" s="7" t="s">
        <v>2680</v>
      </c>
      <c r="G563" s="7" t="s">
        <v>107</v>
      </c>
      <c r="H563" s="8">
        <v>362728</v>
      </c>
      <c r="I563" s="7" t="s">
        <v>73</v>
      </c>
      <c r="J563" s="7" t="s">
        <v>74</v>
      </c>
      <c r="K563" s="7" t="s">
        <v>2662</v>
      </c>
      <c r="L563" s="9" t="s">
        <v>2678</v>
      </c>
      <c r="M563" s="10">
        <v>45322</v>
      </c>
      <c r="N563" s="7" t="s">
        <v>67</v>
      </c>
      <c r="O563" s="7" t="s">
        <v>68</v>
      </c>
      <c r="P563" s="7"/>
      <c r="Q563" s="40">
        <v>273</v>
      </c>
      <c r="R563" s="1"/>
      <c r="S563" s="1"/>
      <c r="T563" s="1"/>
      <c r="U563" s="1"/>
      <c r="V563" s="1"/>
      <c r="W563" s="1"/>
      <c r="X563" s="1">
        <v>288</v>
      </c>
      <c r="Y563" s="1">
        <v>287</v>
      </c>
      <c r="Z563" s="1"/>
      <c r="AA563" s="1"/>
      <c r="AB563" s="1"/>
      <c r="AC563" s="1"/>
      <c r="AD563" s="1"/>
      <c r="AE563" s="1">
        <f t="shared" si="41"/>
        <v>3</v>
      </c>
      <c r="AF563" s="1">
        <f t="shared" si="39"/>
        <v>282.66666666666669</v>
      </c>
      <c r="AG563" s="11" t="str">
        <f t="shared" si="40"/>
        <v>APROVADO</v>
      </c>
    </row>
    <row r="564" spans="2:33" ht="38.25" hidden="1" x14ac:dyDescent="0.25">
      <c r="B564" s="5">
        <v>558</v>
      </c>
      <c r="C564" s="6" t="s">
        <v>2681</v>
      </c>
      <c r="D564" s="5" t="s">
        <v>33</v>
      </c>
      <c r="E564" s="7" t="s">
        <v>2676</v>
      </c>
      <c r="F564" s="7" t="s">
        <v>2682</v>
      </c>
      <c r="G564" s="7" t="s">
        <v>107</v>
      </c>
      <c r="H564" s="8">
        <v>448880</v>
      </c>
      <c r="I564" s="7" t="s">
        <v>73</v>
      </c>
      <c r="J564" s="7" t="s">
        <v>74</v>
      </c>
      <c r="K564" s="7" t="s">
        <v>2662</v>
      </c>
      <c r="L564" s="9" t="s">
        <v>2678</v>
      </c>
      <c r="M564" s="10">
        <v>45322</v>
      </c>
      <c r="N564" s="7" t="s">
        <v>67</v>
      </c>
      <c r="O564" s="7" t="s">
        <v>68</v>
      </c>
      <c r="P564" s="7"/>
      <c r="Q564" s="40">
        <v>279</v>
      </c>
      <c r="R564" s="1"/>
      <c r="S564" s="1"/>
      <c r="T564" s="1"/>
      <c r="U564" s="1"/>
      <c r="V564" s="1"/>
      <c r="W564" s="1">
        <v>330</v>
      </c>
      <c r="X564" s="1"/>
      <c r="Y564" s="1">
        <v>340</v>
      </c>
      <c r="Z564" s="1"/>
      <c r="AA564" s="1"/>
      <c r="AB564" s="1"/>
      <c r="AC564" s="1"/>
      <c r="AD564" s="1"/>
      <c r="AE564" s="1">
        <f t="shared" si="41"/>
        <v>3</v>
      </c>
      <c r="AF564" s="1">
        <f t="shared" si="39"/>
        <v>316.33333333333331</v>
      </c>
      <c r="AG564" s="11" t="str">
        <f t="shared" si="40"/>
        <v>APROVADO</v>
      </c>
    </row>
    <row r="565" spans="2:33" ht="25.5" hidden="1" x14ac:dyDescent="0.25">
      <c r="B565" s="5">
        <v>559</v>
      </c>
      <c r="C565" s="16" t="s">
        <v>2683</v>
      </c>
      <c r="D565" s="5" t="s">
        <v>33</v>
      </c>
      <c r="E565" s="7" t="s">
        <v>2684</v>
      </c>
      <c r="F565" s="7" t="s">
        <v>45</v>
      </c>
      <c r="G565" s="7" t="s">
        <v>45</v>
      </c>
      <c r="H565" s="8">
        <v>0</v>
      </c>
      <c r="I565" s="7" t="s">
        <v>73</v>
      </c>
      <c r="J565" s="5" t="s">
        <v>74</v>
      </c>
      <c r="K565" s="7" t="s">
        <v>2685</v>
      </c>
      <c r="L565" s="9" t="s">
        <v>2686</v>
      </c>
      <c r="M565" s="10">
        <v>45322</v>
      </c>
      <c r="N565" s="7" t="s">
        <v>82</v>
      </c>
      <c r="O565" s="7" t="s">
        <v>83</v>
      </c>
      <c r="P565" s="7" t="s">
        <v>2687</v>
      </c>
      <c r="Q565" s="40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 t="e">
        <f t="shared" si="39"/>
        <v>#DIV/0!</v>
      </c>
      <c r="AG565" s="11" t="e">
        <f t="shared" si="40"/>
        <v>#DIV/0!</v>
      </c>
    </row>
    <row r="566" spans="2:33" ht="25.5" hidden="1" x14ac:dyDescent="0.25">
      <c r="B566" s="5">
        <v>560</v>
      </c>
      <c r="C566" s="16" t="s">
        <v>2688</v>
      </c>
      <c r="D566" s="5" t="s">
        <v>33</v>
      </c>
      <c r="E566" s="7" t="s">
        <v>2689</v>
      </c>
      <c r="F566" s="7" t="s">
        <v>45</v>
      </c>
      <c r="G566" s="7" t="s">
        <v>45</v>
      </c>
      <c r="H566" s="8" t="s">
        <v>45</v>
      </c>
      <c r="I566" s="7" t="s">
        <v>73</v>
      </c>
      <c r="J566" s="5" t="s">
        <v>74</v>
      </c>
      <c r="K566" s="7" t="s">
        <v>2690</v>
      </c>
      <c r="L566" s="9" t="s">
        <v>2691</v>
      </c>
      <c r="M566" s="10">
        <v>45322</v>
      </c>
      <c r="N566" s="7" t="s">
        <v>82</v>
      </c>
      <c r="O566" s="7" t="s">
        <v>83</v>
      </c>
      <c r="P566" s="7"/>
      <c r="Q566" s="40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 t="e">
        <f t="shared" si="39"/>
        <v>#DIV/0!</v>
      </c>
      <c r="AG566" s="11" t="e">
        <f t="shared" si="40"/>
        <v>#DIV/0!</v>
      </c>
    </row>
    <row r="567" spans="2:33" ht="25.5" hidden="1" x14ac:dyDescent="0.25">
      <c r="B567" s="5">
        <v>561</v>
      </c>
      <c r="C567" s="6" t="s">
        <v>2692</v>
      </c>
      <c r="D567" s="5" t="s">
        <v>33</v>
      </c>
      <c r="E567" s="7" t="s">
        <v>2693</v>
      </c>
      <c r="F567" s="7" t="s">
        <v>2694</v>
      </c>
      <c r="G567" s="7" t="s">
        <v>107</v>
      </c>
      <c r="H567" s="8">
        <v>345629.74</v>
      </c>
      <c r="I567" s="7" t="s">
        <v>253</v>
      </c>
      <c r="J567" s="7" t="s">
        <v>254</v>
      </c>
      <c r="K567" s="7" t="s">
        <v>2695</v>
      </c>
      <c r="L567" s="9" t="s">
        <v>2696</v>
      </c>
      <c r="M567" s="10">
        <v>45322</v>
      </c>
      <c r="N567" s="7" t="s">
        <v>67</v>
      </c>
      <c r="O567" s="7" t="s">
        <v>2697</v>
      </c>
      <c r="P567" s="9"/>
      <c r="Q567" s="40">
        <v>325</v>
      </c>
      <c r="R567" s="1"/>
      <c r="S567" s="1"/>
      <c r="T567" s="1"/>
      <c r="U567" s="1"/>
      <c r="V567" s="1">
        <v>340</v>
      </c>
      <c r="W567" s="1"/>
      <c r="X567" s="1"/>
      <c r="Y567" s="1">
        <v>317</v>
      </c>
      <c r="Z567" s="1"/>
      <c r="AA567" s="1"/>
      <c r="AB567" s="1"/>
      <c r="AC567" s="1"/>
      <c r="AD567" s="1"/>
      <c r="AE567" s="1">
        <f t="shared" ref="AE567:AE572" si="42">COUNT(Q567:AD567)</f>
        <v>3</v>
      </c>
      <c r="AF567" s="1">
        <f t="shared" si="39"/>
        <v>327.33333333333331</v>
      </c>
      <c r="AG567" s="11" t="str">
        <f t="shared" si="40"/>
        <v>APROVADO</v>
      </c>
    </row>
    <row r="568" spans="2:33" ht="25.5" hidden="1" x14ac:dyDescent="0.25">
      <c r="B568" s="5">
        <v>562</v>
      </c>
      <c r="C568" s="6" t="s">
        <v>2698</v>
      </c>
      <c r="D568" s="5" t="s">
        <v>33</v>
      </c>
      <c r="E568" s="7" t="s">
        <v>2693</v>
      </c>
      <c r="F568" s="7" t="s">
        <v>2699</v>
      </c>
      <c r="G568" s="7" t="s">
        <v>107</v>
      </c>
      <c r="H568" s="8">
        <v>261889.72</v>
      </c>
      <c r="I568" s="7" t="s">
        <v>253</v>
      </c>
      <c r="J568" s="7" t="s">
        <v>254</v>
      </c>
      <c r="K568" s="7" t="s">
        <v>2695</v>
      </c>
      <c r="L568" s="9" t="s">
        <v>2696</v>
      </c>
      <c r="M568" s="10">
        <v>45322</v>
      </c>
      <c r="N568" s="7" t="s">
        <v>67</v>
      </c>
      <c r="O568" s="7" t="s">
        <v>2697</v>
      </c>
      <c r="P568" s="9"/>
      <c r="Q568" s="40">
        <v>340</v>
      </c>
      <c r="R568" s="1"/>
      <c r="S568" s="1"/>
      <c r="T568" s="1"/>
      <c r="U568" s="1"/>
      <c r="V568" s="1">
        <v>340</v>
      </c>
      <c r="W568" s="1">
        <v>340</v>
      </c>
      <c r="X568" s="1"/>
      <c r="Y568" s="1"/>
      <c r="Z568" s="1"/>
      <c r="AA568" s="1"/>
      <c r="AB568" s="1"/>
      <c r="AC568" s="1"/>
      <c r="AD568" s="1"/>
      <c r="AE568" s="1">
        <f t="shared" si="42"/>
        <v>3</v>
      </c>
      <c r="AF568" s="1">
        <f t="shared" si="39"/>
        <v>340</v>
      </c>
      <c r="AG568" s="11" t="str">
        <f t="shared" si="40"/>
        <v>APROVADO</v>
      </c>
    </row>
    <row r="569" spans="2:33" ht="25.5" hidden="1" x14ac:dyDescent="0.25">
      <c r="B569" s="5">
        <v>563</v>
      </c>
      <c r="C569" s="6" t="s">
        <v>2700</v>
      </c>
      <c r="D569" s="5" t="s">
        <v>33</v>
      </c>
      <c r="E569" s="7" t="s">
        <v>2701</v>
      </c>
      <c r="F569" s="7" t="s">
        <v>2702</v>
      </c>
      <c r="G569" s="7" t="s">
        <v>107</v>
      </c>
      <c r="H569" s="8">
        <v>1067863.3700000001</v>
      </c>
      <c r="I569" s="7" t="s">
        <v>1033</v>
      </c>
      <c r="J569" s="7" t="s">
        <v>445</v>
      </c>
      <c r="K569" s="7" t="s">
        <v>2703</v>
      </c>
      <c r="L569" s="9" t="s">
        <v>2704</v>
      </c>
      <c r="M569" s="10">
        <v>45322</v>
      </c>
      <c r="N569" s="7" t="s">
        <v>41</v>
      </c>
      <c r="O569" s="9" t="s">
        <v>83</v>
      </c>
      <c r="P569" s="9" t="s">
        <v>2705</v>
      </c>
      <c r="Q569" s="40">
        <v>229</v>
      </c>
      <c r="R569" s="1"/>
      <c r="S569" s="1">
        <v>181</v>
      </c>
      <c r="T569" s="1"/>
      <c r="U569" s="1"/>
      <c r="V569" s="1"/>
      <c r="W569" s="1"/>
      <c r="X569" s="1"/>
      <c r="Y569" s="1"/>
      <c r="Z569" s="1"/>
      <c r="AA569" s="1"/>
      <c r="AB569" s="1">
        <v>214</v>
      </c>
      <c r="AC569" s="1"/>
      <c r="AD569" s="1"/>
      <c r="AE569" s="1">
        <f t="shared" si="42"/>
        <v>3</v>
      </c>
      <c r="AF569" s="1">
        <f t="shared" si="39"/>
        <v>208</v>
      </c>
      <c r="AG569" s="11" t="str">
        <f t="shared" si="40"/>
        <v>APROVADO</v>
      </c>
    </row>
    <row r="570" spans="2:33" ht="25.5" hidden="1" x14ac:dyDescent="0.25">
      <c r="B570" s="5">
        <v>564</v>
      </c>
      <c r="C570" s="6" t="s">
        <v>2706</v>
      </c>
      <c r="D570" s="5" t="s">
        <v>33</v>
      </c>
      <c r="E570" s="7" t="s">
        <v>2693</v>
      </c>
      <c r="F570" s="7" t="s">
        <v>2707</v>
      </c>
      <c r="G570" s="7" t="s">
        <v>107</v>
      </c>
      <c r="H570" s="8">
        <v>332039.32</v>
      </c>
      <c r="I570" s="7" t="s">
        <v>253</v>
      </c>
      <c r="J570" s="7" t="s">
        <v>254</v>
      </c>
      <c r="K570" s="7" t="s">
        <v>2695</v>
      </c>
      <c r="L570" s="37" t="s">
        <v>2696</v>
      </c>
      <c r="M570" s="10">
        <v>45322</v>
      </c>
      <c r="N570" s="7" t="s">
        <v>67</v>
      </c>
      <c r="O570" s="7" t="s">
        <v>2697</v>
      </c>
      <c r="P570" s="9"/>
      <c r="Q570" s="40">
        <v>334</v>
      </c>
      <c r="R570" s="1"/>
      <c r="S570" s="1"/>
      <c r="T570" s="1"/>
      <c r="U570" s="1"/>
      <c r="V570" s="1">
        <v>340</v>
      </c>
      <c r="W570" s="1"/>
      <c r="X570" s="1"/>
      <c r="Y570" s="1">
        <v>340</v>
      </c>
      <c r="Z570" s="1"/>
      <c r="AA570" s="1"/>
      <c r="AB570" s="1"/>
      <c r="AC570" s="1"/>
      <c r="AD570" s="1"/>
      <c r="AE570" s="1">
        <f t="shared" si="42"/>
        <v>3</v>
      </c>
      <c r="AF570" s="1">
        <f t="shared" si="39"/>
        <v>338</v>
      </c>
      <c r="AG570" s="11" t="str">
        <f t="shared" si="40"/>
        <v>APROVADO</v>
      </c>
    </row>
    <row r="571" spans="2:33" ht="38.25" hidden="1" x14ac:dyDescent="0.25">
      <c r="B571" s="5">
        <v>565</v>
      </c>
      <c r="C571" s="6" t="s">
        <v>2708</v>
      </c>
      <c r="D571" s="5" t="s">
        <v>51</v>
      </c>
      <c r="E571" s="7" t="s">
        <v>2709</v>
      </c>
      <c r="F571" s="7" t="s">
        <v>1281</v>
      </c>
      <c r="G571" s="7" t="s">
        <v>36</v>
      </c>
      <c r="H571" s="28">
        <v>40275</v>
      </c>
      <c r="I571" s="13" t="s">
        <v>134</v>
      </c>
      <c r="J571" s="11" t="s">
        <v>64</v>
      </c>
      <c r="K571" s="13" t="s">
        <v>2710</v>
      </c>
      <c r="L571" s="30" t="s">
        <v>2711</v>
      </c>
      <c r="M571" s="26">
        <v>45322</v>
      </c>
      <c r="N571" s="13" t="s">
        <v>57</v>
      </c>
      <c r="O571" s="14" t="s">
        <v>118</v>
      </c>
      <c r="P571" s="13"/>
      <c r="Q571" s="1">
        <v>334</v>
      </c>
      <c r="R571" s="1"/>
      <c r="S571" s="1"/>
      <c r="T571" s="1"/>
      <c r="U571" s="1"/>
      <c r="V571" s="1"/>
      <c r="W571" s="1"/>
      <c r="X571" s="1">
        <v>340</v>
      </c>
      <c r="Y571" s="1">
        <v>340</v>
      </c>
      <c r="Z571" s="1"/>
      <c r="AA571" s="1"/>
      <c r="AB571" s="1"/>
      <c r="AC571" s="20"/>
      <c r="AD571" s="20"/>
      <c r="AE571" s="1">
        <f t="shared" si="42"/>
        <v>3</v>
      </c>
      <c r="AF571" s="1">
        <f t="shared" si="39"/>
        <v>338</v>
      </c>
      <c r="AG571" s="11" t="str">
        <f t="shared" si="40"/>
        <v>APROVADO</v>
      </c>
    </row>
    <row r="572" spans="2:33" ht="25.5" hidden="1" x14ac:dyDescent="0.25">
      <c r="B572" s="5">
        <v>566</v>
      </c>
      <c r="C572" s="27" t="s">
        <v>2712</v>
      </c>
      <c r="D572" s="5" t="s">
        <v>33</v>
      </c>
      <c r="E572" s="7" t="s">
        <v>2713</v>
      </c>
      <c r="F572" s="7" t="s">
        <v>2714</v>
      </c>
      <c r="G572" s="7" t="s">
        <v>36</v>
      </c>
      <c r="H572" s="8">
        <v>70000</v>
      </c>
      <c r="I572" s="7" t="s">
        <v>1023</v>
      </c>
      <c r="J572" s="7" t="s">
        <v>445</v>
      </c>
      <c r="K572" s="7" t="s">
        <v>2715</v>
      </c>
      <c r="L572" s="9" t="s">
        <v>2716</v>
      </c>
      <c r="M572" s="10">
        <v>45322</v>
      </c>
      <c r="N572" s="7" t="s">
        <v>41</v>
      </c>
      <c r="O572" s="9"/>
      <c r="P572" s="9"/>
      <c r="Q572" s="40">
        <v>340</v>
      </c>
      <c r="R572" s="1">
        <v>142</v>
      </c>
      <c r="S572" s="1"/>
      <c r="T572" s="1"/>
      <c r="U572" s="1"/>
      <c r="V572" s="1"/>
      <c r="W572" s="1"/>
      <c r="X572" s="1"/>
      <c r="Y572" s="1"/>
      <c r="Z572" s="1"/>
      <c r="AA572" s="1"/>
      <c r="AB572" s="1">
        <v>316</v>
      </c>
      <c r="AC572" s="1"/>
      <c r="AD572" s="1"/>
      <c r="AE572" s="1">
        <f t="shared" si="42"/>
        <v>3</v>
      </c>
      <c r="AF572" s="1">
        <f t="shared" si="39"/>
        <v>266</v>
      </c>
      <c r="AG572" s="11" t="str">
        <f t="shared" si="40"/>
        <v>APROVADO</v>
      </c>
    </row>
    <row r="573" spans="2:33" ht="25.5" hidden="1" x14ac:dyDescent="0.25">
      <c r="B573" s="5">
        <v>567</v>
      </c>
      <c r="C573" s="16" t="s">
        <v>2717</v>
      </c>
      <c r="D573" s="5" t="s">
        <v>33</v>
      </c>
      <c r="E573" s="7" t="s">
        <v>2422</v>
      </c>
      <c r="F573" s="7" t="s">
        <v>2718</v>
      </c>
      <c r="G573" s="7" t="s">
        <v>107</v>
      </c>
      <c r="H573" s="8">
        <v>3082071.12</v>
      </c>
      <c r="I573" s="7" t="s">
        <v>201</v>
      </c>
      <c r="J573" s="7" t="s">
        <v>202</v>
      </c>
      <c r="K573" s="7" t="s">
        <v>2424</v>
      </c>
      <c r="L573" s="9" t="s">
        <v>2425</v>
      </c>
      <c r="M573" s="10">
        <v>45322</v>
      </c>
      <c r="N573" s="7" t="s">
        <v>226</v>
      </c>
      <c r="O573" s="7" t="s">
        <v>2719</v>
      </c>
      <c r="P573" s="7" t="s">
        <v>68</v>
      </c>
      <c r="Q573" s="40">
        <v>0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>
        <v>54</v>
      </c>
      <c r="AE573" s="1"/>
      <c r="AF573" s="1">
        <f t="shared" si="39"/>
        <v>27</v>
      </c>
      <c r="AG573" s="11" t="str">
        <f t="shared" si="40"/>
        <v>REPROVADO</v>
      </c>
    </row>
    <row r="574" spans="2:33" ht="26.25" hidden="1" x14ac:dyDescent="0.25">
      <c r="B574" s="5">
        <v>568</v>
      </c>
      <c r="C574" s="6" t="s">
        <v>2720</v>
      </c>
      <c r="D574" s="5" t="s">
        <v>51</v>
      </c>
      <c r="E574" s="7" t="s">
        <v>2721</v>
      </c>
      <c r="F574" s="7" t="s">
        <v>2722</v>
      </c>
      <c r="G574" s="7" t="s">
        <v>45</v>
      </c>
      <c r="H574" s="28">
        <v>196347.25</v>
      </c>
      <c r="I574" s="13" t="s">
        <v>2723</v>
      </c>
      <c r="J574" s="11" t="s">
        <v>202</v>
      </c>
      <c r="K574" s="7" t="s">
        <v>2724</v>
      </c>
      <c r="L574" s="47" t="s">
        <v>2725</v>
      </c>
      <c r="M574" s="26">
        <v>45322</v>
      </c>
      <c r="N574" s="13" t="s">
        <v>57</v>
      </c>
      <c r="O574" s="14" t="s">
        <v>2726</v>
      </c>
      <c r="P574" s="13"/>
      <c r="Q574" s="1">
        <v>273</v>
      </c>
      <c r="R574" s="1"/>
      <c r="S574" s="1"/>
      <c r="T574" s="1"/>
      <c r="U574" s="1"/>
      <c r="V574" s="1"/>
      <c r="W574" s="1"/>
      <c r="X574" s="1">
        <v>319</v>
      </c>
      <c r="Y574" s="1">
        <v>275</v>
      </c>
      <c r="Z574" s="1"/>
      <c r="AA574" s="1"/>
      <c r="AB574" s="1"/>
      <c r="AC574" s="20"/>
      <c r="AD574" s="20"/>
      <c r="AE574" s="1">
        <f>COUNT(Q574:AD574)</f>
        <v>3</v>
      </c>
      <c r="AF574" s="1">
        <f t="shared" si="39"/>
        <v>289</v>
      </c>
      <c r="AG574" s="11" t="str">
        <f t="shared" si="40"/>
        <v>APROVADO</v>
      </c>
    </row>
    <row r="575" spans="2:33" ht="26.25" hidden="1" x14ac:dyDescent="0.25">
      <c r="B575" s="5">
        <v>569</v>
      </c>
      <c r="C575" s="6" t="s">
        <v>2720</v>
      </c>
      <c r="D575" s="5" t="s">
        <v>51</v>
      </c>
      <c r="E575" s="7" t="s">
        <v>2721</v>
      </c>
      <c r="F575" s="7" t="s">
        <v>2727</v>
      </c>
      <c r="G575" s="7" t="s">
        <v>45</v>
      </c>
      <c r="H575" s="28">
        <v>393000.48</v>
      </c>
      <c r="I575" s="13" t="s">
        <v>2723</v>
      </c>
      <c r="J575" s="11" t="s">
        <v>202</v>
      </c>
      <c r="K575" s="7" t="s">
        <v>2724</v>
      </c>
      <c r="L575" s="43" t="s">
        <v>2725</v>
      </c>
      <c r="M575" s="26">
        <v>45322</v>
      </c>
      <c r="N575" s="13" t="s">
        <v>57</v>
      </c>
      <c r="O575" s="14" t="s">
        <v>2726</v>
      </c>
      <c r="P575" s="13"/>
      <c r="Q575" s="1">
        <v>311</v>
      </c>
      <c r="R575" s="1"/>
      <c r="S575" s="1"/>
      <c r="T575" s="1"/>
      <c r="U575" s="1"/>
      <c r="V575" s="1"/>
      <c r="W575" s="1"/>
      <c r="X575" s="1">
        <v>304</v>
      </c>
      <c r="Y575" s="1">
        <v>311</v>
      </c>
      <c r="Z575" s="1"/>
      <c r="AA575" s="1"/>
      <c r="AB575" s="1"/>
      <c r="AC575" s="20"/>
      <c r="AD575" s="20"/>
      <c r="AE575" s="1">
        <f>COUNT(Q575:AD575)</f>
        <v>3</v>
      </c>
      <c r="AF575" s="1">
        <f t="shared" si="39"/>
        <v>308.66666666666669</v>
      </c>
      <c r="AG575" s="11" t="str">
        <f t="shared" si="40"/>
        <v>APROVADO</v>
      </c>
    </row>
    <row r="576" spans="2:33" ht="26.25" hidden="1" x14ac:dyDescent="0.25">
      <c r="B576" s="5">
        <v>570</v>
      </c>
      <c r="C576" s="6" t="s">
        <v>2720</v>
      </c>
      <c r="D576" s="5" t="s">
        <v>51</v>
      </c>
      <c r="E576" s="7" t="s">
        <v>2721</v>
      </c>
      <c r="F576" s="7" t="s">
        <v>2728</v>
      </c>
      <c r="G576" s="7" t="s">
        <v>45</v>
      </c>
      <c r="H576" s="28">
        <v>300000</v>
      </c>
      <c r="I576" s="13" t="s">
        <v>2723</v>
      </c>
      <c r="J576" s="11" t="s">
        <v>202</v>
      </c>
      <c r="K576" s="7" t="s">
        <v>2724</v>
      </c>
      <c r="L576" s="43" t="s">
        <v>2725</v>
      </c>
      <c r="M576" s="26">
        <v>45322</v>
      </c>
      <c r="N576" s="13" t="s">
        <v>57</v>
      </c>
      <c r="O576" s="14" t="s">
        <v>2726</v>
      </c>
      <c r="P576" s="13"/>
      <c r="Q576" s="1">
        <v>298</v>
      </c>
      <c r="R576" s="1"/>
      <c r="S576" s="1"/>
      <c r="T576" s="1"/>
      <c r="U576" s="1"/>
      <c r="V576" s="1"/>
      <c r="W576" s="1"/>
      <c r="X576" s="1">
        <v>321</v>
      </c>
      <c r="Y576" s="1">
        <v>289</v>
      </c>
      <c r="Z576" s="1"/>
      <c r="AA576" s="1"/>
      <c r="AB576" s="1"/>
      <c r="AC576" s="20"/>
      <c r="AD576" s="20"/>
      <c r="AE576" s="1">
        <f>COUNT(Q576:AD576)</f>
        <v>3</v>
      </c>
      <c r="AF576" s="1">
        <f t="shared" si="39"/>
        <v>302.66666666666669</v>
      </c>
      <c r="AG576" s="11" t="str">
        <f t="shared" si="40"/>
        <v>APROVADO</v>
      </c>
    </row>
    <row r="577" spans="2:33" ht="25.5" hidden="1" x14ac:dyDescent="0.25">
      <c r="B577" s="5">
        <v>571</v>
      </c>
      <c r="C577" s="6" t="s">
        <v>2729</v>
      </c>
      <c r="D577" s="5" t="s">
        <v>33</v>
      </c>
      <c r="E577" s="7" t="s">
        <v>2730</v>
      </c>
      <c r="F577" s="7" t="s">
        <v>2731</v>
      </c>
      <c r="G577" s="7" t="s">
        <v>36</v>
      </c>
      <c r="H577" s="8">
        <v>4517586.97</v>
      </c>
      <c r="I577" s="7" t="s">
        <v>2732</v>
      </c>
      <c r="J577" s="7" t="s">
        <v>795</v>
      </c>
      <c r="K577" s="7" t="s">
        <v>2733</v>
      </c>
      <c r="L577" s="9" t="s">
        <v>2734</v>
      </c>
      <c r="M577" s="10">
        <v>45322</v>
      </c>
      <c r="N577" s="7" t="s">
        <v>67</v>
      </c>
      <c r="O577" s="5" t="s">
        <v>98</v>
      </c>
      <c r="P577" s="9"/>
      <c r="Q577" s="40">
        <v>235</v>
      </c>
      <c r="R577" s="1"/>
      <c r="S577" s="1"/>
      <c r="T577" s="1"/>
      <c r="U577" s="1"/>
      <c r="V577" s="1"/>
      <c r="W577" s="1">
        <v>308</v>
      </c>
      <c r="X577" s="1"/>
      <c r="Y577" s="1">
        <v>340</v>
      </c>
      <c r="Z577" s="1"/>
      <c r="AA577" s="1"/>
      <c r="AB577" s="1"/>
      <c r="AC577" s="1"/>
      <c r="AD577" s="1"/>
      <c r="AE577" s="1">
        <f>COUNT(Q577:AD577)</f>
        <v>3</v>
      </c>
      <c r="AF577" s="1">
        <f t="shared" si="39"/>
        <v>294.33333333333331</v>
      </c>
      <c r="AG577" s="11" t="str">
        <f t="shared" si="40"/>
        <v>APROVADO</v>
      </c>
    </row>
    <row r="578" spans="2:33" ht="25.5" hidden="1" x14ac:dyDescent="0.25">
      <c r="B578" s="5">
        <v>572</v>
      </c>
      <c r="C578" s="6" t="s">
        <v>2735</v>
      </c>
      <c r="D578" s="5" t="s">
        <v>33</v>
      </c>
      <c r="E578" s="7" t="s">
        <v>2736</v>
      </c>
      <c r="F578" s="7" t="s">
        <v>2737</v>
      </c>
      <c r="G578" s="7" t="s">
        <v>107</v>
      </c>
      <c r="H578" s="8">
        <v>987125</v>
      </c>
      <c r="I578" s="7" t="s">
        <v>73</v>
      </c>
      <c r="J578" s="5" t="s">
        <v>74</v>
      </c>
      <c r="K578" s="7" t="s">
        <v>2738</v>
      </c>
      <c r="L578" s="9" t="s">
        <v>2739</v>
      </c>
      <c r="M578" s="10">
        <v>45322</v>
      </c>
      <c r="N578" s="7" t="s">
        <v>67</v>
      </c>
      <c r="O578" s="7" t="s">
        <v>68</v>
      </c>
      <c r="P578" s="7"/>
      <c r="Q578" s="40">
        <v>231</v>
      </c>
      <c r="R578" s="1"/>
      <c r="S578" s="1"/>
      <c r="T578" s="1"/>
      <c r="U578" s="1"/>
      <c r="V578" s="1"/>
      <c r="W578" s="1">
        <v>335</v>
      </c>
      <c r="X578" s="1"/>
      <c r="Y578" s="1">
        <v>340</v>
      </c>
      <c r="Z578" s="1"/>
      <c r="AA578" s="1"/>
      <c r="AB578" s="1"/>
      <c r="AC578" s="1"/>
      <c r="AD578" s="1"/>
      <c r="AE578" s="1">
        <f>COUNT(Q578:AD578)</f>
        <v>3</v>
      </c>
      <c r="AF578" s="1">
        <f t="shared" si="39"/>
        <v>302</v>
      </c>
      <c r="AG578" s="11" t="str">
        <f t="shared" si="40"/>
        <v>APROVADO</v>
      </c>
    </row>
    <row r="579" spans="2:33" ht="25.5" hidden="1" x14ac:dyDescent="0.25">
      <c r="B579" s="5">
        <v>573</v>
      </c>
      <c r="C579" s="16" t="s">
        <v>2740</v>
      </c>
      <c r="D579" s="5" t="s">
        <v>33</v>
      </c>
      <c r="E579" s="7" t="s">
        <v>2741</v>
      </c>
      <c r="F579" s="7" t="s">
        <v>2742</v>
      </c>
      <c r="G579" s="7" t="s">
        <v>107</v>
      </c>
      <c r="H579" s="8">
        <v>1214351.32</v>
      </c>
      <c r="I579" s="7" t="s">
        <v>73</v>
      </c>
      <c r="J579" s="5" t="s">
        <v>74</v>
      </c>
      <c r="K579" s="7" t="s">
        <v>2743</v>
      </c>
      <c r="L579" s="9" t="s">
        <v>2744</v>
      </c>
      <c r="M579" s="10">
        <v>45322</v>
      </c>
      <c r="N579" s="7" t="s">
        <v>82</v>
      </c>
      <c r="O579" s="7" t="s">
        <v>419</v>
      </c>
      <c r="P579" s="7"/>
      <c r="Q579" s="40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 t="e">
        <f t="shared" si="39"/>
        <v>#DIV/0!</v>
      </c>
      <c r="AG579" s="11" t="e">
        <f t="shared" si="40"/>
        <v>#DIV/0!</v>
      </c>
    </row>
    <row r="580" spans="2:33" ht="38.25" hidden="1" x14ac:dyDescent="0.25">
      <c r="B580" s="5">
        <v>574</v>
      </c>
      <c r="C580" s="16" t="s">
        <v>2745</v>
      </c>
      <c r="D580" s="5" t="s">
        <v>33</v>
      </c>
      <c r="E580" s="7" t="s">
        <v>2746</v>
      </c>
      <c r="F580" s="7" t="s">
        <v>2747</v>
      </c>
      <c r="G580" s="7" t="s">
        <v>107</v>
      </c>
      <c r="H580" s="8">
        <v>388400</v>
      </c>
      <c r="I580" s="7" t="s">
        <v>2748</v>
      </c>
      <c r="J580" s="7" t="s">
        <v>795</v>
      </c>
      <c r="K580" s="7" t="s">
        <v>2749</v>
      </c>
      <c r="L580" s="9" t="s">
        <v>2750</v>
      </c>
      <c r="M580" s="10">
        <v>45322</v>
      </c>
      <c r="N580" s="7" t="s">
        <v>82</v>
      </c>
      <c r="O580" s="7" t="s">
        <v>2751</v>
      </c>
      <c r="P580" s="7"/>
      <c r="Q580" s="40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 t="e">
        <f t="shared" si="39"/>
        <v>#DIV/0!</v>
      </c>
      <c r="AG580" s="11" t="e">
        <f t="shared" si="40"/>
        <v>#DIV/0!</v>
      </c>
    </row>
    <row r="581" spans="2:33" ht="38.25" hidden="1" x14ac:dyDescent="0.25">
      <c r="B581" s="5">
        <v>575</v>
      </c>
      <c r="C581" s="16" t="s">
        <v>2752</v>
      </c>
      <c r="D581" s="5" t="s">
        <v>33</v>
      </c>
      <c r="E581" s="7" t="s">
        <v>2746</v>
      </c>
      <c r="F581" s="7" t="s">
        <v>2753</v>
      </c>
      <c r="G581" s="7" t="s">
        <v>107</v>
      </c>
      <c r="H581" s="8">
        <v>342980</v>
      </c>
      <c r="I581" s="7" t="s">
        <v>2748</v>
      </c>
      <c r="J581" s="7" t="s">
        <v>795</v>
      </c>
      <c r="K581" s="7" t="s">
        <v>2754</v>
      </c>
      <c r="L581" s="9" t="s">
        <v>2750</v>
      </c>
      <c r="M581" s="10">
        <v>45322</v>
      </c>
      <c r="N581" s="7" t="s">
        <v>82</v>
      </c>
      <c r="O581" s="7" t="s">
        <v>2751</v>
      </c>
      <c r="P581" s="7"/>
      <c r="Q581" s="40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 t="e">
        <f t="shared" ref="AF581:AF618" si="43">AVERAGE(Q581:AD581)</f>
        <v>#DIV/0!</v>
      </c>
      <c r="AG581" s="11" t="e">
        <f t="shared" ref="AG581:AG618" si="44">IF(AF581&gt;=$AG$1,"APROVADO","REPROVADO")</f>
        <v>#DIV/0!</v>
      </c>
    </row>
    <row r="582" spans="2:33" ht="25.5" hidden="1" x14ac:dyDescent="0.25">
      <c r="B582" s="5">
        <v>576</v>
      </c>
      <c r="C582" s="16" t="s">
        <v>2755</v>
      </c>
      <c r="D582" s="5" t="s">
        <v>33</v>
      </c>
      <c r="E582" s="7" t="s">
        <v>2756</v>
      </c>
      <c r="F582" s="7" t="s">
        <v>2757</v>
      </c>
      <c r="G582" s="7" t="s">
        <v>36</v>
      </c>
      <c r="H582" s="8">
        <v>161302.98000000001</v>
      </c>
      <c r="I582" s="7" t="s">
        <v>73</v>
      </c>
      <c r="J582" s="5" t="s">
        <v>74</v>
      </c>
      <c r="K582" s="7" t="s">
        <v>2758</v>
      </c>
      <c r="L582" s="9" t="s">
        <v>2759</v>
      </c>
      <c r="M582" s="10">
        <v>45322</v>
      </c>
      <c r="N582" s="7" t="s">
        <v>82</v>
      </c>
      <c r="O582" s="7" t="s">
        <v>845</v>
      </c>
      <c r="P582" s="7"/>
      <c r="Q582" s="40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 t="e">
        <f t="shared" si="43"/>
        <v>#DIV/0!</v>
      </c>
      <c r="AG582" s="11" t="e">
        <f t="shared" si="44"/>
        <v>#DIV/0!</v>
      </c>
    </row>
    <row r="583" spans="2:33" ht="25.5" hidden="1" x14ac:dyDescent="0.25">
      <c r="B583" s="5">
        <v>577</v>
      </c>
      <c r="C583" s="6" t="s">
        <v>2760</v>
      </c>
      <c r="D583" s="5" t="s">
        <v>33</v>
      </c>
      <c r="E583" s="5" t="s">
        <v>2761</v>
      </c>
      <c r="F583" s="5" t="s">
        <v>2762</v>
      </c>
      <c r="G583" s="7" t="s">
        <v>107</v>
      </c>
      <c r="H583" s="8">
        <v>403540</v>
      </c>
      <c r="I583" s="7" t="s">
        <v>73</v>
      </c>
      <c r="J583" s="5" t="s">
        <v>74</v>
      </c>
      <c r="K583" s="7" t="s">
        <v>2763</v>
      </c>
      <c r="L583" s="9" t="s">
        <v>2764</v>
      </c>
      <c r="M583" s="10">
        <v>45322</v>
      </c>
      <c r="N583" s="5" t="s">
        <v>67</v>
      </c>
      <c r="O583" s="7" t="s">
        <v>68</v>
      </c>
      <c r="P583" s="7" t="s">
        <v>2765</v>
      </c>
      <c r="Q583" s="39">
        <v>288</v>
      </c>
      <c r="R583" s="1"/>
      <c r="S583" s="1"/>
      <c r="T583" s="1"/>
      <c r="U583" s="1"/>
      <c r="V583" s="1"/>
      <c r="W583" s="1"/>
      <c r="X583" s="1">
        <v>308</v>
      </c>
      <c r="Y583" s="1">
        <v>282</v>
      </c>
      <c r="Z583" s="1"/>
      <c r="AA583" s="1"/>
      <c r="AB583" s="1"/>
      <c r="AC583" s="1"/>
      <c r="AD583" s="1"/>
      <c r="AE583" s="1">
        <f>COUNT(Q583:AD583)</f>
        <v>3</v>
      </c>
      <c r="AF583" s="1">
        <f t="shared" si="43"/>
        <v>292.66666666666669</v>
      </c>
      <c r="AG583" s="11" t="str">
        <f t="shared" si="44"/>
        <v>APROVADO</v>
      </c>
    </row>
    <row r="584" spans="2:33" ht="38.25" hidden="1" x14ac:dyDescent="0.25">
      <c r="B584" s="5">
        <v>578</v>
      </c>
      <c r="C584" s="16" t="s">
        <v>2766</v>
      </c>
      <c r="D584" s="5" t="s">
        <v>33</v>
      </c>
      <c r="E584" s="7" t="s">
        <v>2746</v>
      </c>
      <c r="F584" s="7" t="s">
        <v>2767</v>
      </c>
      <c r="G584" s="7" t="s">
        <v>107</v>
      </c>
      <c r="H584" s="8">
        <v>356288</v>
      </c>
      <c r="I584" s="7" t="s">
        <v>2748</v>
      </c>
      <c r="J584" s="7" t="s">
        <v>795</v>
      </c>
      <c r="K584" s="7" t="s">
        <v>2768</v>
      </c>
      <c r="L584" s="9" t="s">
        <v>2750</v>
      </c>
      <c r="M584" s="10">
        <v>45322</v>
      </c>
      <c r="N584" s="7" t="s">
        <v>82</v>
      </c>
      <c r="O584" s="7" t="s">
        <v>83</v>
      </c>
      <c r="P584" s="7" t="s">
        <v>784</v>
      </c>
      <c r="Q584" s="40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 t="e">
        <f t="shared" si="43"/>
        <v>#DIV/0!</v>
      </c>
      <c r="AG584" s="11" t="e">
        <f t="shared" si="44"/>
        <v>#DIV/0!</v>
      </c>
    </row>
    <row r="585" spans="2:33" ht="25.5" hidden="1" x14ac:dyDescent="0.25">
      <c r="B585" s="5">
        <v>579</v>
      </c>
      <c r="C585" s="16" t="s">
        <v>2769</v>
      </c>
      <c r="D585" s="5" t="s">
        <v>33</v>
      </c>
      <c r="E585" s="7" t="s">
        <v>2761</v>
      </c>
      <c r="F585" s="7" t="s">
        <v>2770</v>
      </c>
      <c r="G585" s="7" t="s">
        <v>107</v>
      </c>
      <c r="H585" s="8">
        <v>517300</v>
      </c>
      <c r="I585" s="7" t="s">
        <v>73</v>
      </c>
      <c r="J585" s="5" t="s">
        <v>74</v>
      </c>
      <c r="K585" s="7" t="s">
        <v>2763</v>
      </c>
      <c r="L585" s="9" t="s">
        <v>2764</v>
      </c>
      <c r="M585" s="10">
        <v>45322</v>
      </c>
      <c r="N585" s="7" t="s">
        <v>82</v>
      </c>
      <c r="O585" s="7" t="s">
        <v>68</v>
      </c>
      <c r="P585" s="9"/>
      <c r="Q585" s="40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 t="e">
        <f t="shared" si="43"/>
        <v>#DIV/0!</v>
      </c>
      <c r="AG585" s="11" t="e">
        <f t="shared" si="44"/>
        <v>#DIV/0!</v>
      </c>
    </row>
    <row r="586" spans="2:33" ht="25.5" hidden="1" x14ac:dyDescent="0.25">
      <c r="B586" s="5">
        <v>580</v>
      </c>
      <c r="C586" s="16" t="s">
        <v>2771</v>
      </c>
      <c r="D586" s="5" t="s">
        <v>33</v>
      </c>
      <c r="E586" s="7" t="s">
        <v>2761</v>
      </c>
      <c r="F586" s="7" t="s">
        <v>2772</v>
      </c>
      <c r="G586" s="7" t="s">
        <v>107</v>
      </c>
      <c r="H586" s="8">
        <v>472580</v>
      </c>
      <c r="I586" s="7" t="s">
        <v>73</v>
      </c>
      <c r="J586" s="5" t="s">
        <v>74</v>
      </c>
      <c r="K586" s="7" t="s">
        <v>2763</v>
      </c>
      <c r="L586" s="9" t="s">
        <v>2764</v>
      </c>
      <c r="M586" s="10">
        <v>45322</v>
      </c>
      <c r="N586" s="7" t="s">
        <v>82</v>
      </c>
      <c r="O586" s="7" t="s">
        <v>2751</v>
      </c>
      <c r="P586" s="7" t="s">
        <v>2765</v>
      </c>
      <c r="Q586" s="40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 t="e">
        <f t="shared" si="43"/>
        <v>#DIV/0!</v>
      </c>
      <c r="AG586" s="11" t="e">
        <f t="shared" si="44"/>
        <v>#DIV/0!</v>
      </c>
    </row>
    <row r="587" spans="2:33" ht="25.5" hidden="1" x14ac:dyDescent="0.25">
      <c r="B587" s="5">
        <v>581</v>
      </c>
      <c r="C587" s="16" t="s">
        <v>2773</v>
      </c>
      <c r="D587" s="5" t="s">
        <v>33</v>
      </c>
      <c r="E587" s="7" t="s">
        <v>2774</v>
      </c>
      <c r="F587" s="7" t="s">
        <v>2775</v>
      </c>
      <c r="G587" s="7" t="s">
        <v>107</v>
      </c>
      <c r="H587" s="8">
        <v>811992.39</v>
      </c>
      <c r="I587" s="7" t="s">
        <v>73</v>
      </c>
      <c r="J587" s="5" t="s">
        <v>74</v>
      </c>
      <c r="K587" s="7" t="s">
        <v>2776</v>
      </c>
      <c r="L587" s="9" t="s">
        <v>2777</v>
      </c>
      <c r="M587" s="10">
        <v>45322</v>
      </c>
      <c r="N587" s="7" t="s">
        <v>82</v>
      </c>
      <c r="O587" s="7" t="s">
        <v>83</v>
      </c>
      <c r="P587" s="9"/>
      <c r="Q587" s="40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 t="e">
        <f t="shared" si="43"/>
        <v>#DIV/0!</v>
      </c>
      <c r="AG587" s="11" t="e">
        <f t="shared" si="44"/>
        <v>#DIV/0!</v>
      </c>
    </row>
    <row r="588" spans="2:33" ht="25.5" hidden="1" x14ac:dyDescent="0.25">
      <c r="B588" s="5">
        <v>582</v>
      </c>
      <c r="C588" s="16" t="s">
        <v>2778</v>
      </c>
      <c r="D588" s="5" t="s">
        <v>33</v>
      </c>
      <c r="E588" s="7" t="s">
        <v>2779</v>
      </c>
      <c r="F588" s="7" t="s">
        <v>2780</v>
      </c>
      <c r="G588" s="7" t="s">
        <v>107</v>
      </c>
      <c r="H588" s="8">
        <v>780717.03</v>
      </c>
      <c r="I588" s="7" t="s">
        <v>73</v>
      </c>
      <c r="J588" s="5" t="s">
        <v>74</v>
      </c>
      <c r="K588" s="7" t="s">
        <v>2781</v>
      </c>
      <c r="L588" s="9" t="s">
        <v>2782</v>
      </c>
      <c r="M588" s="10">
        <v>45322</v>
      </c>
      <c r="N588" s="7" t="s">
        <v>82</v>
      </c>
      <c r="O588" s="7" t="s">
        <v>845</v>
      </c>
      <c r="P588" s="9"/>
      <c r="Q588" s="40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 t="e">
        <f t="shared" si="43"/>
        <v>#DIV/0!</v>
      </c>
      <c r="AG588" s="11" t="e">
        <f t="shared" si="44"/>
        <v>#DIV/0!</v>
      </c>
    </row>
    <row r="589" spans="2:33" ht="25.5" hidden="1" x14ac:dyDescent="0.25">
      <c r="B589" s="5">
        <v>583</v>
      </c>
      <c r="C589" s="16" t="s">
        <v>2783</v>
      </c>
      <c r="D589" s="5" t="s">
        <v>33</v>
      </c>
      <c r="E589" s="7" t="s">
        <v>2779</v>
      </c>
      <c r="F589" s="7" t="s">
        <v>2784</v>
      </c>
      <c r="G589" s="7" t="s">
        <v>107</v>
      </c>
      <c r="H589" s="8">
        <v>780717.03</v>
      </c>
      <c r="I589" s="7" t="s">
        <v>73</v>
      </c>
      <c r="J589" s="5" t="s">
        <v>74</v>
      </c>
      <c r="K589" s="7" t="s">
        <v>2781</v>
      </c>
      <c r="L589" s="9" t="s">
        <v>2782</v>
      </c>
      <c r="M589" s="10">
        <v>45322</v>
      </c>
      <c r="N589" s="7" t="s">
        <v>82</v>
      </c>
      <c r="O589" s="7" t="s">
        <v>845</v>
      </c>
      <c r="P589" s="9"/>
      <c r="Q589" s="40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 t="e">
        <f t="shared" si="43"/>
        <v>#DIV/0!</v>
      </c>
      <c r="AG589" s="11" t="e">
        <f t="shared" si="44"/>
        <v>#DIV/0!</v>
      </c>
    </row>
    <row r="590" spans="2:33" ht="25.5" hidden="1" x14ac:dyDescent="0.25">
      <c r="B590" s="5">
        <v>584</v>
      </c>
      <c r="C590" s="16" t="s">
        <v>2785</v>
      </c>
      <c r="D590" s="5" t="s">
        <v>33</v>
      </c>
      <c r="E590" s="7" t="s">
        <v>2786</v>
      </c>
      <c r="F590" s="7" t="s">
        <v>2787</v>
      </c>
      <c r="G590" s="5" t="s">
        <v>62</v>
      </c>
      <c r="H590" s="8">
        <v>845957.38</v>
      </c>
      <c r="I590" s="7" t="s">
        <v>73</v>
      </c>
      <c r="J590" s="5" t="s">
        <v>74</v>
      </c>
      <c r="K590" s="7" t="s">
        <v>2788</v>
      </c>
      <c r="L590" s="9" t="s">
        <v>2789</v>
      </c>
      <c r="M590" s="10">
        <v>45322</v>
      </c>
      <c r="N590" s="7" t="s">
        <v>82</v>
      </c>
      <c r="O590" s="7" t="s">
        <v>845</v>
      </c>
      <c r="P590" s="9" t="s">
        <v>2790</v>
      </c>
      <c r="Q590" s="40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 t="e">
        <f t="shared" si="43"/>
        <v>#DIV/0!</v>
      </c>
      <c r="AG590" s="11" t="e">
        <f t="shared" si="44"/>
        <v>#DIV/0!</v>
      </c>
    </row>
    <row r="591" spans="2:33" ht="25.5" hidden="1" x14ac:dyDescent="0.25">
      <c r="B591" s="5">
        <v>585</v>
      </c>
      <c r="C591" s="27" t="s">
        <v>2791</v>
      </c>
      <c r="D591" s="5" t="s">
        <v>33</v>
      </c>
      <c r="E591" s="7" t="s">
        <v>2792</v>
      </c>
      <c r="F591" s="7" t="s">
        <v>2793</v>
      </c>
      <c r="G591" s="5" t="s">
        <v>62</v>
      </c>
      <c r="H591" s="8">
        <v>130000</v>
      </c>
      <c r="I591" s="7" t="s">
        <v>2794</v>
      </c>
      <c r="J591" s="7" t="s">
        <v>391</v>
      </c>
      <c r="K591" s="7" t="s">
        <v>2795</v>
      </c>
      <c r="L591" s="9" t="s">
        <v>2796</v>
      </c>
      <c r="M591" s="10">
        <v>45322</v>
      </c>
      <c r="N591" s="7" t="s">
        <v>41</v>
      </c>
      <c r="O591" s="9"/>
      <c r="P591" s="9"/>
      <c r="Q591" s="40">
        <v>337</v>
      </c>
      <c r="R591" s="1">
        <v>263</v>
      </c>
      <c r="S591" s="1"/>
      <c r="T591" s="1">
        <v>261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>
        <f t="shared" ref="AE591:AE599" si="45">COUNT(Q591:AD591)</f>
        <v>3</v>
      </c>
      <c r="AF591" s="1">
        <f t="shared" si="43"/>
        <v>287</v>
      </c>
      <c r="AG591" s="11" t="str">
        <f t="shared" si="44"/>
        <v>APROVADO</v>
      </c>
    </row>
    <row r="592" spans="2:33" ht="38.25" hidden="1" x14ac:dyDescent="0.25">
      <c r="B592" s="5">
        <v>586</v>
      </c>
      <c r="C592" s="6" t="s">
        <v>2797</v>
      </c>
      <c r="D592" s="5" t="s">
        <v>33</v>
      </c>
      <c r="E592" s="7" t="s">
        <v>2798</v>
      </c>
      <c r="F592" s="7" t="s">
        <v>2799</v>
      </c>
      <c r="G592" s="7" t="s">
        <v>107</v>
      </c>
      <c r="H592" s="8">
        <v>343320</v>
      </c>
      <c r="I592" s="7" t="s">
        <v>73</v>
      </c>
      <c r="J592" s="5" t="s">
        <v>74</v>
      </c>
      <c r="K592" s="7" t="s">
        <v>2800</v>
      </c>
      <c r="L592" s="9" t="s">
        <v>2801</v>
      </c>
      <c r="M592" s="10">
        <v>45322</v>
      </c>
      <c r="N592" s="7" t="s">
        <v>67</v>
      </c>
      <c r="O592" s="7" t="s">
        <v>68</v>
      </c>
      <c r="P592" s="9"/>
      <c r="Q592" s="40">
        <v>264</v>
      </c>
      <c r="R592" s="1"/>
      <c r="S592" s="1"/>
      <c r="T592" s="1"/>
      <c r="U592" s="1"/>
      <c r="V592" s="1"/>
      <c r="W592" s="1">
        <v>333</v>
      </c>
      <c r="X592" s="1"/>
      <c r="Y592" s="1">
        <v>340</v>
      </c>
      <c r="Z592" s="1"/>
      <c r="AA592" s="1"/>
      <c r="AB592" s="1"/>
      <c r="AC592" s="1"/>
      <c r="AD592" s="1"/>
      <c r="AE592" s="1">
        <f t="shared" si="45"/>
        <v>3</v>
      </c>
      <c r="AF592" s="1">
        <f t="shared" si="43"/>
        <v>312.33333333333331</v>
      </c>
      <c r="AG592" s="11" t="str">
        <f t="shared" si="44"/>
        <v>APROVADO</v>
      </c>
    </row>
    <row r="593" spans="2:33" ht="38.25" hidden="1" x14ac:dyDescent="0.25">
      <c r="B593" s="5">
        <v>587</v>
      </c>
      <c r="C593" s="6" t="s">
        <v>2802</v>
      </c>
      <c r="D593" s="5" t="s">
        <v>33</v>
      </c>
      <c r="E593" s="7" t="s">
        <v>2798</v>
      </c>
      <c r="F593" s="7" t="s">
        <v>2803</v>
      </c>
      <c r="G593" s="7" t="s">
        <v>107</v>
      </c>
      <c r="H593" s="8">
        <v>397080</v>
      </c>
      <c r="I593" s="7" t="s">
        <v>73</v>
      </c>
      <c r="J593" s="5" t="s">
        <v>74</v>
      </c>
      <c r="K593" s="7" t="s">
        <v>2800</v>
      </c>
      <c r="L593" s="9" t="s">
        <v>2801</v>
      </c>
      <c r="M593" s="10">
        <v>45322</v>
      </c>
      <c r="N593" s="7" t="s">
        <v>67</v>
      </c>
      <c r="O593" s="7" t="s">
        <v>68</v>
      </c>
      <c r="P593" s="9"/>
      <c r="Q593" s="40">
        <v>292</v>
      </c>
      <c r="R593" s="1">
        <v>170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>
        <v>177</v>
      </c>
      <c r="AE593" s="1">
        <f t="shared" si="45"/>
        <v>3</v>
      </c>
      <c r="AF593" s="1">
        <f t="shared" si="43"/>
        <v>213</v>
      </c>
      <c r="AG593" s="11" t="str">
        <f t="shared" si="44"/>
        <v>APROVADO</v>
      </c>
    </row>
    <row r="594" spans="2:33" ht="38.25" hidden="1" x14ac:dyDescent="0.25">
      <c r="B594" s="5">
        <v>588</v>
      </c>
      <c r="C594" s="6" t="s">
        <v>2804</v>
      </c>
      <c r="D594" s="5" t="s">
        <v>33</v>
      </c>
      <c r="E594" s="5" t="s">
        <v>2798</v>
      </c>
      <c r="F594" s="5" t="s">
        <v>2805</v>
      </c>
      <c r="G594" s="7" t="s">
        <v>107</v>
      </c>
      <c r="H594" s="8">
        <v>467160</v>
      </c>
      <c r="I594" s="7" t="s">
        <v>73</v>
      </c>
      <c r="J594" s="5" t="s">
        <v>74</v>
      </c>
      <c r="K594" s="7" t="s">
        <v>2800</v>
      </c>
      <c r="L594" s="9" t="s">
        <v>2801</v>
      </c>
      <c r="M594" s="10">
        <v>45322</v>
      </c>
      <c r="N594" s="5" t="s">
        <v>67</v>
      </c>
      <c r="O594" s="7" t="s">
        <v>68</v>
      </c>
      <c r="P594" s="9"/>
      <c r="Q594" s="39">
        <v>258</v>
      </c>
      <c r="R594" s="1"/>
      <c r="S594" s="1"/>
      <c r="T594" s="1"/>
      <c r="U594" s="1"/>
      <c r="V594" s="1"/>
      <c r="W594" s="1"/>
      <c r="X594" s="1">
        <v>260</v>
      </c>
      <c r="Y594" s="1">
        <v>279</v>
      </c>
      <c r="Z594" s="1"/>
      <c r="AA594" s="1"/>
      <c r="AB594" s="1"/>
      <c r="AC594" s="1"/>
      <c r="AD594" s="1"/>
      <c r="AE594" s="1">
        <f t="shared" si="45"/>
        <v>3</v>
      </c>
      <c r="AF594" s="1">
        <f t="shared" si="43"/>
        <v>265.66666666666669</v>
      </c>
      <c r="AG594" s="11" t="str">
        <f t="shared" si="44"/>
        <v>APROVADO</v>
      </c>
    </row>
    <row r="595" spans="2:33" ht="25.5" hidden="1" x14ac:dyDescent="0.25">
      <c r="B595" s="5">
        <v>589</v>
      </c>
      <c r="C595" s="6" t="s">
        <v>2806</v>
      </c>
      <c r="D595" s="5" t="s">
        <v>33</v>
      </c>
      <c r="E595" s="5" t="s">
        <v>2807</v>
      </c>
      <c r="F595" s="5" t="s">
        <v>2808</v>
      </c>
      <c r="G595" s="7" t="s">
        <v>107</v>
      </c>
      <c r="H595" s="8">
        <v>468232.2</v>
      </c>
      <c r="I595" s="7" t="s">
        <v>73</v>
      </c>
      <c r="J595" s="5" t="s">
        <v>74</v>
      </c>
      <c r="K595" s="7" t="s">
        <v>2809</v>
      </c>
      <c r="L595" s="9" t="s">
        <v>2810</v>
      </c>
      <c r="M595" s="10">
        <v>45322</v>
      </c>
      <c r="N595" s="5" t="s">
        <v>67</v>
      </c>
      <c r="O595" s="7" t="s">
        <v>68</v>
      </c>
      <c r="P595" s="9"/>
      <c r="Q595" s="39">
        <v>271</v>
      </c>
      <c r="R595" s="1"/>
      <c r="S595" s="1"/>
      <c r="T595" s="1"/>
      <c r="U595" s="1"/>
      <c r="V595" s="1"/>
      <c r="W595" s="1">
        <v>288</v>
      </c>
      <c r="X595" s="1">
        <v>271</v>
      </c>
      <c r="Y595" s="1"/>
      <c r="Z595" s="1"/>
      <c r="AA595" s="1"/>
      <c r="AB595" s="1"/>
      <c r="AC595" s="1"/>
      <c r="AD595" s="1"/>
      <c r="AE595" s="1">
        <f t="shared" si="45"/>
        <v>3</v>
      </c>
      <c r="AF595" s="1">
        <f t="shared" si="43"/>
        <v>276.66666666666669</v>
      </c>
      <c r="AG595" s="11" t="str">
        <f t="shared" si="44"/>
        <v>APROVADO</v>
      </c>
    </row>
    <row r="596" spans="2:33" ht="25.5" hidden="1" x14ac:dyDescent="0.25">
      <c r="B596" s="5">
        <v>590</v>
      </c>
      <c r="C596" s="6" t="s">
        <v>2811</v>
      </c>
      <c r="D596" s="5" t="s">
        <v>33</v>
      </c>
      <c r="E596" s="7" t="s">
        <v>2807</v>
      </c>
      <c r="F596" s="7" t="s">
        <v>2812</v>
      </c>
      <c r="G596" s="7" t="s">
        <v>107</v>
      </c>
      <c r="H596" s="8">
        <v>433836</v>
      </c>
      <c r="I596" s="7" t="s">
        <v>73</v>
      </c>
      <c r="J596" s="5" t="s">
        <v>74</v>
      </c>
      <c r="K596" s="7" t="s">
        <v>2809</v>
      </c>
      <c r="L596" s="9" t="s">
        <v>2810</v>
      </c>
      <c r="M596" s="10">
        <v>45322</v>
      </c>
      <c r="N596" s="7" t="s">
        <v>67</v>
      </c>
      <c r="O596" s="7" t="s">
        <v>68</v>
      </c>
      <c r="P596" s="9"/>
      <c r="Q596" s="40">
        <v>244</v>
      </c>
      <c r="R596" s="1"/>
      <c r="S596" s="1"/>
      <c r="T596" s="1"/>
      <c r="U596" s="1"/>
      <c r="V596" s="1"/>
      <c r="W596" s="1"/>
      <c r="X596" s="1">
        <v>316</v>
      </c>
      <c r="Y596" s="1"/>
      <c r="Z596" s="1"/>
      <c r="AA596" s="1"/>
      <c r="AB596" s="1"/>
      <c r="AC596" s="1">
        <v>329</v>
      </c>
      <c r="AD596" s="1"/>
      <c r="AE596" s="1">
        <f t="shared" si="45"/>
        <v>3</v>
      </c>
      <c r="AF596" s="1">
        <f t="shared" si="43"/>
        <v>296.33333333333331</v>
      </c>
      <c r="AG596" s="11" t="str">
        <f t="shared" si="44"/>
        <v>APROVADO</v>
      </c>
    </row>
    <row r="597" spans="2:33" ht="25.5" hidden="1" x14ac:dyDescent="0.25">
      <c r="B597" s="5">
        <v>591</v>
      </c>
      <c r="C597" s="6" t="s">
        <v>2813</v>
      </c>
      <c r="D597" s="5" t="s">
        <v>33</v>
      </c>
      <c r="E597" s="7" t="s">
        <v>2807</v>
      </c>
      <c r="F597" s="7" t="s">
        <v>2814</v>
      </c>
      <c r="G597" s="7" t="s">
        <v>107</v>
      </c>
      <c r="H597" s="8">
        <v>367680</v>
      </c>
      <c r="I597" s="7" t="s">
        <v>73</v>
      </c>
      <c r="J597" s="5" t="s">
        <v>74</v>
      </c>
      <c r="K597" s="7" t="s">
        <v>2809</v>
      </c>
      <c r="L597" s="9" t="s">
        <v>2810</v>
      </c>
      <c r="M597" s="10">
        <v>45322</v>
      </c>
      <c r="N597" s="7" t="s">
        <v>67</v>
      </c>
      <c r="O597" s="7" t="s">
        <v>68</v>
      </c>
      <c r="P597" s="9"/>
      <c r="Q597" s="40">
        <v>299</v>
      </c>
      <c r="R597" s="1"/>
      <c r="S597" s="1"/>
      <c r="T597" s="1"/>
      <c r="U597" s="1"/>
      <c r="V597" s="1"/>
      <c r="W597" s="1">
        <v>320</v>
      </c>
      <c r="X597" s="1"/>
      <c r="Y597" s="1">
        <v>340</v>
      </c>
      <c r="Z597" s="1"/>
      <c r="AA597" s="1"/>
      <c r="AB597" s="1"/>
      <c r="AC597" s="1"/>
      <c r="AD597" s="1"/>
      <c r="AE597" s="1">
        <f t="shared" si="45"/>
        <v>3</v>
      </c>
      <c r="AF597" s="1">
        <f t="shared" si="43"/>
        <v>319.66666666666669</v>
      </c>
      <c r="AG597" s="11" t="str">
        <f t="shared" si="44"/>
        <v>APROVADO</v>
      </c>
    </row>
    <row r="598" spans="2:33" hidden="1" x14ac:dyDescent="0.25">
      <c r="B598" s="5">
        <v>592</v>
      </c>
      <c r="C598" s="6" t="s">
        <v>2815</v>
      </c>
      <c r="D598" s="5" t="s">
        <v>33</v>
      </c>
      <c r="E598" s="7" t="s">
        <v>2816</v>
      </c>
      <c r="F598" s="7" t="s">
        <v>2817</v>
      </c>
      <c r="G598" s="7" t="s">
        <v>107</v>
      </c>
      <c r="H598" s="8">
        <v>349940</v>
      </c>
      <c r="I598" s="7" t="s">
        <v>2818</v>
      </c>
      <c r="J598" s="7" t="s">
        <v>1414</v>
      </c>
      <c r="K598" s="7" t="s">
        <v>2819</v>
      </c>
      <c r="L598" s="9" t="s">
        <v>2820</v>
      </c>
      <c r="M598" s="10">
        <v>45322</v>
      </c>
      <c r="N598" s="7" t="s">
        <v>67</v>
      </c>
      <c r="O598" s="7" t="s">
        <v>2821</v>
      </c>
      <c r="P598" s="7"/>
      <c r="Q598" s="40">
        <v>269</v>
      </c>
      <c r="R598" s="1"/>
      <c r="S598" s="1"/>
      <c r="T598" s="1"/>
      <c r="U598" s="1"/>
      <c r="V598" s="1">
        <v>258</v>
      </c>
      <c r="W598" s="1">
        <v>256</v>
      </c>
      <c r="X598" s="1"/>
      <c r="Y598" s="1"/>
      <c r="Z598" s="1"/>
      <c r="AA598" s="1"/>
      <c r="AB598" s="1"/>
      <c r="AC598" s="1"/>
      <c r="AD598" s="1"/>
      <c r="AE598" s="1">
        <f t="shared" si="45"/>
        <v>3</v>
      </c>
      <c r="AF598" s="1">
        <f t="shared" si="43"/>
        <v>261</v>
      </c>
      <c r="AG598" s="11" t="str">
        <f t="shared" si="44"/>
        <v>APROVADO</v>
      </c>
    </row>
    <row r="599" spans="2:33" hidden="1" x14ac:dyDescent="0.25">
      <c r="B599" s="5">
        <v>593</v>
      </c>
      <c r="C599" s="6" t="s">
        <v>2822</v>
      </c>
      <c r="D599" s="5" t="s">
        <v>33</v>
      </c>
      <c r="E599" s="7" t="s">
        <v>2816</v>
      </c>
      <c r="F599" s="7" t="s">
        <v>2823</v>
      </c>
      <c r="G599" s="7" t="s">
        <v>107</v>
      </c>
      <c r="H599" s="8">
        <v>428520</v>
      </c>
      <c r="I599" s="7" t="s">
        <v>2818</v>
      </c>
      <c r="J599" s="7" t="s">
        <v>1414</v>
      </c>
      <c r="K599" s="7" t="s">
        <v>2819</v>
      </c>
      <c r="L599" s="9" t="s">
        <v>2820</v>
      </c>
      <c r="M599" s="10">
        <v>45322</v>
      </c>
      <c r="N599" s="7" t="s">
        <v>67</v>
      </c>
      <c r="O599" s="9"/>
      <c r="P599" s="7" t="s">
        <v>2111</v>
      </c>
      <c r="Q599" s="40">
        <v>287</v>
      </c>
      <c r="R599" s="1"/>
      <c r="S599" s="1"/>
      <c r="T599" s="1"/>
      <c r="U599" s="1"/>
      <c r="V599" s="1"/>
      <c r="W599" s="1">
        <v>331</v>
      </c>
      <c r="X599" s="1"/>
      <c r="Y599" s="1">
        <v>340</v>
      </c>
      <c r="Z599" s="1"/>
      <c r="AA599" s="1"/>
      <c r="AB599" s="1"/>
      <c r="AC599" s="1"/>
      <c r="AD599" s="1"/>
      <c r="AE599" s="1">
        <f t="shared" si="45"/>
        <v>3</v>
      </c>
      <c r="AF599" s="1">
        <f t="shared" si="43"/>
        <v>319.33333333333331</v>
      </c>
      <c r="AG599" s="11" t="str">
        <f t="shared" si="44"/>
        <v>APROVADO</v>
      </c>
    </row>
    <row r="600" spans="2:33" hidden="1" x14ac:dyDescent="0.25">
      <c r="B600" s="5">
        <v>594</v>
      </c>
      <c r="C600" s="16" t="s">
        <v>2824</v>
      </c>
      <c r="D600" s="5" t="s">
        <v>33</v>
      </c>
      <c r="E600" s="7" t="s">
        <v>2816</v>
      </c>
      <c r="F600" s="7" t="s">
        <v>2825</v>
      </c>
      <c r="G600" s="7" t="s">
        <v>107</v>
      </c>
      <c r="H600" s="8">
        <v>428520</v>
      </c>
      <c r="I600" s="7" t="s">
        <v>2818</v>
      </c>
      <c r="J600" s="7" t="s">
        <v>1414</v>
      </c>
      <c r="K600" s="7" t="s">
        <v>2819</v>
      </c>
      <c r="L600" s="9" t="s">
        <v>2820</v>
      </c>
      <c r="M600" s="10">
        <v>45322</v>
      </c>
      <c r="N600" s="7" t="s">
        <v>226</v>
      </c>
      <c r="O600" s="9" t="s">
        <v>2826</v>
      </c>
      <c r="P600" s="7" t="s">
        <v>2111</v>
      </c>
      <c r="Q600" s="40">
        <v>0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>
        <f t="shared" si="43"/>
        <v>0</v>
      </c>
      <c r="AG600" s="11" t="str">
        <f t="shared" si="44"/>
        <v>REPROVADO</v>
      </c>
    </row>
    <row r="601" spans="2:33" ht="25.5" hidden="1" x14ac:dyDescent="0.25">
      <c r="B601" s="5">
        <v>595</v>
      </c>
      <c r="C601" s="16" t="s">
        <v>2827</v>
      </c>
      <c r="D601" s="5" t="s">
        <v>33</v>
      </c>
      <c r="E601" s="7" t="s">
        <v>2828</v>
      </c>
      <c r="F601" s="7" t="s">
        <v>2808</v>
      </c>
      <c r="G601" s="7" t="s">
        <v>107</v>
      </c>
      <c r="H601" s="8">
        <v>367680</v>
      </c>
      <c r="I601" s="7" t="s">
        <v>73</v>
      </c>
      <c r="J601" s="5" t="s">
        <v>74</v>
      </c>
      <c r="K601" s="7" t="s">
        <v>2829</v>
      </c>
      <c r="L601" s="9" t="s">
        <v>2830</v>
      </c>
      <c r="M601" s="10">
        <v>45322</v>
      </c>
      <c r="N601" s="7" t="s">
        <v>82</v>
      </c>
      <c r="O601" s="7" t="s">
        <v>845</v>
      </c>
      <c r="P601" s="9"/>
      <c r="Q601" s="40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 t="e">
        <f t="shared" si="43"/>
        <v>#DIV/0!</v>
      </c>
      <c r="AG601" s="11" t="e">
        <f t="shared" si="44"/>
        <v>#DIV/0!</v>
      </c>
    </row>
    <row r="602" spans="2:33" ht="25.5" hidden="1" x14ac:dyDescent="0.25">
      <c r="B602" s="5">
        <v>596</v>
      </c>
      <c r="C602" s="16" t="s">
        <v>2831</v>
      </c>
      <c r="D602" s="5" t="s">
        <v>51</v>
      </c>
      <c r="E602" s="7" t="s">
        <v>2832</v>
      </c>
      <c r="F602" s="7" t="s">
        <v>2833</v>
      </c>
      <c r="G602" s="7" t="s">
        <v>45</v>
      </c>
      <c r="H602" s="28">
        <v>265000</v>
      </c>
      <c r="I602" s="13" t="s">
        <v>2834</v>
      </c>
      <c r="J602" s="11" t="s">
        <v>181</v>
      </c>
      <c r="K602" s="13" t="s">
        <v>2835</v>
      </c>
      <c r="L602" s="30" t="s">
        <v>2836</v>
      </c>
      <c r="M602" s="26">
        <v>45322</v>
      </c>
      <c r="N602" s="7" t="s">
        <v>82</v>
      </c>
      <c r="O602" s="14" t="s">
        <v>83</v>
      </c>
      <c r="P602" s="1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0"/>
      <c r="AD602" s="20"/>
      <c r="AE602" s="20"/>
      <c r="AF602" s="1" t="e">
        <f t="shared" si="43"/>
        <v>#DIV/0!</v>
      </c>
      <c r="AG602" s="11" t="e">
        <f t="shared" si="44"/>
        <v>#DIV/0!</v>
      </c>
    </row>
    <row r="603" spans="2:33" ht="25.5" hidden="1" x14ac:dyDescent="0.25">
      <c r="B603" s="5">
        <v>597</v>
      </c>
      <c r="C603" s="16" t="s">
        <v>2837</v>
      </c>
      <c r="D603" s="5" t="s">
        <v>33</v>
      </c>
      <c r="E603" s="7" t="s">
        <v>2838</v>
      </c>
      <c r="F603" s="7" t="s">
        <v>2839</v>
      </c>
      <c r="G603" s="7" t="s">
        <v>107</v>
      </c>
      <c r="H603" s="8">
        <v>1819351.32</v>
      </c>
      <c r="I603" s="7" t="s">
        <v>73</v>
      </c>
      <c r="J603" s="5" t="s">
        <v>74</v>
      </c>
      <c r="K603" s="7" t="s">
        <v>2840</v>
      </c>
      <c r="L603" s="9" t="s">
        <v>2841</v>
      </c>
      <c r="M603" s="10">
        <v>45322</v>
      </c>
      <c r="N603" s="7" t="s">
        <v>82</v>
      </c>
      <c r="O603" s="7" t="s">
        <v>419</v>
      </c>
      <c r="P603" s="7"/>
      <c r="Q603" s="40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 t="e">
        <f t="shared" si="43"/>
        <v>#DIV/0!</v>
      </c>
      <c r="AG603" s="11" t="e">
        <f t="shared" si="44"/>
        <v>#DIV/0!</v>
      </c>
    </row>
    <row r="604" spans="2:33" ht="25.5" hidden="1" x14ac:dyDescent="0.25">
      <c r="B604" s="5">
        <v>598</v>
      </c>
      <c r="C604" s="16" t="s">
        <v>2842</v>
      </c>
      <c r="D604" s="5" t="s">
        <v>33</v>
      </c>
      <c r="E604" s="7" t="s">
        <v>2843</v>
      </c>
      <c r="F604" s="7" t="s">
        <v>2844</v>
      </c>
      <c r="G604" s="7" t="s">
        <v>107</v>
      </c>
      <c r="H604" s="8">
        <v>1134197.56</v>
      </c>
      <c r="I604" s="7" t="s">
        <v>73</v>
      </c>
      <c r="J604" s="7" t="s">
        <v>74</v>
      </c>
      <c r="K604" s="7" t="s">
        <v>2845</v>
      </c>
      <c r="L604" s="9" t="s">
        <v>2846</v>
      </c>
      <c r="M604" s="10">
        <v>45322</v>
      </c>
      <c r="N604" s="7" t="s">
        <v>82</v>
      </c>
      <c r="O604" s="7" t="s">
        <v>845</v>
      </c>
      <c r="P604" s="7"/>
      <c r="Q604" s="40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 t="e">
        <f t="shared" si="43"/>
        <v>#DIV/0!</v>
      </c>
      <c r="AG604" s="11" t="e">
        <f t="shared" si="44"/>
        <v>#DIV/0!</v>
      </c>
    </row>
    <row r="605" spans="2:33" ht="25.5" hidden="1" x14ac:dyDescent="0.25">
      <c r="B605" s="5">
        <v>599</v>
      </c>
      <c r="C605" s="16" t="s">
        <v>2847</v>
      </c>
      <c r="D605" s="5" t="s">
        <v>33</v>
      </c>
      <c r="E605" s="7" t="s">
        <v>2848</v>
      </c>
      <c r="F605" s="7" t="s">
        <v>2849</v>
      </c>
      <c r="G605" s="7" t="s">
        <v>107</v>
      </c>
      <c r="H605" s="8">
        <v>1214351.32</v>
      </c>
      <c r="I605" s="7" t="s">
        <v>73</v>
      </c>
      <c r="J605" s="5" t="s">
        <v>74</v>
      </c>
      <c r="K605" s="7" t="s">
        <v>2850</v>
      </c>
      <c r="L605" s="9" t="s">
        <v>2851</v>
      </c>
      <c r="M605" s="10">
        <v>45322</v>
      </c>
      <c r="N605" s="7" t="s">
        <v>82</v>
      </c>
      <c r="O605" s="7" t="s">
        <v>419</v>
      </c>
      <c r="P605" s="7"/>
      <c r="Q605" s="40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 t="e">
        <f t="shared" si="43"/>
        <v>#DIV/0!</v>
      </c>
      <c r="AG605" s="11" t="e">
        <f t="shared" si="44"/>
        <v>#DIV/0!</v>
      </c>
    </row>
    <row r="606" spans="2:33" ht="25.5" hidden="1" x14ac:dyDescent="0.25">
      <c r="B606" s="5">
        <v>600</v>
      </c>
      <c r="C606" s="16" t="s">
        <v>2852</v>
      </c>
      <c r="D606" s="5" t="s">
        <v>33</v>
      </c>
      <c r="E606" s="7" t="s">
        <v>2853</v>
      </c>
      <c r="F606" s="7" t="s">
        <v>2854</v>
      </c>
      <c r="G606" s="7" t="s">
        <v>107</v>
      </c>
      <c r="H606" s="8">
        <v>1819351.32</v>
      </c>
      <c r="I606" s="7" t="s">
        <v>73</v>
      </c>
      <c r="J606" s="5" t="s">
        <v>74</v>
      </c>
      <c r="K606" s="7" t="s">
        <v>2855</v>
      </c>
      <c r="L606" s="9" t="s">
        <v>2856</v>
      </c>
      <c r="M606" s="10">
        <v>45322</v>
      </c>
      <c r="N606" s="7" t="s">
        <v>82</v>
      </c>
      <c r="O606" s="7" t="s">
        <v>419</v>
      </c>
      <c r="P606" s="7"/>
      <c r="Q606" s="40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 t="e">
        <f t="shared" si="43"/>
        <v>#DIV/0!</v>
      </c>
      <c r="AG606" s="11" t="e">
        <f t="shared" si="44"/>
        <v>#DIV/0!</v>
      </c>
    </row>
    <row r="607" spans="2:33" ht="25.5" hidden="1" x14ac:dyDescent="0.25">
      <c r="B607" s="5">
        <v>601</v>
      </c>
      <c r="C607" s="16" t="s">
        <v>2857</v>
      </c>
      <c r="D607" s="5" t="s">
        <v>33</v>
      </c>
      <c r="E607" s="7" t="s">
        <v>2858</v>
      </c>
      <c r="F607" s="7" t="s">
        <v>2859</v>
      </c>
      <c r="G607" s="7" t="s">
        <v>107</v>
      </c>
      <c r="H607" s="8">
        <v>1214351.32</v>
      </c>
      <c r="I607" s="7" t="s">
        <v>73</v>
      </c>
      <c r="J607" s="5" t="s">
        <v>74</v>
      </c>
      <c r="K607" s="7" t="s">
        <v>2860</v>
      </c>
      <c r="L607" s="9" t="s">
        <v>2861</v>
      </c>
      <c r="M607" s="10">
        <v>45322</v>
      </c>
      <c r="N607" s="7" t="s">
        <v>82</v>
      </c>
      <c r="O607" s="7" t="s">
        <v>419</v>
      </c>
      <c r="P607" s="7"/>
      <c r="Q607" s="40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 t="e">
        <f t="shared" si="43"/>
        <v>#DIV/0!</v>
      </c>
      <c r="AG607" s="11" t="e">
        <f t="shared" si="44"/>
        <v>#DIV/0!</v>
      </c>
    </row>
    <row r="608" spans="2:33" ht="25.5" hidden="1" x14ac:dyDescent="0.25">
      <c r="B608" s="5">
        <v>602</v>
      </c>
      <c r="C608" s="16" t="s">
        <v>2862</v>
      </c>
      <c r="D608" s="5" t="s">
        <v>33</v>
      </c>
      <c r="E608" s="5" t="s">
        <v>2863</v>
      </c>
      <c r="F608" s="5" t="s">
        <v>2864</v>
      </c>
      <c r="G608" s="7" t="s">
        <v>36</v>
      </c>
      <c r="H608" s="17">
        <v>2500000</v>
      </c>
      <c r="I608" s="7" t="s">
        <v>73</v>
      </c>
      <c r="J608" s="5" t="s">
        <v>74</v>
      </c>
      <c r="K608" s="5" t="s">
        <v>2865</v>
      </c>
      <c r="L608" s="9" t="s">
        <v>2866</v>
      </c>
      <c r="M608" s="10">
        <v>45322</v>
      </c>
      <c r="N608" s="7" t="s">
        <v>82</v>
      </c>
      <c r="O608" s="7" t="s">
        <v>845</v>
      </c>
      <c r="P608" s="7"/>
      <c r="Q608" s="40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 t="e">
        <f t="shared" si="43"/>
        <v>#DIV/0!</v>
      </c>
      <c r="AG608" s="11" t="e">
        <f t="shared" si="44"/>
        <v>#DIV/0!</v>
      </c>
    </row>
    <row r="609" spans="2:33" ht="25.5" hidden="1" x14ac:dyDescent="0.25">
      <c r="B609" s="5">
        <v>603</v>
      </c>
      <c r="C609" s="6" t="s">
        <v>2867</v>
      </c>
      <c r="D609" s="5" t="s">
        <v>33</v>
      </c>
      <c r="E609" s="7" t="s">
        <v>2868</v>
      </c>
      <c r="F609" s="7" t="s">
        <v>2869</v>
      </c>
      <c r="G609" s="7" t="s">
        <v>36</v>
      </c>
      <c r="H609" s="8">
        <v>1149380</v>
      </c>
      <c r="I609" s="7" t="s">
        <v>73</v>
      </c>
      <c r="J609" s="5" t="s">
        <v>74</v>
      </c>
      <c r="K609" s="7" t="s">
        <v>2870</v>
      </c>
      <c r="L609" s="9" t="s">
        <v>2871</v>
      </c>
      <c r="M609" s="10">
        <v>45322</v>
      </c>
      <c r="N609" s="7" t="s">
        <v>41</v>
      </c>
      <c r="O609" s="7" t="s">
        <v>83</v>
      </c>
      <c r="P609" s="7" t="s">
        <v>2872</v>
      </c>
      <c r="Q609" s="40">
        <v>296</v>
      </c>
      <c r="R609" s="1"/>
      <c r="S609" s="1">
        <v>245</v>
      </c>
      <c r="T609" s="1"/>
      <c r="U609" s="1"/>
      <c r="V609" s="1"/>
      <c r="W609" s="1"/>
      <c r="X609" s="1"/>
      <c r="Y609" s="1"/>
      <c r="Z609" s="1"/>
      <c r="AA609" s="1"/>
      <c r="AB609" s="1"/>
      <c r="AC609" s="1">
        <v>219</v>
      </c>
      <c r="AD609" s="1"/>
      <c r="AE609" s="1">
        <f>COUNT(Q609:AD609)</f>
        <v>3</v>
      </c>
      <c r="AF609" s="1">
        <f t="shared" si="43"/>
        <v>253.33333333333334</v>
      </c>
      <c r="AG609" s="11" t="str">
        <f t="shared" si="44"/>
        <v>APROVADO</v>
      </c>
    </row>
    <row r="610" spans="2:33" ht="25.5" hidden="1" x14ac:dyDescent="0.25">
      <c r="B610" s="5">
        <v>604</v>
      </c>
      <c r="C610" s="16" t="s">
        <v>2873</v>
      </c>
      <c r="D610" s="5" t="s">
        <v>33</v>
      </c>
      <c r="E610" s="7" t="s">
        <v>2868</v>
      </c>
      <c r="F610" s="7" t="s">
        <v>2874</v>
      </c>
      <c r="G610" s="7" t="s">
        <v>107</v>
      </c>
      <c r="H610" s="8">
        <v>2034120</v>
      </c>
      <c r="I610" s="7" t="s">
        <v>73</v>
      </c>
      <c r="J610" s="5" t="s">
        <v>74</v>
      </c>
      <c r="K610" s="7" t="s">
        <v>2870</v>
      </c>
      <c r="L610" s="9" t="s">
        <v>2871</v>
      </c>
      <c r="M610" s="10">
        <v>45322</v>
      </c>
      <c r="N610" s="7" t="s">
        <v>226</v>
      </c>
      <c r="O610" s="7" t="s">
        <v>2875</v>
      </c>
      <c r="P610" s="7" t="s">
        <v>2876</v>
      </c>
      <c r="Q610" s="40"/>
      <c r="R610" s="1"/>
      <c r="S610" s="1"/>
      <c r="T610" s="1"/>
      <c r="U610" s="1"/>
      <c r="V610" s="1"/>
      <c r="W610" s="1"/>
      <c r="X610" s="1"/>
      <c r="Y610" s="1"/>
      <c r="Z610" s="1">
        <v>0</v>
      </c>
      <c r="AA610" s="1"/>
      <c r="AB610" s="1"/>
      <c r="AC610" s="1"/>
      <c r="AD610" s="1"/>
      <c r="AE610" s="1"/>
      <c r="AF610" s="1">
        <f t="shared" si="43"/>
        <v>0</v>
      </c>
      <c r="AG610" s="11" t="str">
        <f t="shared" si="44"/>
        <v>REPROVADO</v>
      </c>
    </row>
    <row r="611" spans="2:33" ht="25.5" hidden="1" x14ac:dyDescent="0.25">
      <c r="B611" s="5">
        <v>605</v>
      </c>
      <c r="C611" s="6" t="s">
        <v>2877</v>
      </c>
      <c r="D611" s="5" t="s">
        <v>33</v>
      </c>
      <c r="E611" s="7" t="s">
        <v>2868</v>
      </c>
      <c r="F611" s="7" t="s">
        <v>2878</v>
      </c>
      <c r="G611" s="7" t="s">
        <v>336</v>
      </c>
      <c r="H611" s="8">
        <v>1422430</v>
      </c>
      <c r="I611" s="7" t="s">
        <v>73</v>
      </c>
      <c r="J611" s="5" t="s">
        <v>74</v>
      </c>
      <c r="K611" s="7" t="s">
        <v>2870</v>
      </c>
      <c r="L611" s="9" t="s">
        <v>2871</v>
      </c>
      <c r="M611" s="10">
        <v>45322</v>
      </c>
      <c r="N611" s="7" t="s">
        <v>41</v>
      </c>
      <c r="O611" s="7" t="s">
        <v>83</v>
      </c>
      <c r="P611" s="7" t="s">
        <v>2872</v>
      </c>
      <c r="Q611" s="40">
        <v>273</v>
      </c>
      <c r="R611" s="1"/>
      <c r="S611" s="1">
        <v>260</v>
      </c>
      <c r="T611" s="1"/>
      <c r="U611" s="1"/>
      <c r="V611" s="1"/>
      <c r="W611" s="1"/>
      <c r="X611" s="1"/>
      <c r="Y611" s="1"/>
      <c r="Z611" s="1"/>
      <c r="AA611" s="1"/>
      <c r="AB611" s="1"/>
      <c r="AC611" s="1">
        <v>224</v>
      </c>
      <c r="AD611" s="1"/>
      <c r="AE611" s="1">
        <f>COUNT(Q611:AD611)</f>
        <v>3</v>
      </c>
      <c r="AF611" s="1">
        <f t="shared" si="43"/>
        <v>252.33333333333334</v>
      </c>
      <c r="AG611" s="11" t="str">
        <f t="shared" si="44"/>
        <v>APROVADO</v>
      </c>
    </row>
    <row r="612" spans="2:33" hidden="1" x14ac:dyDescent="0.25">
      <c r="B612" s="5">
        <v>606</v>
      </c>
      <c r="C612" s="16" t="s">
        <v>2879</v>
      </c>
      <c r="D612" s="5" t="s">
        <v>51</v>
      </c>
      <c r="E612" s="7" t="s">
        <v>2880</v>
      </c>
      <c r="F612" s="7" t="s">
        <v>2881</v>
      </c>
      <c r="G612" s="7" t="s">
        <v>36</v>
      </c>
      <c r="H612" s="28">
        <v>91992</v>
      </c>
      <c r="I612" s="7" t="s">
        <v>585</v>
      </c>
      <c r="J612" s="11" t="s">
        <v>38</v>
      </c>
      <c r="K612" s="7" t="s">
        <v>2882</v>
      </c>
      <c r="L612" s="7" t="s">
        <v>2883</v>
      </c>
      <c r="M612" s="26">
        <v>45322</v>
      </c>
      <c r="N612" s="7" t="s">
        <v>82</v>
      </c>
      <c r="O612" s="14" t="s">
        <v>83</v>
      </c>
      <c r="P612" s="1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0"/>
      <c r="AD612" s="20"/>
      <c r="AE612" s="20"/>
      <c r="AF612" s="1" t="e">
        <f t="shared" si="43"/>
        <v>#DIV/0!</v>
      </c>
      <c r="AG612" s="11" t="e">
        <f t="shared" si="44"/>
        <v>#DIV/0!</v>
      </c>
    </row>
    <row r="613" spans="2:33" hidden="1" x14ac:dyDescent="0.25">
      <c r="B613" s="5">
        <v>607</v>
      </c>
      <c r="C613" s="16" t="s">
        <v>2884</v>
      </c>
      <c r="D613" s="5" t="s">
        <v>51</v>
      </c>
      <c r="E613" s="7" t="s">
        <v>2880</v>
      </c>
      <c r="F613" s="7" t="s">
        <v>2885</v>
      </c>
      <c r="G613" s="7" t="s">
        <v>72</v>
      </c>
      <c r="H613" s="28">
        <v>184320</v>
      </c>
      <c r="I613" s="7" t="s">
        <v>585</v>
      </c>
      <c r="J613" s="11" t="s">
        <v>38</v>
      </c>
      <c r="K613" s="7" t="s">
        <v>2882</v>
      </c>
      <c r="L613" s="7" t="s">
        <v>2883</v>
      </c>
      <c r="M613" s="26">
        <v>45322</v>
      </c>
      <c r="N613" s="7" t="s">
        <v>82</v>
      </c>
      <c r="O613" s="14" t="s">
        <v>83</v>
      </c>
      <c r="P613" s="1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0"/>
      <c r="AD613" s="20"/>
      <c r="AE613" s="20"/>
      <c r="AF613" s="1" t="e">
        <f t="shared" si="43"/>
        <v>#DIV/0!</v>
      </c>
      <c r="AG613" s="11" t="e">
        <f t="shared" si="44"/>
        <v>#DIV/0!</v>
      </c>
    </row>
    <row r="614" spans="2:33" hidden="1" x14ac:dyDescent="0.25">
      <c r="B614" s="5">
        <v>608</v>
      </c>
      <c r="C614" s="16" t="s">
        <v>2886</v>
      </c>
      <c r="D614" s="5" t="s">
        <v>51</v>
      </c>
      <c r="E614" s="7" t="s">
        <v>2880</v>
      </c>
      <c r="F614" s="7" t="s">
        <v>2887</v>
      </c>
      <c r="G614" s="7" t="s">
        <v>36</v>
      </c>
      <c r="H614" s="28">
        <v>303333.33</v>
      </c>
      <c r="I614" s="7" t="s">
        <v>585</v>
      </c>
      <c r="J614" s="11" t="s">
        <v>38</v>
      </c>
      <c r="K614" s="7" t="s">
        <v>2882</v>
      </c>
      <c r="L614" s="7" t="s">
        <v>2883</v>
      </c>
      <c r="M614" s="26">
        <v>45322</v>
      </c>
      <c r="N614" s="7" t="s">
        <v>82</v>
      </c>
      <c r="O614" s="14" t="s">
        <v>83</v>
      </c>
      <c r="P614" s="1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0"/>
      <c r="AD614" s="20"/>
      <c r="AE614" s="20"/>
      <c r="AF614" s="1" t="e">
        <f t="shared" si="43"/>
        <v>#DIV/0!</v>
      </c>
      <c r="AG614" s="11" t="e">
        <f t="shared" si="44"/>
        <v>#DIV/0!</v>
      </c>
    </row>
    <row r="615" spans="2:33" ht="25.5" hidden="1" x14ac:dyDescent="0.25">
      <c r="B615" s="5">
        <v>609</v>
      </c>
      <c r="C615" s="6" t="s">
        <v>2888</v>
      </c>
      <c r="D615" s="5" t="s">
        <v>33</v>
      </c>
      <c r="E615" s="5" t="s">
        <v>2889</v>
      </c>
      <c r="F615" s="5" t="s">
        <v>2890</v>
      </c>
      <c r="G615" s="7" t="s">
        <v>336</v>
      </c>
      <c r="H615" s="17">
        <v>399300</v>
      </c>
      <c r="I615" s="7" t="s">
        <v>73</v>
      </c>
      <c r="J615" s="5" t="s">
        <v>74</v>
      </c>
      <c r="K615" s="5" t="s">
        <v>2891</v>
      </c>
      <c r="L615" s="52" t="s">
        <v>2892</v>
      </c>
      <c r="M615" s="10">
        <v>45322</v>
      </c>
      <c r="N615" s="5" t="s">
        <v>67</v>
      </c>
      <c r="O615" s="7" t="s">
        <v>89</v>
      </c>
      <c r="P615" s="7" t="s">
        <v>90</v>
      </c>
      <c r="Q615" s="39">
        <v>286</v>
      </c>
      <c r="R615" s="1"/>
      <c r="S615" s="1"/>
      <c r="T615" s="1"/>
      <c r="U615" s="1"/>
      <c r="V615" s="1">
        <v>289</v>
      </c>
      <c r="W615" s="1">
        <v>273</v>
      </c>
      <c r="X615" s="1"/>
      <c r="Y615" s="1"/>
      <c r="Z615" s="1"/>
      <c r="AA615" s="1"/>
      <c r="AB615" s="1"/>
      <c r="AC615" s="1"/>
      <c r="AD615" s="1"/>
      <c r="AE615" s="1">
        <f>COUNT(Q615:AD615)</f>
        <v>3</v>
      </c>
      <c r="AF615" s="1">
        <f t="shared" si="43"/>
        <v>282.66666666666669</v>
      </c>
      <c r="AG615" s="11" t="str">
        <f t="shared" si="44"/>
        <v>APROVADO</v>
      </c>
    </row>
    <row r="616" spans="2:33" ht="25.5" hidden="1" x14ac:dyDescent="0.25">
      <c r="B616" s="5">
        <v>610</v>
      </c>
      <c r="C616" s="16" t="s">
        <v>2893</v>
      </c>
      <c r="D616" s="5" t="s">
        <v>33</v>
      </c>
      <c r="E616" s="5" t="s">
        <v>2894</v>
      </c>
      <c r="F616" s="5" t="s">
        <v>521</v>
      </c>
      <c r="G616" s="7" t="s">
        <v>107</v>
      </c>
      <c r="H616" s="8">
        <v>630000</v>
      </c>
      <c r="I616" s="7" t="s">
        <v>73</v>
      </c>
      <c r="J616" s="5" t="s">
        <v>74</v>
      </c>
      <c r="K616" s="7" t="s">
        <v>522</v>
      </c>
      <c r="L616" s="9" t="s">
        <v>523</v>
      </c>
      <c r="M616" s="10">
        <v>45322</v>
      </c>
      <c r="N616" s="7" t="s">
        <v>82</v>
      </c>
      <c r="O616" s="7" t="s">
        <v>2895</v>
      </c>
      <c r="P616" s="7" t="s">
        <v>2896</v>
      </c>
      <c r="Q616" s="40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 t="e">
        <f t="shared" si="43"/>
        <v>#DIV/0!</v>
      </c>
      <c r="AG616" s="11" t="e">
        <f t="shared" si="44"/>
        <v>#DIV/0!</v>
      </c>
    </row>
    <row r="617" spans="2:33" ht="25.5" hidden="1" x14ac:dyDescent="0.25">
      <c r="B617" s="5">
        <v>611</v>
      </c>
      <c r="C617" s="16" t="s">
        <v>2897</v>
      </c>
      <c r="D617" s="5" t="s">
        <v>33</v>
      </c>
      <c r="E617" s="5" t="s">
        <v>2894</v>
      </c>
      <c r="F617" s="5" t="s">
        <v>2898</v>
      </c>
      <c r="G617" s="7" t="s">
        <v>36</v>
      </c>
      <c r="H617" s="17">
        <v>950000</v>
      </c>
      <c r="I617" s="7" t="s">
        <v>73</v>
      </c>
      <c r="J617" s="5" t="s">
        <v>74</v>
      </c>
      <c r="K617" s="5" t="s">
        <v>522</v>
      </c>
      <c r="L617" s="9" t="s">
        <v>523</v>
      </c>
      <c r="M617" s="10">
        <v>45322</v>
      </c>
      <c r="N617" s="7" t="s">
        <v>82</v>
      </c>
      <c r="O617" s="7" t="s">
        <v>845</v>
      </c>
      <c r="P617" s="7"/>
      <c r="Q617" s="40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 t="e">
        <f t="shared" si="43"/>
        <v>#DIV/0!</v>
      </c>
      <c r="AG617" s="11" t="e">
        <f t="shared" si="44"/>
        <v>#DIV/0!</v>
      </c>
    </row>
    <row r="618" spans="2:33" ht="51" hidden="1" x14ac:dyDescent="0.25">
      <c r="B618" s="5">
        <v>612</v>
      </c>
      <c r="C618" s="16" t="s">
        <v>2899</v>
      </c>
      <c r="D618" s="5" t="s">
        <v>33</v>
      </c>
      <c r="E618" s="7" t="s">
        <v>2900</v>
      </c>
      <c r="F618" s="7" t="s">
        <v>2901</v>
      </c>
      <c r="G618" s="7" t="s">
        <v>36</v>
      </c>
      <c r="H618" s="8">
        <v>0</v>
      </c>
      <c r="I618" s="7" t="s">
        <v>73</v>
      </c>
      <c r="J618" s="5" t="s">
        <v>74</v>
      </c>
      <c r="K618" s="7" t="s">
        <v>2902</v>
      </c>
      <c r="L618" s="9" t="s">
        <v>2903</v>
      </c>
      <c r="M618" s="10">
        <v>45322</v>
      </c>
      <c r="N618" s="7" t="s">
        <v>82</v>
      </c>
      <c r="O618" s="7" t="s">
        <v>83</v>
      </c>
      <c r="P618" s="7" t="s">
        <v>626</v>
      </c>
      <c r="Q618" s="40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 t="e">
        <f t="shared" si="43"/>
        <v>#DIV/0!</v>
      </c>
      <c r="AG618" s="11" t="e">
        <f t="shared" si="44"/>
        <v>#DIV/0!</v>
      </c>
    </row>
    <row r="619" spans="2:33" hidden="1" x14ac:dyDescent="0.25">
      <c r="AD619" t="s">
        <v>2904</v>
      </c>
      <c r="AG619"/>
    </row>
    <row r="635" spans="3:4" x14ac:dyDescent="0.25">
      <c r="C635" s="53"/>
      <c r="D635" t="s">
        <v>2905</v>
      </c>
    </row>
    <row r="636" spans="3:4" x14ac:dyDescent="0.25">
      <c r="C636" s="54"/>
      <c r="D636" t="s">
        <v>2906</v>
      </c>
    </row>
    <row r="637" spans="3:4" x14ac:dyDescent="0.25">
      <c r="C637" s="55"/>
      <c r="D637" t="s">
        <v>2907</v>
      </c>
    </row>
    <row r="638" spans="3:4" x14ac:dyDescent="0.25">
      <c r="C638" s="56"/>
      <c r="D638" t="s">
        <v>2908</v>
      </c>
    </row>
    <row r="639" spans="3:4" x14ac:dyDescent="0.25">
      <c r="C639" s="57"/>
      <c r="D639" t="s">
        <v>2909</v>
      </c>
    </row>
  </sheetData>
  <autoFilter ref="B4:AG619" xr:uid="{4236D1EC-F48A-4690-BC1C-BCC1124A5676}">
    <filterColumn colId="1">
      <filters>
        <filter val="526/23"/>
      </filters>
    </filterColumn>
  </autoFilter>
  <mergeCells count="2">
    <mergeCell ref="B2:AF2"/>
    <mergeCell ref="B3:AG3"/>
  </mergeCells>
  <hyperlinks>
    <hyperlink ref="I77" r:id="rId1" display="professorsanioto@gmail.com" xr:uid="{7A3AF833-051A-440D-8B7E-0E155E8C4AA7}"/>
    <hyperlink ref="I179" r:id="rId2" display="Isvp.manduri@hotmail.com" xr:uid="{2BC1E3BF-A90E-4604-8745-C7F004091242}"/>
    <hyperlink ref="I273" r:id="rId3" display="arcoirirs01.grupo21@terra.com.br" xr:uid="{2F5AC795-E9DA-4C91-B854-54154B04558B}"/>
    <hyperlink ref="L615" r:id="rId4" xr:uid="{286060CF-8FCE-4F5B-A8B8-19FD8F460BD0}"/>
    <hyperlink ref="L553" r:id="rId5" xr:uid="{C587B8A8-74C1-459A-88E0-DB6557E59B9B}"/>
    <hyperlink ref="L550" r:id="rId6" xr:uid="{DCB37171-A7A8-403B-BAB6-2698C64E7E96}"/>
    <hyperlink ref="L130" r:id="rId7" xr:uid="{29BA49E4-3933-4936-92F7-F3CD721BE2F8}"/>
    <hyperlink ref="L216" r:id="rId8" xr:uid="{DDABC817-024D-4055-AB20-A8A34798A34E}"/>
    <hyperlink ref="L217" r:id="rId9" xr:uid="{C8F8CFE7-DD5D-4113-8C94-065C00F071CF}"/>
    <hyperlink ref="L305" r:id="rId10" xr:uid="{0E049EFA-856F-4230-9ADC-CC976C0C13EB}"/>
    <hyperlink ref="L177" r:id="rId11" xr:uid="{E2821C7D-2554-4B13-A743-2FCF84FA340F}"/>
    <hyperlink ref="L346" r:id="rId12" xr:uid="{D520BB14-714C-4478-91E2-177EDCB638C9}"/>
    <hyperlink ref="L474" r:id="rId13" xr:uid="{C64C6E3E-ED95-450D-A1CE-4C93A2929BA9}"/>
    <hyperlink ref="L396" r:id="rId14" xr:uid="{9886F4B4-8615-46AF-9368-801C96CABEBC}"/>
    <hyperlink ref="L481" r:id="rId15" xr:uid="{21B558AB-9A21-4F1A-B75F-79D6BEBCC5E8}"/>
    <hyperlink ref="L518" r:id="rId16" xr:uid="{B2CDAC19-279E-4B0E-B6CF-7773DBCCB0C5}"/>
    <hyperlink ref="L532" r:id="rId17" xr:uid="{96B8687A-C4FF-4E85-BD60-C55E13594335}"/>
    <hyperlink ref="L80" r:id="rId18" xr:uid="{1C104EBF-05A0-4BA5-A68E-F6DA5CF30425}"/>
    <hyperlink ref="L219" r:id="rId19" xr:uid="{77D08195-C4CB-4B1B-8451-BF9096E03154}"/>
    <hyperlink ref="L206" r:id="rId20" xr:uid="{B729C338-37B3-46DB-8B6E-8DDD0FB10638}"/>
    <hyperlink ref="L250" r:id="rId21" xr:uid="{AA780184-D83F-46CD-97AB-6F59437FC946}"/>
    <hyperlink ref="L244" r:id="rId22" xr:uid="{2DC03905-2352-4E35-B175-649D62208A9A}"/>
    <hyperlink ref="L247" r:id="rId23" xr:uid="{5BE5C596-0312-44A4-BFA4-8547E4B4BA36}"/>
    <hyperlink ref="L248" r:id="rId24" xr:uid="{A0C71165-8459-42CB-A32E-DD7F77DF9968}"/>
    <hyperlink ref="L253" r:id="rId25" xr:uid="{4A2456B7-E62B-4031-976F-1C75BECD0E9A}"/>
    <hyperlink ref="L254" r:id="rId26" xr:uid="{4C12DDE0-35FA-4740-B27F-962FE9A06E5E}"/>
    <hyperlink ref="L257" r:id="rId27" xr:uid="{5A35D7C8-94D1-4AC1-A38A-45A66BB0C7E6}"/>
    <hyperlink ref="L260" r:id="rId28" xr:uid="{80AD7DCA-D867-4731-AE23-991B03D06644}"/>
    <hyperlink ref="L256" r:id="rId29" xr:uid="{41BBDAB2-55A4-4CDC-9921-BDA50DC78B1F}"/>
    <hyperlink ref="L255" r:id="rId30" xr:uid="{8078BB4F-739F-4520-8F29-10FB91B6BE18}"/>
    <hyperlink ref="L258" r:id="rId31" xr:uid="{434D7C79-A036-4D0B-8B3E-39FB4982A830}"/>
    <hyperlink ref="L286" r:id="rId32" xr:uid="{322C1B51-A6A3-401D-A33C-56DED8DBE211}"/>
    <hyperlink ref="L259" r:id="rId33" xr:uid="{30245F55-9807-4F16-AB8C-47C4894355E6}"/>
    <hyperlink ref="L249" r:id="rId34" xr:uid="{F166B296-6EA3-4788-944F-E2D8BBB811FF}"/>
    <hyperlink ref="L375" r:id="rId35" xr:uid="{0E8DECC9-E1EA-4C9D-A487-F62141379570}"/>
    <hyperlink ref="L372" r:id="rId36" xr:uid="{CC144233-0FD3-4D70-965D-219D68BE8E71}"/>
    <hyperlink ref="L363" r:id="rId37" xr:uid="{9E3EE292-2870-4420-B61F-28617610A762}"/>
    <hyperlink ref="L369" r:id="rId38" xr:uid="{6A262B29-A568-4273-9D08-33E2903532FA}"/>
    <hyperlink ref="L364" r:id="rId39" xr:uid="{A78D1D3A-8E2B-45C1-8DAF-F4162A73A5AF}"/>
    <hyperlink ref="L321" r:id="rId40" xr:uid="{8F94357B-D8A5-44A9-9D6A-F5C6075D415F}"/>
    <hyperlink ref="L310" r:id="rId41" xr:uid="{6B40AC2F-EF59-4E32-BC59-789C592C79BC}"/>
    <hyperlink ref="L312" r:id="rId42" xr:uid="{CE835DBD-572A-4925-9E8C-F86F680BF253}"/>
    <hyperlink ref="L295" r:id="rId43" xr:uid="{D29D2CF8-914B-4164-99D4-BEFE90E4C370}"/>
    <hyperlink ref="L347" r:id="rId44" xr:uid="{5C7324DC-92BD-41C4-A08E-F21E70F6E640}"/>
    <hyperlink ref="L361" r:id="rId45" xr:uid="{B15FEFD5-2780-4DD6-A68B-93B50CFEFF84}"/>
    <hyperlink ref="L338" r:id="rId46" xr:uid="{1F3F9EF7-49FD-4D92-9B77-B0E7733AE7A8}"/>
    <hyperlink ref="L340" r:id="rId47" xr:uid="{3076B0B2-F8F5-43D8-91EF-6D991F11EADE}"/>
    <hyperlink ref="L524" r:id="rId48" xr:uid="{6E248A35-6150-459E-83B2-A7209419B27A}"/>
    <hyperlink ref="L525" r:id="rId49" xr:uid="{D5F597D6-A6A2-4AD9-8853-9F10DABF34D4}"/>
    <hyperlink ref="L526" r:id="rId50" xr:uid="{3755FBD3-2F3D-425E-9BF0-BCE95F76985A}"/>
    <hyperlink ref="L528" r:id="rId51" xr:uid="{8F5F3839-E303-47CA-8DE6-5704FC4D6D23}"/>
    <hyperlink ref="L519" r:id="rId52" xr:uid="{66B67A9B-3A3D-41AD-8E84-AB40B7737D5C}"/>
    <hyperlink ref="L514" r:id="rId53" xr:uid="{F8C097AF-31FF-48A0-AC6F-DDD902CB0376}"/>
    <hyperlink ref="L515" r:id="rId54" xr:uid="{B21F6003-2FA7-4EF6-93EA-4971CF72DAC2}"/>
    <hyperlink ref="L552:L553" r:id="rId55" display="captaoderecursos@sorocaba.sp.gov.br" xr:uid="{FF3DBD04-CBDD-4180-89C5-B9C57A3D5E1E}"/>
    <hyperlink ref="L503" r:id="rId56" xr:uid="{7B27B8F5-8E84-4085-A2C4-FEA134F1AF38}"/>
    <hyperlink ref="L497" r:id="rId57" xr:uid="{1321D539-DB04-43FD-A726-3FEFF8AD22BE}"/>
    <hyperlink ref="L506" r:id="rId58" xr:uid="{61439F13-C980-42DF-A8FF-F55BFE5BD77C}"/>
    <hyperlink ref="L484" r:id="rId59" xr:uid="{669F35F7-47E1-4D09-AD58-DE4D6CCA3A33}"/>
    <hyperlink ref="L489" r:id="rId60" xr:uid="{F70115BA-5130-4E46-8B45-7C0C3BAA4071}"/>
    <hyperlink ref="L477" r:id="rId61" xr:uid="{365E1450-69DB-4EBD-900D-6F1EDC9C8F80}"/>
    <hyperlink ref="L480" r:id="rId62" xr:uid="{DD1BB000-F9B8-41D8-8809-41885D156197}"/>
    <hyperlink ref="L476" r:id="rId63" xr:uid="{2B9FB045-F9E0-48DF-A2BB-096FEC8A747C}"/>
    <hyperlink ref="L482" r:id="rId64" xr:uid="{5E5FD3CB-199C-4A2E-BA78-6840E07454D1}"/>
    <hyperlink ref="L485" r:id="rId65" xr:uid="{59C39038-5977-436C-85EF-4EB18CAA0EC1}"/>
    <hyperlink ref="L488" r:id="rId66" xr:uid="{97E4FFAA-64D7-4C61-81D9-A6AF8278D13A}"/>
    <hyperlink ref="L490" r:id="rId67" xr:uid="{D0422E3D-496C-4C78-9DBD-F62DC9ABE20D}"/>
    <hyperlink ref="L403" r:id="rId68" xr:uid="{A7F22B2E-6FF4-4FF9-A1A9-83487647A72A}"/>
    <hyperlink ref="L397" r:id="rId69" xr:uid="{892E7314-7BEE-4040-BF20-45DA8EDBFAFC}"/>
    <hyperlink ref="L427" r:id="rId70" xr:uid="{DD0AABF8-C97F-4E67-937A-DCB986B05626}"/>
    <hyperlink ref="L575:L576" r:id="rId71" display="sepedi.departamentoidoso@saosebastiao.sp.gov.br" xr:uid="{7F3A1A21-EBA4-4E69-8E5E-A3F863400A51}"/>
    <hyperlink ref="L425" r:id="rId72" xr:uid="{0EB27876-4AB5-4AA1-83F4-DFAF675C665E}"/>
    <hyperlink ref="L382" r:id="rId73" xr:uid="{48058559-318A-419B-8904-68ADE3C496E2}"/>
    <hyperlink ref="L387" r:id="rId74" xr:uid="{D39AD749-BCF0-4FEA-8089-25F1D75B91B5}"/>
    <hyperlink ref="L384" r:id="rId75" xr:uid="{45D4BC16-0462-43AD-9CBA-BE22FC686715}"/>
    <hyperlink ref="L385" r:id="rId76" xr:uid="{66889319-B857-4966-8F15-E83EDE171A79}"/>
    <hyperlink ref="L383" r:id="rId77" xr:uid="{60A11078-5AE8-49DA-8735-A9CCC95BEFF4}"/>
    <hyperlink ref="L389" r:id="rId78" xr:uid="{679A8E56-CBA2-4962-8204-443DB6A9640C}"/>
    <hyperlink ref="L529" r:id="rId79" xr:uid="{4C5B0075-9A3C-419B-8230-4CB91C06E709}"/>
    <hyperlink ref="L463" r:id="rId80" xr:uid="{0FE501CD-4B59-471F-B4E1-787EDE6272BC}"/>
    <hyperlink ref="L438" r:id="rId81" xr:uid="{68693FBB-0310-4787-80F6-D4951CCA44F8}"/>
    <hyperlink ref="L430" r:id="rId82" xr:uid="{8AADC0EF-BD8E-47FD-BBC4-08E1B8D6017C}"/>
    <hyperlink ref="L602" r:id="rId83" xr:uid="{9DB5F3F0-64C0-4F43-A3B8-C6C4248219D2}"/>
    <hyperlink ref="L571" r:id="rId84" xr:uid="{E11839E6-FCDC-4682-B576-D77FE5428417}"/>
    <hyperlink ref="L458" r:id="rId85" xr:uid="{2E29EDD0-E292-4F10-BD40-4FCD7FC31579}"/>
    <hyperlink ref="L456" r:id="rId86" xr:uid="{9A9716A3-05E9-4762-9A30-27E4B9821523}"/>
    <hyperlink ref="L457" r:id="rId87" xr:uid="{C00E28A9-A997-4FE4-ADF1-CBD3D8CD8F83}"/>
    <hyperlink ref="L451" r:id="rId88" xr:uid="{53B83C02-4E05-460E-BAE9-FF5A25E8D7F0}"/>
    <hyperlink ref="L415" r:id="rId89" xr:uid="{72478BCB-AE35-4EA7-AB84-7234BB5550E6}"/>
    <hyperlink ref="L408" r:id="rId90" xr:uid="{21D403D1-075E-40EE-8844-4DBD9615F869}"/>
    <hyperlink ref="L464" r:id="rId91" xr:uid="{C837C80F-DEC3-430E-AC30-1A8C8DB8CECE}"/>
    <hyperlink ref="L251" r:id="rId92" xr:uid="{51631244-DCC5-44F7-A7B1-842148E316CD}"/>
    <hyperlink ref="L38" r:id="rId93" xr:uid="{88BF96E1-E34A-4917-B61E-25B2B9AC28D4}"/>
    <hyperlink ref="L359" r:id="rId94" xr:uid="{3E109B49-29BA-44CD-A89D-977B947BB7C1}"/>
    <hyperlink ref="L78" r:id="rId95" xr:uid="{EDEA76C7-B568-44EE-B760-0C5EC6EF1C5B}"/>
    <hyperlink ref="L245" r:id="rId96" xr:uid="{AFC9DFD6-7E75-475D-A91E-1CAB1A365232}"/>
    <hyperlink ref="L282" r:id="rId97" xr:uid="{271254BA-93CA-42F6-9D21-AA4DF6549A9D}"/>
    <hyperlink ref="L527" r:id="rId98" xr:uid="{4BC7E59E-104C-4A92-AB05-E211DE0A882E}"/>
    <hyperlink ref="L170" r:id="rId99" display="mailto:gabinete@tejupa.sp.gov.br" xr:uid="{521FBABF-38A8-4A0E-A44F-0B8E35AE2150}"/>
    <hyperlink ref="L574" r:id="rId100" xr:uid="{24C17A2A-017F-4266-A0F5-684D4C567825}"/>
    <hyperlink ref="L605:L606" r:id="rId101" display="sads@francodarocha.sp.gov.br" xr:uid="{1572FD08-8747-4B43-BD56-98B4C0E44B52}"/>
    <hyperlink ref="L436" r:id="rId102" xr:uid="{FB9CF48D-3A10-42EF-B999-0DB5036E2645}"/>
    <hyperlink ref="L492" r:id="rId103" xr:uid="{FB825DF8-00AB-46FD-A092-D5A1913F270C}"/>
    <hyperlink ref="L469" r:id="rId104" xr:uid="{812207EE-6E4D-4315-B60B-7A1EEFBC585E}"/>
    <hyperlink ref="L467" r:id="rId105" xr:uid="{0C8AE9F1-4749-4617-ACAF-3F56E496E908}"/>
    <hyperlink ref="L468" r:id="rId106" xr:uid="{08237B2F-A327-4620-84D8-B2A311FBAB67}"/>
    <hyperlink ref="L435" r:id="rId107" xr:uid="{F6B9C665-3EDC-48E6-A32E-87D4689BA279}"/>
    <hyperlink ref="L471" r:id="rId108" xr:uid="{47F7E3DB-C35F-4138-ABC3-5A059E95E214}"/>
    <hyperlink ref="L495" r:id="rId109" xr:uid="{51A1D309-BCBB-448C-B0F4-57253591F9B5}"/>
    <hyperlink ref="L322" r:id="rId110" xr:uid="{248E0503-A1E7-44ED-B129-9ADE9F3FB7D0}"/>
    <hyperlink ref="L241" r:id="rId111" xr:uid="{65917309-0502-4B7E-82CD-4300027EFA70}"/>
    <hyperlink ref="L242" r:id="rId112" xr:uid="{CD2A85C4-2063-40C1-880A-D4608D8DEB9C}"/>
    <hyperlink ref="L366" r:id="rId113" xr:uid="{7F27CB46-8E1D-4E80-A66E-36E676EE0271}"/>
    <hyperlink ref="L367" r:id="rId114" xr:uid="{9FB6636E-52B8-43EA-BD99-24D2FE3DDEEA}"/>
    <hyperlink ref="L362" r:id="rId115" xr:uid="{E6410770-6E08-4A89-9F86-FA5ABC987DC8}"/>
    <hyperlink ref="L281" r:id="rId116" xr:uid="{63B4D19E-064B-49BC-86C5-E071779AE32F}"/>
    <hyperlink ref="L613" r:id="rId117" xr:uid="{B1DE181B-1A8A-4AB8-9DE6-AB7F61D8B32D}"/>
    <hyperlink ref="L614" r:id="rId118" xr:uid="{9E791E14-BC1C-48CE-A7AC-88554C5C7611}"/>
    <hyperlink ref="L612" r:id="rId119" xr:uid="{3B1CDE8C-AC99-4CBD-BA1E-FA9717C7BE87}"/>
    <hyperlink ref="L437" r:id="rId120" xr:uid="{FFDFB04F-D1E1-4CBC-9CFB-C3B10C37AFD9}"/>
    <hyperlink ref="L296" r:id="rId121" xr:uid="{BF40DD35-0F83-47C7-AE1D-ED2BF52FA386}"/>
    <hyperlink ref="L71" r:id="rId122" xr:uid="{578DD841-DB29-4D45-A931-C96BB673CCC7}"/>
    <hyperlink ref="L169" r:id="rId123" xr:uid="{03B0A85F-A568-486F-AD99-AFCAE1D57C65}"/>
    <hyperlink ref="L302" r:id="rId124" xr:uid="{73305F8E-C507-4168-8BDB-4ACCF0383043}"/>
    <hyperlink ref="L185" r:id="rId125" xr:uid="{8C4F8823-4048-4380-B0F2-AD5FCDA5A6D4}"/>
    <hyperlink ref="L475" r:id="rId126" xr:uid="{6D86B5BB-00F5-4BE1-9B66-DF27AA7BD332}"/>
    <hyperlink ref="L243" r:id="rId127" xr:uid="{232E620F-C796-4FA4-9E26-8E75CE936D94}"/>
    <hyperlink ref="L186" r:id="rId128" xr:uid="{5213A97E-B9F9-439E-B7F9-794423E9301F}"/>
  </hyperlinks>
  <pageMargins left="0.15" right="0.13" top="0.18" bottom="0.2" header="0.17" footer="0.17"/>
  <pageSetup paperSize="9" orientation="landscape" horizontalDpi="300" verticalDpi="300" r:id="rId129"/>
  <drawing r:id="rId1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5DE0-1B5A-4A59-BDF7-7A71521ADD62}">
  <dimension ref="B1:AG619"/>
  <sheetViews>
    <sheetView showGridLines="0" workbookViewId="0">
      <pane xSplit="1" ySplit="4" topLeftCell="B13" activePane="bottomRight" state="frozen"/>
      <selection pane="topRight" activeCell="C5" sqref="C5:C618"/>
      <selection pane="bottomLeft" activeCell="C5" sqref="C5:C618"/>
      <selection pane="bottomRight" activeCell="F21" sqref="F21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8" width="20.85546875" customWidth="1"/>
    <col min="9" max="9" width="23.42578125" customWidth="1"/>
    <col min="10" max="10" width="20.7109375" customWidth="1"/>
    <col min="11" max="11" width="34" customWidth="1"/>
    <col min="12" max="12" width="32.140625" customWidth="1"/>
    <col min="13" max="13" width="18.7109375" customWidth="1"/>
    <col min="14" max="14" width="20" customWidth="1"/>
    <col min="15" max="15" width="30.7109375" customWidth="1"/>
    <col min="16" max="16" width="32.140625" customWidth="1"/>
    <col min="17" max="17" width="13" customWidth="1"/>
    <col min="18" max="23" width="9.140625" customWidth="1"/>
    <col min="24" max="24" width="10" customWidth="1"/>
    <col min="25" max="32" width="9.140625" customWidth="1"/>
    <col min="33" max="33" width="13.85546875" style="2" customWidth="1"/>
    <col min="34" max="47" width="9.140625" customWidth="1"/>
  </cols>
  <sheetData>
    <row r="1" spans="2:33" x14ac:dyDescent="0.25">
      <c r="AG1" s="1">
        <v>204</v>
      </c>
    </row>
    <row r="2" spans="2:33" ht="84.75" customHeight="1" x14ac:dyDescent="0.25">
      <c r="B2" s="179" t="s">
        <v>2910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2:33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</row>
    <row r="4" spans="2:33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/>
      <c r="AF4" s="4" t="s">
        <v>30</v>
      </c>
      <c r="AG4" s="4" t="s">
        <v>31</v>
      </c>
    </row>
    <row r="5" spans="2:33" ht="25.5" x14ac:dyDescent="0.25">
      <c r="B5" s="5">
        <v>1</v>
      </c>
      <c r="C5" s="6" t="s">
        <v>32</v>
      </c>
      <c r="D5" s="5" t="s">
        <v>33</v>
      </c>
      <c r="E5" s="7" t="s">
        <v>34</v>
      </c>
      <c r="F5" s="7" t="s">
        <v>35</v>
      </c>
      <c r="G5" s="7" t="s">
        <v>36</v>
      </c>
      <c r="H5" s="8">
        <v>370460.32</v>
      </c>
      <c r="I5" s="7" t="s">
        <v>37</v>
      </c>
      <c r="J5" s="7" t="s">
        <v>38</v>
      </c>
      <c r="K5" s="7" t="s">
        <v>39</v>
      </c>
      <c r="L5" s="9" t="s">
        <v>40</v>
      </c>
      <c r="M5" s="10">
        <v>45279</v>
      </c>
      <c r="N5" s="7" t="s">
        <v>41</v>
      </c>
      <c r="O5" s="9"/>
      <c r="P5" s="9"/>
      <c r="Q5" s="1">
        <v>318</v>
      </c>
      <c r="R5" s="1"/>
      <c r="S5" s="1">
        <v>265</v>
      </c>
      <c r="T5" s="1">
        <v>247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>
        <f>COUNT(Q5:AD5)</f>
        <v>3</v>
      </c>
      <c r="AF5" s="1">
        <f t="shared" ref="AF5:AF68" si="0">AVERAGE(Q5:AD5)</f>
        <v>276.66666666666669</v>
      </c>
      <c r="AG5" s="11" t="str">
        <f t="shared" ref="AG5:AG68" si="1">IF(AF5&gt;=$AG$1,"APROVADO","REPROVADO")</f>
        <v>APROVADO</v>
      </c>
    </row>
    <row r="6" spans="2:33" ht="25.5" x14ac:dyDescent="0.25">
      <c r="B6" s="5">
        <v>2</v>
      </c>
      <c r="C6" s="6" t="s">
        <v>42</v>
      </c>
      <c r="D6" s="5" t="s">
        <v>33</v>
      </c>
      <c r="E6" s="7" t="s">
        <v>43</v>
      </c>
      <c r="F6" s="7" t="s">
        <v>44</v>
      </c>
      <c r="G6" s="7" t="s">
        <v>45</v>
      </c>
      <c r="H6" s="8">
        <v>45000</v>
      </c>
      <c r="I6" s="7" t="s">
        <v>46</v>
      </c>
      <c r="J6" s="7" t="s">
        <v>47</v>
      </c>
      <c r="K6" s="7" t="s">
        <v>48</v>
      </c>
      <c r="L6" s="9" t="s">
        <v>49</v>
      </c>
      <c r="M6" s="10">
        <v>45313</v>
      </c>
      <c r="N6" s="7" t="s">
        <v>41</v>
      </c>
      <c r="O6" s="9"/>
      <c r="P6" s="7"/>
      <c r="Q6" s="1">
        <v>297</v>
      </c>
      <c r="R6" s="1"/>
      <c r="S6" s="1"/>
      <c r="T6" s="1"/>
      <c r="U6" s="1"/>
      <c r="V6" s="1"/>
      <c r="W6" s="1"/>
      <c r="X6" s="1"/>
      <c r="Y6" s="1"/>
      <c r="Z6" s="1">
        <v>310</v>
      </c>
      <c r="AA6" s="1"/>
      <c r="AB6" s="1"/>
      <c r="AC6" s="1">
        <v>327</v>
      </c>
      <c r="AD6" s="1"/>
      <c r="AE6" s="1">
        <f>COUNT(Q6:AD6)</f>
        <v>3</v>
      </c>
      <c r="AF6" s="1">
        <f t="shared" si="0"/>
        <v>311.33333333333331</v>
      </c>
      <c r="AG6" s="11" t="str">
        <f t="shared" si="1"/>
        <v>APROVADO</v>
      </c>
    </row>
    <row r="7" spans="2:33" x14ac:dyDescent="0.25">
      <c r="B7" s="5">
        <v>3</v>
      </c>
      <c r="C7" s="6" t="s">
        <v>50</v>
      </c>
      <c r="D7" s="5" t="s">
        <v>51</v>
      </c>
      <c r="E7" s="7" t="s">
        <v>52</v>
      </c>
      <c r="F7" s="7" t="s">
        <v>53</v>
      </c>
      <c r="G7" s="7" t="s">
        <v>36</v>
      </c>
      <c r="H7" s="8">
        <v>84000</v>
      </c>
      <c r="I7" s="12" t="s">
        <v>54</v>
      </c>
      <c r="J7" s="7" t="s">
        <v>47</v>
      </c>
      <c r="K7" s="7" t="s">
        <v>55</v>
      </c>
      <c r="L7" s="13" t="s">
        <v>56</v>
      </c>
      <c r="M7" s="10">
        <v>45282</v>
      </c>
      <c r="N7" s="13" t="s">
        <v>57</v>
      </c>
      <c r="O7" s="14" t="s">
        <v>58</v>
      </c>
      <c r="P7" s="13"/>
      <c r="Q7" s="1">
        <v>321</v>
      </c>
      <c r="R7" s="1">
        <v>157</v>
      </c>
      <c r="S7" s="1"/>
      <c r="T7" s="1"/>
      <c r="U7" s="1"/>
      <c r="V7" s="1"/>
      <c r="W7" s="1"/>
      <c r="X7" s="1"/>
      <c r="Y7" s="1"/>
      <c r="Z7" s="1"/>
      <c r="AA7" s="1"/>
      <c r="AB7" s="1">
        <v>325</v>
      </c>
      <c r="AC7" s="1"/>
      <c r="AD7" s="1"/>
      <c r="AE7" s="1">
        <f>COUNT(Q7:AD7)</f>
        <v>3</v>
      </c>
      <c r="AF7" s="1">
        <f t="shared" si="0"/>
        <v>267.66666666666669</v>
      </c>
      <c r="AG7" s="11" t="str">
        <f t="shared" si="1"/>
        <v>APROVADO</v>
      </c>
    </row>
    <row r="8" spans="2:33" ht="38.25" x14ac:dyDescent="0.25">
      <c r="B8" s="5">
        <v>4</v>
      </c>
      <c r="C8" s="6" t="s">
        <v>59</v>
      </c>
      <c r="D8" s="5" t="s">
        <v>33</v>
      </c>
      <c r="E8" s="5" t="s">
        <v>60</v>
      </c>
      <c r="F8" s="5" t="s">
        <v>61</v>
      </c>
      <c r="G8" s="5" t="s">
        <v>62</v>
      </c>
      <c r="H8" s="15">
        <v>1000000</v>
      </c>
      <c r="I8" s="5" t="s">
        <v>63</v>
      </c>
      <c r="J8" s="5" t="s">
        <v>64</v>
      </c>
      <c r="K8" s="5" t="s">
        <v>65</v>
      </c>
      <c r="L8" s="9" t="s">
        <v>66</v>
      </c>
      <c r="M8" s="10">
        <v>45281</v>
      </c>
      <c r="N8" s="5" t="s">
        <v>67</v>
      </c>
      <c r="O8" s="7" t="s">
        <v>68</v>
      </c>
      <c r="P8" s="7"/>
      <c r="Q8" s="1">
        <v>312</v>
      </c>
      <c r="R8" s="1"/>
      <c r="S8" s="1">
        <v>275</v>
      </c>
      <c r="T8" s="1">
        <v>299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>
        <f>COUNT(Q8:AD8)</f>
        <v>3</v>
      </c>
      <c r="AF8" s="1">
        <f t="shared" si="0"/>
        <v>295.33333333333331</v>
      </c>
      <c r="AG8" s="11" t="str">
        <f t="shared" si="1"/>
        <v>APROVADO</v>
      </c>
    </row>
    <row r="9" spans="2:33" ht="25.5" x14ac:dyDescent="0.25">
      <c r="B9" s="5">
        <v>5</v>
      </c>
      <c r="C9" s="6" t="s">
        <v>69</v>
      </c>
      <c r="D9" s="5" t="s">
        <v>33</v>
      </c>
      <c r="E9" s="5" t="s">
        <v>70</v>
      </c>
      <c r="F9" s="5" t="s">
        <v>71</v>
      </c>
      <c r="G9" s="5" t="s">
        <v>72</v>
      </c>
      <c r="H9" s="15">
        <v>341605</v>
      </c>
      <c r="I9" s="5" t="s">
        <v>73</v>
      </c>
      <c r="J9" s="5" t="s">
        <v>74</v>
      </c>
      <c r="K9" s="5" t="s">
        <v>75</v>
      </c>
      <c r="L9" s="9" t="s">
        <v>76</v>
      </c>
      <c r="M9" s="10">
        <v>45288</v>
      </c>
      <c r="N9" s="7" t="s">
        <v>41</v>
      </c>
      <c r="O9" s="9"/>
      <c r="P9" s="7"/>
      <c r="Q9" s="1">
        <v>272</v>
      </c>
      <c r="R9" s="1"/>
      <c r="S9" s="1">
        <v>269</v>
      </c>
      <c r="T9" s="1">
        <v>290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>
        <f>COUNT(Q9:AD9)</f>
        <v>3</v>
      </c>
      <c r="AF9" s="1">
        <f t="shared" si="0"/>
        <v>277</v>
      </c>
      <c r="AG9" s="11" t="str">
        <f t="shared" si="1"/>
        <v>APROVADO</v>
      </c>
    </row>
    <row r="10" spans="2:33" ht="25.5" x14ac:dyDescent="0.25">
      <c r="B10" s="5">
        <v>6</v>
      </c>
      <c r="C10" s="16" t="s">
        <v>77</v>
      </c>
      <c r="D10" s="5" t="s">
        <v>33</v>
      </c>
      <c r="E10" s="5" t="s">
        <v>78</v>
      </c>
      <c r="F10" s="5" t="s">
        <v>79</v>
      </c>
      <c r="G10" s="7" t="s">
        <v>36</v>
      </c>
      <c r="H10" s="17">
        <v>523070</v>
      </c>
      <c r="I10" s="5" t="s">
        <v>73</v>
      </c>
      <c r="J10" s="5" t="s">
        <v>74</v>
      </c>
      <c r="K10" s="5" t="s">
        <v>80</v>
      </c>
      <c r="L10" s="11" t="s">
        <v>81</v>
      </c>
      <c r="M10" s="10">
        <v>45288</v>
      </c>
      <c r="N10" s="7" t="s">
        <v>82</v>
      </c>
      <c r="O10" s="7" t="s">
        <v>83</v>
      </c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e">
        <f t="shared" si="0"/>
        <v>#DIV/0!</v>
      </c>
      <c r="AG10" s="11" t="e">
        <f t="shared" si="1"/>
        <v>#DIV/0!</v>
      </c>
    </row>
    <row r="11" spans="2:33" ht="38.25" x14ac:dyDescent="0.25">
      <c r="B11" s="5">
        <v>7</v>
      </c>
      <c r="C11" s="6" t="s">
        <v>84</v>
      </c>
      <c r="D11" s="5" t="s">
        <v>33</v>
      </c>
      <c r="E11" s="5" t="s">
        <v>85</v>
      </c>
      <c r="F11" s="5" t="s">
        <v>86</v>
      </c>
      <c r="G11" s="7" t="s">
        <v>45</v>
      </c>
      <c r="H11" s="15">
        <v>364980</v>
      </c>
      <c r="I11" s="5" t="s">
        <v>63</v>
      </c>
      <c r="J11" s="5" t="s">
        <v>64</v>
      </c>
      <c r="K11" s="5" t="s">
        <v>87</v>
      </c>
      <c r="L11" s="11" t="s">
        <v>88</v>
      </c>
      <c r="M11" s="10">
        <v>45289</v>
      </c>
      <c r="N11" s="5" t="s">
        <v>67</v>
      </c>
      <c r="O11" s="7" t="s">
        <v>89</v>
      </c>
      <c r="P11" s="7" t="s">
        <v>90</v>
      </c>
      <c r="Q11" s="1">
        <v>340</v>
      </c>
      <c r="R11" s="1"/>
      <c r="S11" s="1">
        <v>245</v>
      </c>
      <c r="T11" s="1">
        <v>290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f t="shared" ref="AE11:AE24" si="2">COUNT(Q11:AD11)</f>
        <v>3</v>
      </c>
      <c r="AF11" s="1">
        <f t="shared" si="0"/>
        <v>291.66666666666669</v>
      </c>
      <c r="AG11" s="11" t="str">
        <f t="shared" si="1"/>
        <v>APROVADO</v>
      </c>
    </row>
    <row r="12" spans="2:33" ht="38.25" x14ac:dyDescent="0.25">
      <c r="B12" s="5">
        <v>8</v>
      </c>
      <c r="C12" s="6" t="s">
        <v>91</v>
      </c>
      <c r="D12" s="5" t="s">
        <v>33</v>
      </c>
      <c r="E12" s="5" t="s">
        <v>92</v>
      </c>
      <c r="F12" s="5" t="s">
        <v>93</v>
      </c>
      <c r="G12" s="5" t="s">
        <v>36</v>
      </c>
      <c r="H12" s="15">
        <v>250640</v>
      </c>
      <c r="I12" s="7" t="s">
        <v>94</v>
      </c>
      <c r="J12" s="5" t="s">
        <v>95</v>
      </c>
      <c r="K12" s="5" t="s">
        <v>96</v>
      </c>
      <c r="L12" s="5" t="s">
        <v>97</v>
      </c>
      <c r="M12" s="10">
        <v>45296</v>
      </c>
      <c r="N12" s="7" t="s">
        <v>67</v>
      </c>
      <c r="O12" s="7" t="s">
        <v>98</v>
      </c>
      <c r="P12" s="7"/>
      <c r="Q12" s="1"/>
      <c r="R12" s="1">
        <v>170</v>
      </c>
      <c r="S12" s="1"/>
      <c r="T12" s="1"/>
      <c r="U12" s="1"/>
      <c r="V12" s="1">
        <v>302</v>
      </c>
      <c r="W12" s="1">
        <v>285</v>
      </c>
      <c r="X12" s="1"/>
      <c r="Y12" s="1"/>
      <c r="Z12" s="1"/>
      <c r="AA12" s="1"/>
      <c r="AB12" s="1"/>
      <c r="AC12" s="1"/>
      <c r="AD12" s="1"/>
      <c r="AE12" s="1">
        <f t="shared" si="2"/>
        <v>3</v>
      </c>
      <c r="AF12" s="1">
        <f t="shared" si="0"/>
        <v>252.33333333333334</v>
      </c>
      <c r="AG12" s="11" t="str">
        <f t="shared" si="1"/>
        <v>APROVADO</v>
      </c>
    </row>
    <row r="13" spans="2:33" ht="38.25" x14ac:dyDescent="0.25">
      <c r="B13" s="5">
        <v>9</v>
      </c>
      <c r="C13" s="6" t="s">
        <v>99</v>
      </c>
      <c r="D13" s="5" t="s">
        <v>33</v>
      </c>
      <c r="E13" s="5" t="s">
        <v>92</v>
      </c>
      <c r="F13" s="18" t="s">
        <v>100</v>
      </c>
      <c r="G13" s="5" t="s">
        <v>36</v>
      </c>
      <c r="H13" s="15">
        <v>1288900</v>
      </c>
      <c r="I13" s="7" t="s">
        <v>94</v>
      </c>
      <c r="J13" s="5" t="s">
        <v>95</v>
      </c>
      <c r="K13" s="5" t="s">
        <v>96</v>
      </c>
      <c r="L13" s="5" t="s">
        <v>97</v>
      </c>
      <c r="M13" s="10">
        <v>45296</v>
      </c>
      <c r="N13" s="7" t="s">
        <v>67</v>
      </c>
      <c r="O13" s="7" t="s">
        <v>98</v>
      </c>
      <c r="P13" s="7"/>
      <c r="Q13" s="1"/>
      <c r="R13" s="1">
        <v>164</v>
      </c>
      <c r="S13" s="1"/>
      <c r="T13" s="1"/>
      <c r="U13" s="1"/>
      <c r="V13" s="1"/>
      <c r="W13" s="1"/>
      <c r="X13" s="1">
        <v>330</v>
      </c>
      <c r="Y13" s="1">
        <v>340</v>
      </c>
      <c r="Z13" s="1"/>
      <c r="AA13" s="1"/>
      <c r="AB13" s="1"/>
      <c r="AC13" s="1"/>
      <c r="AD13" s="1"/>
      <c r="AE13" s="1">
        <f t="shared" si="2"/>
        <v>3</v>
      </c>
      <c r="AF13" s="1">
        <f t="shared" si="0"/>
        <v>278</v>
      </c>
      <c r="AG13" s="11" t="str">
        <f t="shared" si="1"/>
        <v>APROVADO</v>
      </c>
    </row>
    <row r="14" spans="2:33" ht="38.25" x14ac:dyDescent="0.25">
      <c r="B14" s="5">
        <v>10</v>
      </c>
      <c r="C14" s="6" t="s">
        <v>101</v>
      </c>
      <c r="D14" s="5" t="s">
        <v>33</v>
      </c>
      <c r="E14" s="5" t="s">
        <v>92</v>
      </c>
      <c r="F14" s="5" t="s">
        <v>102</v>
      </c>
      <c r="G14" s="5" t="s">
        <v>36</v>
      </c>
      <c r="H14" s="15">
        <v>1086393.5900000001</v>
      </c>
      <c r="I14" s="7" t="s">
        <v>94</v>
      </c>
      <c r="J14" s="5" t="s">
        <v>95</v>
      </c>
      <c r="K14" s="5" t="s">
        <v>96</v>
      </c>
      <c r="L14" s="5" t="s">
        <v>103</v>
      </c>
      <c r="M14" s="10">
        <v>45296</v>
      </c>
      <c r="N14" s="7" t="s">
        <v>67</v>
      </c>
      <c r="O14" s="7" t="s">
        <v>98</v>
      </c>
      <c r="P14" s="7"/>
      <c r="Q14" s="1"/>
      <c r="R14" s="1">
        <v>146</v>
      </c>
      <c r="S14" s="1"/>
      <c r="T14" s="1"/>
      <c r="U14" s="1"/>
      <c r="V14" s="1">
        <v>340</v>
      </c>
      <c r="W14" s="1">
        <v>330</v>
      </c>
      <c r="X14" s="1"/>
      <c r="Y14" s="1"/>
      <c r="Z14" s="1"/>
      <c r="AA14" s="1"/>
      <c r="AB14" s="1"/>
      <c r="AC14" s="1"/>
      <c r="AD14" s="1"/>
      <c r="AE14" s="1">
        <f t="shared" si="2"/>
        <v>3</v>
      </c>
      <c r="AF14" s="1">
        <f t="shared" si="0"/>
        <v>272</v>
      </c>
      <c r="AG14" s="11" t="str">
        <f t="shared" si="1"/>
        <v>APROVADO</v>
      </c>
    </row>
    <row r="15" spans="2:33" ht="38.25" x14ac:dyDescent="0.25">
      <c r="B15" s="5">
        <v>11</v>
      </c>
      <c r="C15" s="6" t="s">
        <v>104</v>
      </c>
      <c r="D15" s="5" t="s">
        <v>33</v>
      </c>
      <c r="E15" s="7" t="s">
        <v>105</v>
      </c>
      <c r="F15" s="7" t="s">
        <v>106</v>
      </c>
      <c r="G15" s="7" t="s">
        <v>107</v>
      </c>
      <c r="H15" s="8">
        <v>193281.12</v>
      </c>
      <c r="I15" s="7" t="s">
        <v>108</v>
      </c>
      <c r="J15" s="7" t="s">
        <v>95</v>
      </c>
      <c r="K15" s="7" t="s">
        <v>109</v>
      </c>
      <c r="L15" s="9" t="s">
        <v>110</v>
      </c>
      <c r="M15" s="10">
        <v>45296</v>
      </c>
      <c r="N15" s="7" t="s">
        <v>41</v>
      </c>
      <c r="O15" s="7"/>
      <c r="P15" s="7"/>
      <c r="Q15" s="1">
        <v>312</v>
      </c>
      <c r="R15" s="1"/>
      <c r="S15" s="1">
        <v>237</v>
      </c>
      <c r="T15" s="1">
        <v>174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f t="shared" si="2"/>
        <v>3</v>
      </c>
      <c r="AF15" s="1">
        <f t="shared" si="0"/>
        <v>241</v>
      </c>
      <c r="AG15" s="11" t="str">
        <f t="shared" si="1"/>
        <v>APROVADO</v>
      </c>
    </row>
    <row r="16" spans="2:33" x14ac:dyDescent="0.25">
      <c r="B16" s="5">
        <v>12</v>
      </c>
      <c r="C16" s="6" t="s">
        <v>111</v>
      </c>
      <c r="D16" s="5" t="s">
        <v>51</v>
      </c>
      <c r="E16" s="5" t="s">
        <v>112</v>
      </c>
      <c r="F16" s="5" t="s">
        <v>113</v>
      </c>
      <c r="G16" s="5" t="s">
        <v>36</v>
      </c>
      <c r="H16" s="15">
        <v>244231.32</v>
      </c>
      <c r="I16" s="19" t="s">
        <v>114</v>
      </c>
      <c r="J16" s="7" t="s">
        <v>115</v>
      </c>
      <c r="K16" s="7" t="s">
        <v>116</v>
      </c>
      <c r="L16" s="13" t="s">
        <v>117</v>
      </c>
      <c r="M16" s="10">
        <v>45296</v>
      </c>
      <c r="N16" s="13" t="s">
        <v>57</v>
      </c>
      <c r="O16" s="14" t="s">
        <v>118</v>
      </c>
      <c r="P16" s="13"/>
      <c r="Q16" s="1">
        <v>329</v>
      </c>
      <c r="R16" s="1"/>
      <c r="S16" s="1"/>
      <c r="T16" s="1"/>
      <c r="U16" s="1"/>
      <c r="V16" s="1">
        <v>340</v>
      </c>
      <c r="W16" s="1">
        <v>323</v>
      </c>
      <c r="X16" s="1"/>
      <c r="Y16" s="1"/>
      <c r="Z16" s="1"/>
      <c r="AA16" s="1"/>
      <c r="AB16" s="1"/>
      <c r="AC16" s="1"/>
      <c r="AD16" s="1"/>
      <c r="AE16" s="1">
        <f t="shared" si="2"/>
        <v>3</v>
      </c>
      <c r="AF16" s="1">
        <f t="shared" si="0"/>
        <v>330.66666666666669</v>
      </c>
      <c r="AG16" s="11" t="str">
        <f t="shared" si="1"/>
        <v>APROVADO</v>
      </c>
    </row>
    <row r="17" spans="2:33" x14ac:dyDescent="0.25">
      <c r="B17" s="5">
        <v>13</v>
      </c>
      <c r="C17" s="6" t="s">
        <v>119</v>
      </c>
      <c r="D17" s="5" t="s">
        <v>33</v>
      </c>
      <c r="E17" s="5" t="s">
        <v>120</v>
      </c>
      <c r="F17" s="5" t="s">
        <v>121</v>
      </c>
      <c r="G17" s="5" t="s">
        <v>36</v>
      </c>
      <c r="H17" s="15">
        <v>69808.08</v>
      </c>
      <c r="I17" s="5" t="s">
        <v>122</v>
      </c>
      <c r="J17" s="5" t="s">
        <v>123</v>
      </c>
      <c r="K17" s="5" t="s">
        <v>124</v>
      </c>
      <c r="L17" s="9" t="s">
        <v>125</v>
      </c>
      <c r="M17" s="10">
        <v>45299</v>
      </c>
      <c r="N17" s="7" t="s">
        <v>41</v>
      </c>
      <c r="O17" s="7"/>
      <c r="P17" s="7"/>
      <c r="Q17" s="1">
        <v>329</v>
      </c>
      <c r="R17" s="1"/>
      <c r="S17" s="1">
        <v>236</v>
      </c>
      <c r="T17" s="1">
        <v>200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f t="shared" si="2"/>
        <v>3</v>
      </c>
      <c r="AF17" s="1">
        <f t="shared" si="0"/>
        <v>255</v>
      </c>
      <c r="AG17" s="11" t="str">
        <f t="shared" si="1"/>
        <v>APROVADO</v>
      </c>
    </row>
    <row r="18" spans="2:33" ht="25.5" x14ac:dyDescent="0.25">
      <c r="B18" s="5">
        <v>14</v>
      </c>
      <c r="C18" s="6" t="s">
        <v>126</v>
      </c>
      <c r="D18" s="5" t="s">
        <v>33</v>
      </c>
      <c r="E18" s="7" t="s">
        <v>127</v>
      </c>
      <c r="F18" s="7" t="s">
        <v>128</v>
      </c>
      <c r="G18" s="5" t="s">
        <v>36</v>
      </c>
      <c r="H18" s="15">
        <v>275400</v>
      </c>
      <c r="I18" s="7" t="s">
        <v>122</v>
      </c>
      <c r="J18" s="5" t="s">
        <v>123</v>
      </c>
      <c r="K18" s="7" t="s">
        <v>124</v>
      </c>
      <c r="L18" s="9" t="s">
        <v>129</v>
      </c>
      <c r="M18" s="10">
        <v>45321</v>
      </c>
      <c r="N18" s="7" t="s">
        <v>41</v>
      </c>
      <c r="O18" s="7"/>
      <c r="P18" s="7" t="s">
        <v>130</v>
      </c>
      <c r="Q18" s="1">
        <v>288</v>
      </c>
      <c r="R18" s="1">
        <v>118</v>
      </c>
      <c r="S18" s="1"/>
      <c r="T18" s="1">
        <v>177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>
        <f t="shared" si="2"/>
        <v>3</v>
      </c>
      <c r="AF18" s="1">
        <f t="shared" si="0"/>
        <v>194.33333333333334</v>
      </c>
      <c r="AG18" s="11" t="str">
        <f t="shared" si="1"/>
        <v>REPROVADO</v>
      </c>
    </row>
    <row r="19" spans="2:33" ht="38.25" x14ac:dyDescent="0.25">
      <c r="B19" s="5">
        <v>15</v>
      </c>
      <c r="C19" s="6" t="s">
        <v>131</v>
      </c>
      <c r="D19" s="5" t="s">
        <v>33</v>
      </c>
      <c r="E19" s="5" t="s">
        <v>132</v>
      </c>
      <c r="F19" s="5" t="s">
        <v>133</v>
      </c>
      <c r="G19" s="5" t="s">
        <v>36</v>
      </c>
      <c r="H19" s="15">
        <v>40000</v>
      </c>
      <c r="I19" s="5" t="s">
        <v>134</v>
      </c>
      <c r="J19" s="5" t="s">
        <v>64</v>
      </c>
      <c r="K19" s="7" t="s">
        <v>135</v>
      </c>
      <c r="L19" s="9" t="s">
        <v>136</v>
      </c>
      <c r="M19" s="10">
        <v>45300</v>
      </c>
      <c r="N19" s="7" t="s">
        <v>41</v>
      </c>
      <c r="O19" s="7"/>
      <c r="P19" s="7"/>
      <c r="Q19" s="1">
        <v>340</v>
      </c>
      <c r="R19" s="1"/>
      <c r="S19" s="1">
        <v>285</v>
      </c>
      <c r="T19" s="1">
        <v>300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f t="shared" si="2"/>
        <v>3</v>
      </c>
      <c r="AF19" s="1">
        <f t="shared" si="0"/>
        <v>308.33333333333331</v>
      </c>
      <c r="AG19" s="11" t="str">
        <f t="shared" si="1"/>
        <v>APROVADO</v>
      </c>
    </row>
    <row r="20" spans="2:33" ht="38.25" x14ac:dyDescent="0.25">
      <c r="B20" s="5">
        <v>16</v>
      </c>
      <c r="C20" s="6" t="s">
        <v>137</v>
      </c>
      <c r="D20" s="5" t="s">
        <v>33</v>
      </c>
      <c r="E20" s="5" t="s">
        <v>138</v>
      </c>
      <c r="F20" s="5" t="s">
        <v>139</v>
      </c>
      <c r="G20" s="5" t="s">
        <v>107</v>
      </c>
      <c r="H20" s="15">
        <v>29714</v>
      </c>
      <c r="I20" s="5" t="s">
        <v>140</v>
      </c>
      <c r="J20" s="5" t="s">
        <v>141</v>
      </c>
      <c r="K20" s="5" t="s">
        <v>142</v>
      </c>
      <c r="L20" s="9" t="s">
        <v>143</v>
      </c>
      <c r="M20" s="10">
        <v>45300</v>
      </c>
      <c r="N20" s="7" t="s">
        <v>67</v>
      </c>
      <c r="O20" s="7" t="s">
        <v>98</v>
      </c>
      <c r="P20" s="7"/>
      <c r="Q20" s="1">
        <v>340</v>
      </c>
      <c r="R20" s="1">
        <v>209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>
        <v>340</v>
      </c>
      <c r="AE20" s="1">
        <f t="shared" si="2"/>
        <v>3</v>
      </c>
      <c r="AF20" s="1">
        <f t="shared" si="0"/>
        <v>296.33333333333331</v>
      </c>
      <c r="AG20" s="11" t="str">
        <f t="shared" si="1"/>
        <v>APROVADO</v>
      </c>
    </row>
    <row r="21" spans="2:33" ht="38.25" x14ac:dyDescent="0.25">
      <c r="B21" s="5">
        <v>17</v>
      </c>
      <c r="C21" s="6" t="s">
        <v>144</v>
      </c>
      <c r="D21" s="5" t="s">
        <v>33</v>
      </c>
      <c r="E21" s="5" t="s">
        <v>145</v>
      </c>
      <c r="F21" s="5" t="s">
        <v>146</v>
      </c>
      <c r="G21" s="5" t="s">
        <v>36</v>
      </c>
      <c r="H21" s="15">
        <v>91857.47</v>
      </c>
      <c r="I21" s="5" t="s">
        <v>147</v>
      </c>
      <c r="J21" s="5" t="s">
        <v>95</v>
      </c>
      <c r="K21" s="5" t="s">
        <v>148</v>
      </c>
      <c r="L21" s="9" t="s">
        <v>149</v>
      </c>
      <c r="M21" s="10">
        <v>45301</v>
      </c>
      <c r="N21" s="7" t="s">
        <v>41</v>
      </c>
      <c r="O21" s="7"/>
      <c r="P21" s="7"/>
      <c r="Q21" s="1">
        <v>340</v>
      </c>
      <c r="R21" s="1"/>
      <c r="S21" s="1">
        <v>253</v>
      </c>
      <c r="T21" s="1">
        <v>242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f t="shared" si="2"/>
        <v>3</v>
      </c>
      <c r="AF21" s="1">
        <f t="shared" si="0"/>
        <v>278.33333333333331</v>
      </c>
      <c r="AG21" s="11" t="str">
        <f t="shared" si="1"/>
        <v>APROVADO</v>
      </c>
    </row>
    <row r="22" spans="2:33" ht="25.5" x14ac:dyDescent="0.25">
      <c r="B22" s="5">
        <v>18</v>
      </c>
      <c r="C22" s="6" t="s">
        <v>150</v>
      </c>
      <c r="D22" s="5" t="s">
        <v>33</v>
      </c>
      <c r="E22" s="5" t="s">
        <v>151</v>
      </c>
      <c r="F22" s="5" t="s">
        <v>152</v>
      </c>
      <c r="G22" s="5" t="s">
        <v>36</v>
      </c>
      <c r="H22" s="15">
        <v>67100</v>
      </c>
      <c r="I22" s="5" t="s">
        <v>153</v>
      </c>
      <c r="J22" s="5" t="s">
        <v>154</v>
      </c>
      <c r="K22" s="5" t="s">
        <v>155</v>
      </c>
      <c r="L22" s="9" t="s">
        <v>156</v>
      </c>
      <c r="M22" s="10">
        <v>45302</v>
      </c>
      <c r="N22" s="7" t="s">
        <v>67</v>
      </c>
      <c r="O22" s="7" t="s">
        <v>157</v>
      </c>
      <c r="P22" s="7"/>
      <c r="Q22" s="1"/>
      <c r="R22" s="1">
        <v>199</v>
      </c>
      <c r="S22" s="1"/>
      <c r="T22" s="1"/>
      <c r="U22" s="1"/>
      <c r="V22" s="1"/>
      <c r="W22" s="1"/>
      <c r="X22" s="1">
        <v>326</v>
      </c>
      <c r="Y22" s="1">
        <v>323</v>
      </c>
      <c r="Z22" s="1"/>
      <c r="AA22" s="1"/>
      <c r="AB22" s="1"/>
      <c r="AC22" s="1"/>
      <c r="AD22" s="1"/>
      <c r="AE22" s="1">
        <f t="shared" si="2"/>
        <v>3</v>
      </c>
      <c r="AF22" s="1">
        <f t="shared" si="0"/>
        <v>282.66666666666669</v>
      </c>
      <c r="AG22" s="11" t="str">
        <f t="shared" si="1"/>
        <v>APROVADO</v>
      </c>
    </row>
    <row r="23" spans="2:33" x14ac:dyDescent="0.25">
      <c r="B23" s="5">
        <v>19</v>
      </c>
      <c r="C23" s="6" t="s">
        <v>158</v>
      </c>
      <c r="D23" s="5" t="s">
        <v>51</v>
      </c>
      <c r="E23" s="7" t="s">
        <v>159</v>
      </c>
      <c r="F23" s="7" t="s">
        <v>160</v>
      </c>
      <c r="G23" s="7" t="s">
        <v>36</v>
      </c>
      <c r="H23" s="8">
        <v>120000</v>
      </c>
      <c r="I23" s="12" t="s">
        <v>161</v>
      </c>
      <c r="J23" s="7" t="s">
        <v>162</v>
      </c>
      <c r="K23" s="7" t="s">
        <v>163</v>
      </c>
      <c r="L23" s="7" t="s">
        <v>164</v>
      </c>
      <c r="M23" s="10">
        <v>45302</v>
      </c>
      <c r="N23" s="7" t="s">
        <v>41</v>
      </c>
      <c r="O23" s="14"/>
      <c r="P23" s="13"/>
      <c r="Q23" s="1">
        <v>297</v>
      </c>
      <c r="R23" s="1"/>
      <c r="S23" s="1">
        <v>180</v>
      </c>
      <c r="T23" s="1">
        <v>112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f t="shared" si="2"/>
        <v>3</v>
      </c>
      <c r="AF23" s="1">
        <f t="shared" si="0"/>
        <v>196.33333333333334</v>
      </c>
      <c r="AG23" s="11" t="str">
        <f t="shared" si="1"/>
        <v>REPROVADO</v>
      </c>
    </row>
    <row r="24" spans="2:33" ht="38.25" x14ac:dyDescent="0.25">
      <c r="B24" s="5">
        <v>20</v>
      </c>
      <c r="C24" s="6" t="s">
        <v>165</v>
      </c>
      <c r="D24" s="5" t="s">
        <v>51</v>
      </c>
      <c r="E24" s="7" t="s">
        <v>166</v>
      </c>
      <c r="F24" s="7" t="s">
        <v>167</v>
      </c>
      <c r="G24" s="7" t="s">
        <v>36</v>
      </c>
      <c r="H24" s="8">
        <v>267000</v>
      </c>
      <c r="I24" s="12" t="s">
        <v>168</v>
      </c>
      <c r="J24" s="7" t="s">
        <v>64</v>
      </c>
      <c r="K24" s="7" t="s">
        <v>169</v>
      </c>
      <c r="L24" s="13" t="s">
        <v>170</v>
      </c>
      <c r="M24" s="10">
        <v>45302</v>
      </c>
      <c r="N24" s="13" t="s">
        <v>41</v>
      </c>
      <c r="O24" s="14"/>
      <c r="P24" s="13"/>
      <c r="Q24" s="1">
        <v>330</v>
      </c>
      <c r="R24" s="1"/>
      <c r="S24" s="1">
        <v>160</v>
      </c>
      <c r="T24" s="1">
        <v>125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f t="shared" si="2"/>
        <v>3</v>
      </c>
      <c r="AF24" s="1">
        <f t="shared" si="0"/>
        <v>205</v>
      </c>
      <c r="AG24" s="11" t="str">
        <f t="shared" si="1"/>
        <v>APROVADO</v>
      </c>
    </row>
    <row r="25" spans="2:33" ht="26.25" customHeight="1" x14ac:dyDescent="0.25">
      <c r="B25" s="5">
        <v>21</v>
      </c>
      <c r="C25" s="16" t="s">
        <v>171</v>
      </c>
      <c r="D25" s="5" t="s">
        <v>33</v>
      </c>
      <c r="E25" s="5" t="s">
        <v>172</v>
      </c>
      <c r="F25" s="5" t="s">
        <v>173</v>
      </c>
      <c r="G25" s="5" t="s">
        <v>174</v>
      </c>
      <c r="H25" s="15">
        <v>192880.29</v>
      </c>
      <c r="I25" s="5" t="s">
        <v>175</v>
      </c>
      <c r="J25" s="5" t="s">
        <v>123</v>
      </c>
      <c r="K25" s="5" t="s">
        <v>176</v>
      </c>
      <c r="L25" s="9" t="s">
        <v>177</v>
      </c>
      <c r="M25" s="10">
        <v>45302</v>
      </c>
      <c r="N25" s="7" t="s">
        <v>82</v>
      </c>
      <c r="O25" s="7" t="s">
        <v>83</v>
      </c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e">
        <f t="shared" si="0"/>
        <v>#DIV/0!</v>
      </c>
      <c r="AG25" s="11" t="e">
        <f t="shared" si="1"/>
        <v>#DIV/0!</v>
      </c>
    </row>
    <row r="26" spans="2:33" ht="38.25" x14ac:dyDescent="0.25">
      <c r="B26" s="5">
        <v>22</v>
      </c>
      <c r="C26" s="6" t="s">
        <v>178</v>
      </c>
      <c r="D26" s="5" t="s">
        <v>33</v>
      </c>
      <c r="E26" s="5" t="s">
        <v>172</v>
      </c>
      <c r="F26" s="5" t="s">
        <v>179</v>
      </c>
      <c r="G26" s="7" t="s">
        <v>36</v>
      </c>
      <c r="H26" s="15">
        <v>50000</v>
      </c>
      <c r="I26" s="7" t="s">
        <v>180</v>
      </c>
      <c r="J26" s="7" t="s">
        <v>181</v>
      </c>
      <c r="K26" s="7" t="s">
        <v>182</v>
      </c>
      <c r="L26" s="9" t="s">
        <v>183</v>
      </c>
      <c r="M26" s="10">
        <v>45302</v>
      </c>
      <c r="N26" s="7" t="s">
        <v>67</v>
      </c>
      <c r="O26" s="7" t="s">
        <v>89</v>
      </c>
      <c r="P26" s="7" t="s">
        <v>184</v>
      </c>
      <c r="Q26" s="1">
        <v>340</v>
      </c>
      <c r="R26" s="1">
        <v>178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340</v>
      </c>
      <c r="AE26" s="1">
        <f t="shared" ref="AE26:AE33" si="3">COUNT(Q26:AD26)</f>
        <v>3</v>
      </c>
      <c r="AF26" s="1">
        <f t="shared" si="0"/>
        <v>286</v>
      </c>
      <c r="AG26" s="11" t="str">
        <f t="shared" si="1"/>
        <v>APROVADO</v>
      </c>
    </row>
    <row r="27" spans="2:33" ht="63.75" x14ac:dyDescent="0.25">
      <c r="B27" s="5">
        <v>23</v>
      </c>
      <c r="C27" s="6" t="s">
        <v>185</v>
      </c>
      <c r="D27" s="5" t="s">
        <v>51</v>
      </c>
      <c r="E27" s="7" t="s">
        <v>186</v>
      </c>
      <c r="F27" s="7" t="s">
        <v>187</v>
      </c>
      <c r="G27" s="7" t="s">
        <v>107</v>
      </c>
      <c r="H27" s="8">
        <v>414308.85</v>
      </c>
      <c r="I27" s="12" t="s">
        <v>188</v>
      </c>
      <c r="J27" s="7" t="s">
        <v>189</v>
      </c>
      <c r="K27" s="7" t="s">
        <v>190</v>
      </c>
      <c r="L27" s="13" t="s">
        <v>191</v>
      </c>
      <c r="M27" s="10">
        <v>45302</v>
      </c>
      <c r="N27" s="13" t="s">
        <v>41</v>
      </c>
      <c r="O27" s="13"/>
      <c r="P27" s="13"/>
      <c r="Q27" s="1">
        <v>297</v>
      </c>
      <c r="R27" s="1">
        <v>247</v>
      </c>
      <c r="S27" s="1">
        <v>249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>
        <f t="shared" si="3"/>
        <v>3</v>
      </c>
      <c r="AF27" s="1">
        <f t="shared" si="0"/>
        <v>264.33333333333331</v>
      </c>
      <c r="AG27" s="11" t="str">
        <f t="shared" si="1"/>
        <v>APROVADO</v>
      </c>
    </row>
    <row r="28" spans="2:33" ht="38.25" x14ac:dyDescent="0.25">
      <c r="B28" s="5">
        <v>24</v>
      </c>
      <c r="C28" s="6" t="s">
        <v>192</v>
      </c>
      <c r="D28" s="5" t="s">
        <v>33</v>
      </c>
      <c r="E28" s="7" t="s">
        <v>193</v>
      </c>
      <c r="F28" s="7" t="s">
        <v>194</v>
      </c>
      <c r="G28" s="7" t="s">
        <v>36</v>
      </c>
      <c r="H28" s="8">
        <v>267766.51</v>
      </c>
      <c r="I28" s="7" t="s">
        <v>195</v>
      </c>
      <c r="J28" s="7" t="s">
        <v>64</v>
      </c>
      <c r="K28" s="7" t="s">
        <v>196</v>
      </c>
      <c r="L28" s="9" t="s">
        <v>197</v>
      </c>
      <c r="M28" s="10">
        <v>45302</v>
      </c>
      <c r="N28" s="7" t="s">
        <v>41</v>
      </c>
      <c r="O28" s="7"/>
      <c r="P28" s="7"/>
      <c r="Q28" s="1">
        <v>331</v>
      </c>
      <c r="R28" s="1"/>
      <c r="S28" s="1">
        <v>178</v>
      </c>
      <c r="T28" s="1">
        <v>248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f t="shared" si="3"/>
        <v>3</v>
      </c>
      <c r="AF28" s="1">
        <f t="shared" si="0"/>
        <v>252.33333333333334</v>
      </c>
      <c r="AG28" s="11" t="str">
        <f t="shared" si="1"/>
        <v>APROVADO</v>
      </c>
    </row>
    <row r="29" spans="2:33" ht="38.25" x14ac:dyDescent="0.25">
      <c r="B29" s="5">
        <v>25</v>
      </c>
      <c r="C29" s="6" t="s">
        <v>198</v>
      </c>
      <c r="D29" s="5" t="s">
        <v>33</v>
      </c>
      <c r="E29" s="5" t="s">
        <v>199</v>
      </c>
      <c r="F29" s="5" t="s">
        <v>200</v>
      </c>
      <c r="G29" s="5" t="s">
        <v>36</v>
      </c>
      <c r="H29" s="15">
        <v>261777</v>
      </c>
      <c r="I29" s="5" t="s">
        <v>201</v>
      </c>
      <c r="J29" s="5" t="s">
        <v>202</v>
      </c>
      <c r="K29" s="5" t="s">
        <v>203</v>
      </c>
      <c r="L29" s="9" t="s">
        <v>204</v>
      </c>
      <c r="M29" s="10">
        <v>45302</v>
      </c>
      <c r="N29" s="7" t="s">
        <v>41</v>
      </c>
      <c r="O29" s="7"/>
      <c r="P29" s="7"/>
      <c r="Q29" s="1">
        <v>340</v>
      </c>
      <c r="R29" s="1"/>
      <c r="S29" s="1">
        <v>262</v>
      </c>
      <c r="T29" s="1">
        <v>302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>
        <f t="shared" si="3"/>
        <v>3</v>
      </c>
      <c r="AF29" s="1">
        <f t="shared" si="0"/>
        <v>301.33333333333331</v>
      </c>
      <c r="AG29" s="11" t="str">
        <f t="shared" si="1"/>
        <v>APROVADO</v>
      </c>
    </row>
    <row r="30" spans="2:33" ht="38.25" x14ac:dyDescent="0.25">
      <c r="B30" s="5">
        <v>26</v>
      </c>
      <c r="C30" s="6" t="s">
        <v>205</v>
      </c>
      <c r="D30" s="5" t="s">
        <v>33</v>
      </c>
      <c r="E30" s="7" t="s">
        <v>199</v>
      </c>
      <c r="F30" s="7" t="s">
        <v>206</v>
      </c>
      <c r="G30" s="7" t="s">
        <v>107</v>
      </c>
      <c r="H30" s="8">
        <v>207810</v>
      </c>
      <c r="I30" s="7" t="s">
        <v>201</v>
      </c>
      <c r="J30" s="5" t="s">
        <v>202</v>
      </c>
      <c r="K30" s="7" t="s">
        <v>207</v>
      </c>
      <c r="L30" s="9" t="s">
        <v>208</v>
      </c>
      <c r="M30" s="10">
        <v>45321</v>
      </c>
      <c r="N30" s="7" t="s">
        <v>67</v>
      </c>
      <c r="O30" s="7" t="s">
        <v>68</v>
      </c>
      <c r="P30" s="7"/>
      <c r="Q30" s="1">
        <v>340</v>
      </c>
      <c r="R30" s="1">
        <v>254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340</v>
      </c>
      <c r="AE30" s="1">
        <f t="shared" si="3"/>
        <v>3</v>
      </c>
      <c r="AF30" s="1">
        <f t="shared" si="0"/>
        <v>311.33333333333331</v>
      </c>
      <c r="AG30" s="11" t="str">
        <f t="shared" si="1"/>
        <v>APROVADO</v>
      </c>
    </row>
    <row r="31" spans="2:33" ht="25.5" x14ac:dyDescent="0.25">
      <c r="B31" s="5">
        <v>27</v>
      </c>
      <c r="C31" s="6" t="s">
        <v>209</v>
      </c>
      <c r="D31" s="5" t="s">
        <v>33</v>
      </c>
      <c r="E31" s="7" t="s">
        <v>210</v>
      </c>
      <c r="F31" s="7" t="s">
        <v>211</v>
      </c>
      <c r="G31" s="7" t="s">
        <v>174</v>
      </c>
      <c r="H31" s="8">
        <v>150000</v>
      </c>
      <c r="I31" s="7" t="s">
        <v>212</v>
      </c>
      <c r="J31" s="7" t="s">
        <v>123</v>
      </c>
      <c r="K31" s="7" t="s">
        <v>213</v>
      </c>
      <c r="L31" s="9" t="s">
        <v>214</v>
      </c>
      <c r="M31" s="10">
        <v>45303</v>
      </c>
      <c r="N31" s="7" t="s">
        <v>41</v>
      </c>
      <c r="O31" s="7"/>
      <c r="P31" s="7"/>
      <c r="Q31" s="1">
        <v>306</v>
      </c>
      <c r="R31" s="1">
        <v>55</v>
      </c>
      <c r="S31" s="1"/>
      <c r="T31" s="1">
        <v>66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f t="shared" si="3"/>
        <v>3</v>
      </c>
      <c r="AF31" s="1">
        <f t="shared" si="0"/>
        <v>142.33333333333334</v>
      </c>
      <c r="AG31" s="11" t="str">
        <f t="shared" si="1"/>
        <v>REPROVADO</v>
      </c>
    </row>
    <row r="32" spans="2:33" ht="25.5" x14ac:dyDescent="0.25">
      <c r="B32" s="5">
        <v>28</v>
      </c>
      <c r="C32" s="6" t="s">
        <v>215</v>
      </c>
      <c r="D32" s="5" t="s">
        <v>33</v>
      </c>
      <c r="E32" s="7" t="s">
        <v>210</v>
      </c>
      <c r="F32" s="7" t="s">
        <v>216</v>
      </c>
      <c r="G32" s="7" t="s">
        <v>36</v>
      </c>
      <c r="H32" s="8">
        <v>120000</v>
      </c>
      <c r="I32" s="7" t="s">
        <v>212</v>
      </c>
      <c r="J32" s="7" t="s">
        <v>123</v>
      </c>
      <c r="K32" s="7" t="s">
        <v>213</v>
      </c>
      <c r="L32" s="9" t="s">
        <v>214</v>
      </c>
      <c r="M32" s="10">
        <v>45303</v>
      </c>
      <c r="N32" s="7" t="s">
        <v>41</v>
      </c>
      <c r="O32" s="7"/>
      <c r="P32" s="7"/>
      <c r="Q32" s="1">
        <v>340</v>
      </c>
      <c r="R32" s="1"/>
      <c r="S32" s="1">
        <v>60</v>
      </c>
      <c r="T32" s="1">
        <v>79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>
        <f t="shared" si="3"/>
        <v>3</v>
      </c>
      <c r="AF32" s="1">
        <f t="shared" si="0"/>
        <v>159.66666666666666</v>
      </c>
      <c r="AG32" s="11" t="str">
        <f t="shared" si="1"/>
        <v>REPROVADO</v>
      </c>
    </row>
    <row r="33" spans="2:33" ht="25.5" x14ac:dyDescent="0.25">
      <c r="B33" s="5">
        <v>29</v>
      </c>
      <c r="C33" s="6" t="s">
        <v>217</v>
      </c>
      <c r="D33" s="5" t="s">
        <v>33</v>
      </c>
      <c r="E33" s="7" t="s">
        <v>210</v>
      </c>
      <c r="F33" s="7" t="s">
        <v>218</v>
      </c>
      <c r="G33" s="7" t="s">
        <v>174</v>
      </c>
      <c r="H33" s="8">
        <v>70000</v>
      </c>
      <c r="I33" s="7" t="s">
        <v>212</v>
      </c>
      <c r="J33" s="7" t="s">
        <v>123</v>
      </c>
      <c r="K33" s="7" t="s">
        <v>213</v>
      </c>
      <c r="L33" s="9" t="s">
        <v>214</v>
      </c>
      <c r="M33" s="10">
        <v>45303</v>
      </c>
      <c r="N33" s="7" t="s">
        <v>41</v>
      </c>
      <c r="O33" s="7"/>
      <c r="P33" s="7"/>
      <c r="Q33" s="1">
        <v>340</v>
      </c>
      <c r="R33" s="1"/>
      <c r="S33" s="1">
        <v>58</v>
      </c>
      <c r="T33" s="1"/>
      <c r="U33" s="1"/>
      <c r="V33" s="1"/>
      <c r="W33" s="1"/>
      <c r="X33" s="1"/>
      <c r="Y33" s="1"/>
      <c r="Z33" s="1"/>
      <c r="AA33" s="1"/>
      <c r="AB33" s="1">
        <v>295</v>
      </c>
      <c r="AC33" s="1"/>
      <c r="AD33" s="1"/>
      <c r="AE33" s="1">
        <f t="shared" si="3"/>
        <v>3</v>
      </c>
      <c r="AF33" s="1">
        <f t="shared" si="0"/>
        <v>231</v>
      </c>
      <c r="AG33" s="11" t="str">
        <f t="shared" si="1"/>
        <v>APROVADO</v>
      </c>
    </row>
    <row r="34" spans="2:33" x14ac:dyDescent="0.25">
      <c r="B34" s="5">
        <v>30</v>
      </c>
      <c r="C34" s="16" t="s">
        <v>219</v>
      </c>
      <c r="D34" s="5" t="s">
        <v>51</v>
      </c>
      <c r="E34" s="7" t="s">
        <v>220</v>
      </c>
      <c r="F34" s="7" t="s">
        <v>221</v>
      </c>
      <c r="G34" s="7" t="s">
        <v>36</v>
      </c>
      <c r="H34" s="8">
        <v>610060.4</v>
      </c>
      <c r="I34" s="7" t="s">
        <v>222</v>
      </c>
      <c r="J34" s="7" t="s">
        <v>223</v>
      </c>
      <c r="K34" s="7" t="s">
        <v>224</v>
      </c>
      <c r="L34" s="13" t="s">
        <v>225</v>
      </c>
      <c r="M34" s="10">
        <v>45303</v>
      </c>
      <c r="N34" s="13" t="s">
        <v>226</v>
      </c>
      <c r="O34" s="13" t="s">
        <v>227</v>
      </c>
      <c r="P34" s="20"/>
      <c r="Q34" s="1">
        <v>0</v>
      </c>
      <c r="R34" s="1">
        <v>29</v>
      </c>
      <c r="S34" s="1">
        <v>44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>
        <f t="shared" si="0"/>
        <v>24.333333333333332</v>
      </c>
      <c r="AG34" s="11" t="str">
        <f t="shared" si="1"/>
        <v>REPROVADO</v>
      </c>
    </row>
    <row r="35" spans="2:33" x14ac:dyDescent="0.25">
      <c r="B35" s="5">
        <v>31</v>
      </c>
      <c r="C35" s="16" t="s">
        <v>228</v>
      </c>
      <c r="D35" s="5" t="s">
        <v>51</v>
      </c>
      <c r="E35" s="5" t="s">
        <v>220</v>
      </c>
      <c r="F35" s="5" t="s">
        <v>229</v>
      </c>
      <c r="G35" s="5" t="s">
        <v>36</v>
      </c>
      <c r="H35" s="17">
        <v>160528.4</v>
      </c>
      <c r="I35" s="5" t="s">
        <v>222</v>
      </c>
      <c r="J35" s="5" t="s">
        <v>223</v>
      </c>
      <c r="K35" s="5" t="s">
        <v>224</v>
      </c>
      <c r="L35" s="13" t="s">
        <v>230</v>
      </c>
      <c r="M35" s="10">
        <v>45303</v>
      </c>
      <c r="N35" s="13" t="s">
        <v>226</v>
      </c>
      <c r="O35" s="9" t="s">
        <v>227</v>
      </c>
      <c r="P35" s="20"/>
      <c r="Q35" s="1">
        <v>0</v>
      </c>
      <c r="R35" s="1">
        <v>169</v>
      </c>
      <c r="S35" s="1">
        <v>195</v>
      </c>
      <c r="T35" s="1">
        <v>206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>
        <f t="shared" si="0"/>
        <v>142.5</v>
      </c>
      <c r="AG35" s="11" t="str">
        <f t="shared" si="1"/>
        <v>REPROVADO</v>
      </c>
    </row>
    <row r="36" spans="2:33" ht="25.5" x14ac:dyDescent="0.25">
      <c r="B36" s="5">
        <v>32</v>
      </c>
      <c r="C36" s="16" t="s">
        <v>231</v>
      </c>
      <c r="D36" s="5" t="s">
        <v>51</v>
      </c>
      <c r="E36" s="7" t="s">
        <v>232</v>
      </c>
      <c r="F36" s="7" t="s">
        <v>233</v>
      </c>
      <c r="G36" s="7" t="s">
        <v>107</v>
      </c>
      <c r="H36" s="8">
        <v>344990</v>
      </c>
      <c r="I36" s="7" t="s">
        <v>234</v>
      </c>
      <c r="J36" s="7" t="s">
        <v>235</v>
      </c>
      <c r="K36" s="7" t="s">
        <v>236</v>
      </c>
      <c r="L36" s="13" t="s">
        <v>230</v>
      </c>
      <c r="M36" s="10">
        <v>45303</v>
      </c>
      <c r="N36" s="7" t="s">
        <v>82</v>
      </c>
      <c r="O36" s="7" t="s">
        <v>83</v>
      </c>
      <c r="P36" s="2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e">
        <f t="shared" si="0"/>
        <v>#DIV/0!</v>
      </c>
      <c r="AG36" s="11" t="e">
        <f t="shared" si="1"/>
        <v>#DIV/0!</v>
      </c>
    </row>
    <row r="37" spans="2:33" x14ac:dyDescent="0.25">
      <c r="B37" s="5">
        <v>33</v>
      </c>
      <c r="C37" s="6" t="s">
        <v>237</v>
      </c>
      <c r="D37" s="5" t="s">
        <v>33</v>
      </c>
      <c r="E37" s="5" t="s">
        <v>238</v>
      </c>
      <c r="F37" s="5" t="s">
        <v>239</v>
      </c>
      <c r="G37" s="5" t="s">
        <v>36</v>
      </c>
      <c r="H37" s="15">
        <v>641438.57999999996</v>
      </c>
      <c r="I37" s="5" t="s">
        <v>240</v>
      </c>
      <c r="J37" s="5" t="s">
        <v>241</v>
      </c>
      <c r="K37" s="5" t="s">
        <v>242</v>
      </c>
      <c r="L37" s="9" t="s">
        <v>243</v>
      </c>
      <c r="M37" s="10">
        <v>45303</v>
      </c>
      <c r="N37" s="7" t="s">
        <v>67</v>
      </c>
      <c r="O37" s="7"/>
      <c r="P37" s="20"/>
      <c r="Q37" s="1"/>
      <c r="R37" s="1">
        <v>198</v>
      </c>
      <c r="S37" s="1"/>
      <c r="T37" s="1"/>
      <c r="U37" s="1"/>
      <c r="V37" s="1"/>
      <c r="W37" s="1">
        <v>340</v>
      </c>
      <c r="X37" s="1"/>
      <c r="Y37" s="1">
        <v>340</v>
      </c>
      <c r="Z37" s="1"/>
      <c r="AA37" s="1"/>
      <c r="AB37" s="1"/>
      <c r="AC37" s="1"/>
      <c r="AD37" s="1"/>
      <c r="AE37" s="1">
        <f>COUNT(Q37:AD37)</f>
        <v>3</v>
      </c>
      <c r="AF37" s="1">
        <f t="shared" si="0"/>
        <v>292.66666666666669</v>
      </c>
      <c r="AG37" s="11" t="str">
        <f t="shared" si="1"/>
        <v>APROVADO</v>
      </c>
    </row>
    <row r="38" spans="2:33" ht="25.5" x14ac:dyDescent="0.25">
      <c r="B38" s="5">
        <v>34</v>
      </c>
      <c r="C38" s="6" t="s">
        <v>244</v>
      </c>
      <c r="D38" s="5" t="s">
        <v>51</v>
      </c>
      <c r="E38" s="7" t="s">
        <v>245</v>
      </c>
      <c r="F38" s="7" t="s">
        <v>246</v>
      </c>
      <c r="G38" s="7" t="s">
        <v>36</v>
      </c>
      <c r="H38" s="8">
        <v>100000</v>
      </c>
      <c r="I38" s="12" t="s">
        <v>247</v>
      </c>
      <c r="J38" s="7" t="s">
        <v>47</v>
      </c>
      <c r="K38" s="7" t="s">
        <v>248</v>
      </c>
      <c r="L38" s="21" t="s">
        <v>249</v>
      </c>
      <c r="M38" s="10">
        <v>45303</v>
      </c>
      <c r="N38" s="13" t="s">
        <v>41</v>
      </c>
      <c r="O38" s="13"/>
      <c r="P38" s="20"/>
      <c r="Q38" s="1">
        <v>337</v>
      </c>
      <c r="R38" s="1"/>
      <c r="S38" s="1">
        <v>224</v>
      </c>
      <c r="T38" s="1">
        <v>238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f>COUNT(Q38:AD38)</f>
        <v>3</v>
      </c>
      <c r="AF38" s="1">
        <f t="shared" si="0"/>
        <v>266.33333333333331</v>
      </c>
      <c r="AG38" s="11" t="str">
        <f t="shared" si="1"/>
        <v>APROVADO</v>
      </c>
    </row>
    <row r="39" spans="2:33" ht="25.5" x14ac:dyDescent="0.25">
      <c r="B39" s="5">
        <v>35</v>
      </c>
      <c r="C39" s="6" t="s">
        <v>250</v>
      </c>
      <c r="D39" s="5" t="s">
        <v>33</v>
      </c>
      <c r="E39" s="7" t="s">
        <v>251</v>
      </c>
      <c r="F39" s="7" t="s">
        <v>252</v>
      </c>
      <c r="G39" s="7" t="s">
        <v>36</v>
      </c>
      <c r="H39" s="8">
        <v>283010</v>
      </c>
      <c r="I39" s="7" t="s">
        <v>253</v>
      </c>
      <c r="J39" s="7" t="s">
        <v>254</v>
      </c>
      <c r="K39" s="7" t="s">
        <v>255</v>
      </c>
      <c r="L39" s="9" t="s">
        <v>256</v>
      </c>
      <c r="M39" s="10">
        <v>45303</v>
      </c>
      <c r="N39" s="7" t="s">
        <v>41</v>
      </c>
      <c r="O39" s="7"/>
      <c r="P39" s="20"/>
      <c r="Q39" s="1">
        <v>312</v>
      </c>
      <c r="R39" s="1"/>
      <c r="S39" s="1">
        <v>222</v>
      </c>
      <c r="T39" s="1">
        <v>161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f>COUNT(Q39:AD39)</f>
        <v>3</v>
      </c>
      <c r="AF39" s="1">
        <f t="shared" si="0"/>
        <v>231.66666666666666</v>
      </c>
      <c r="AG39" s="11" t="str">
        <f t="shared" si="1"/>
        <v>APROVADO</v>
      </c>
    </row>
    <row r="40" spans="2:33" ht="33" customHeight="1" x14ac:dyDescent="0.25">
      <c r="B40" s="5">
        <v>36</v>
      </c>
      <c r="C40" s="6" t="s">
        <v>257</v>
      </c>
      <c r="D40" s="5" t="s">
        <v>33</v>
      </c>
      <c r="E40" s="7" t="s">
        <v>258</v>
      </c>
      <c r="F40" s="7" t="s">
        <v>259</v>
      </c>
      <c r="G40" s="7" t="s">
        <v>260</v>
      </c>
      <c r="H40" s="8">
        <v>53388</v>
      </c>
      <c r="I40" s="7" t="s">
        <v>261</v>
      </c>
      <c r="J40" s="7" t="s">
        <v>141</v>
      </c>
      <c r="K40" s="7" t="s">
        <v>262</v>
      </c>
      <c r="L40" s="9" t="s">
        <v>263</v>
      </c>
      <c r="M40" s="10">
        <v>45303</v>
      </c>
      <c r="N40" s="7" t="s">
        <v>41</v>
      </c>
      <c r="O40" s="20"/>
      <c r="P40" s="20"/>
      <c r="Q40" s="1">
        <v>297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243</v>
      </c>
      <c r="AC40" s="1">
        <v>287</v>
      </c>
      <c r="AD40" s="1"/>
      <c r="AE40" s="1">
        <f>COUNT(Q40:AD40)</f>
        <v>3</v>
      </c>
      <c r="AF40" s="1">
        <f t="shared" si="0"/>
        <v>275.66666666666669</v>
      </c>
      <c r="AG40" s="11" t="str">
        <f t="shared" si="1"/>
        <v>APROVADO</v>
      </c>
    </row>
    <row r="41" spans="2:33" ht="25.5" x14ac:dyDescent="0.25">
      <c r="B41" s="5">
        <v>37</v>
      </c>
      <c r="C41" s="6" t="s">
        <v>264</v>
      </c>
      <c r="D41" s="5" t="s">
        <v>33</v>
      </c>
      <c r="E41" s="7" t="s">
        <v>258</v>
      </c>
      <c r="F41" s="7" t="s">
        <v>265</v>
      </c>
      <c r="G41" s="7" t="s">
        <v>36</v>
      </c>
      <c r="H41" s="8">
        <v>28000</v>
      </c>
      <c r="I41" s="7" t="s">
        <v>261</v>
      </c>
      <c r="J41" s="7" t="s">
        <v>141</v>
      </c>
      <c r="K41" s="7" t="s">
        <v>262</v>
      </c>
      <c r="L41" s="7" t="s">
        <v>263</v>
      </c>
      <c r="M41" s="10">
        <v>45303</v>
      </c>
      <c r="N41" s="7" t="s">
        <v>41</v>
      </c>
      <c r="O41" s="20"/>
      <c r="P41" s="20"/>
      <c r="Q41" s="1">
        <v>340</v>
      </c>
      <c r="R41" s="1"/>
      <c r="S41" s="1"/>
      <c r="T41" s="1"/>
      <c r="U41" s="1"/>
      <c r="V41" s="1"/>
      <c r="W41" s="1"/>
      <c r="X41" s="1"/>
      <c r="Y41" s="1"/>
      <c r="Z41" s="1">
        <v>319</v>
      </c>
      <c r="AA41" s="1"/>
      <c r="AB41" s="1"/>
      <c r="AC41" s="1">
        <v>333</v>
      </c>
      <c r="AD41" s="1"/>
      <c r="AE41" s="1">
        <f>COUNT(Q41:AD41)</f>
        <v>3</v>
      </c>
      <c r="AF41" s="1">
        <f t="shared" si="0"/>
        <v>330.66666666666669</v>
      </c>
      <c r="AG41" s="11" t="str">
        <f t="shared" si="1"/>
        <v>APROVADO</v>
      </c>
    </row>
    <row r="42" spans="2:33" ht="38.25" x14ac:dyDescent="0.25">
      <c r="B42" s="5">
        <v>38</v>
      </c>
      <c r="C42" s="16" t="s">
        <v>266</v>
      </c>
      <c r="D42" s="5" t="s">
        <v>33</v>
      </c>
      <c r="E42" s="5" t="s">
        <v>267</v>
      </c>
      <c r="F42" s="5" t="s">
        <v>268</v>
      </c>
      <c r="G42" s="5" t="s">
        <v>62</v>
      </c>
      <c r="H42" s="8">
        <v>180000</v>
      </c>
      <c r="I42" s="7" t="s">
        <v>269</v>
      </c>
      <c r="J42" s="7" t="s">
        <v>270</v>
      </c>
      <c r="K42" s="7" t="s">
        <v>271</v>
      </c>
      <c r="L42" s="9" t="s">
        <v>272</v>
      </c>
      <c r="M42" s="10">
        <v>45303</v>
      </c>
      <c r="N42" s="5" t="s">
        <v>226</v>
      </c>
      <c r="O42" s="5" t="s">
        <v>273</v>
      </c>
      <c r="P42" s="20"/>
      <c r="Q42" s="1">
        <v>332</v>
      </c>
      <c r="R42" s="1"/>
      <c r="S42" s="1">
        <v>200</v>
      </c>
      <c r="T42" s="1">
        <v>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>
        <f t="shared" si="0"/>
        <v>177.33333333333334</v>
      </c>
      <c r="AG42" s="11" t="str">
        <f t="shared" si="1"/>
        <v>REPROVADO</v>
      </c>
    </row>
    <row r="43" spans="2:33" ht="22.5" customHeight="1" x14ac:dyDescent="0.25">
      <c r="B43" s="5">
        <v>39</v>
      </c>
      <c r="C43" s="6" t="s">
        <v>274</v>
      </c>
      <c r="D43" s="5" t="s">
        <v>33</v>
      </c>
      <c r="E43" s="7" t="s">
        <v>267</v>
      </c>
      <c r="F43" s="7" t="s">
        <v>275</v>
      </c>
      <c r="G43" s="5" t="s">
        <v>62</v>
      </c>
      <c r="H43" s="8">
        <v>220000</v>
      </c>
      <c r="I43" s="7" t="s">
        <v>269</v>
      </c>
      <c r="J43" s="7" t="s">
        <v>270</v>
      </c>
      <c r="K43" s="7" t="s">
        <v>271</v>
      </c>
      <c r="L43" s="9" t="s">
        <v>272</v>
      </c>
      <c r="M43" s="10">
        <v>45303</v>
      </c>
      <c r="N43" s="7" t="s">
        <v>67</v>
      </c>
      <c r="O43" s="7"/>
      <c r="P43" s="20"/>
      <c r="Q43" s="1">
        <v>340</v>
      </c>
      <c r="R43" s="1">
        <v>123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>
        <v>238</v>
      </c>
      <c r="AE43" s="1">
        <f t="shared" ref="AE43:AE53" si="4">COUNT(Q43:AD43)</f>
        <v>3</v>
      </c>
      <c r="AF43" s="1">
        <f t="shared" si="0"/>
        <v>233.66666666666666</v>
      </c>
      <c r="AG43" s="11" t="str">
        <f t="shared" si="1"/>
        <v>APROVADO</v>
      </c>
    </row>
    <row r="44" spans="2:33" ht="25.5" x14ac:dyDescent="0.25">
      <c r="B44" s="5">
        <v>40</v>
      </c>
      <c r="C44" s="6" t="s">
        <v>276</v>
      </c>
      <c r="D44" s="5" t="s">
        <v>51</v>
      </c>
      <c r="E44" s="7" t="s">
        <v>277</v>
      </c>
      <c r="F44" s="7" t="s">
        <v>278</v>
      </c>
      <c r="G44" s="7" t="s">
        <v>36</v>
      </c>
      <c r="H44" s="8">
        <v>80000</v>
      </c>
      <c r="I44" s="12" t="s">
        <v>269</v>
      </c>
      <c r="J44" s="7" t="s">
        <v>270</v>
      </c>
      <c r="K44" s="7" t="s">
        <v>279</v>
      </c>
      <c r="L44" s="13" t="s">
        <v>280</v>
      </c>
      <c r="M44" s="10">
        <v>45303</v>
      </c>
      <c r="N44" s="13" t="s">
        <v>57</v>
      </c>
      <c r="O44" s="13"/>
      <c r="P44" s="20"/>
      <c r="Q44" s="1">
        <v>200</v>
      </c>
      <c r="R44" s="1">
        <v>133</v>
      </c>
      <c r="S44" s="1"/>
      <c r="T44" s="1"/>
      <c r="U44" s="1"/>
      <c r="V44" s="1"/>
      <c r="W44" s="1"/>
      <c r="X44" s="1"/>
      <c r="Y44" s="1"/>
      <c r="Z44" s="1"/>
      <c r="AA44" s="1"/>
      <c r="AB44" s="1">
        <v>157</v>
      </c>
      <c r="AC44" s="1"/>
      <c r="AD44" s="1"/>
      <c r="AE44" s="1">
        <f t="shared" si="4"/>
        <v>3</v>
      </c>
      <c r="AF44" s="1">
        <f t="shared" si="0"/>
        <v>163.33333333333334</v>
      </c>
      <c r="AG44" s="11" t="str">
        <f t="shared" si="1"/>
        <v>REPROVADO</v>
      </c>
    </row>
    <row r="45" spans="2:33" x14ac:dyDescent="0.25">
      <c r="B45" s="5">
        <v>41</v>
      </c>
      <c r="C45" s="6" t="s">
        <v>281</v>
      </c>
      <c r="D45" s="5" t="s">
        <v>33</v>
      </c>
      <c r="E45" s="7" t="s">
        <v>267</v>
      </c>
      <c r="F45" s="7" t="s">
        <v>282</v>
      </c>
      <c r="G45" s="7" t="s">
        <v>283</v>
      </c>
      <c r="H45" s="8">
        <v>50000</v>
      </c>
      <c r="I45" s="7" t="s">
        <v>269</v>
      </c>
      <c r="J45" s="7" t="s">
        <v>270</v>
      </c>
      <c r="K45" s="7" t="s">
        <v>271</v>
      </c>
      <c r="L45" s="9" t="s">
        <v>272</v>
      </c>
      <c r="M45" s="10">
        <v>45303</v>
      </c>
      <c r="N45" s="7" t="s">
        <v>67</v>
      </c>
      <c r="O45" s="7"/>
      <c r="P45" s="20"/>
      <c r="Q45" s="1"/>
      <c r="R45" s="1">
        <v>75</v>
      </c>
      <c r="S45" s="1"/>
      <c r="T45" s="1"/>
      <c r="U45" s="1"/>
      <c r="V45" s="1">
        <v>189</v>
      </c>
      <c r="W45" s="1">
        <v>164</v>
      </c>
      <c r="X45" s="1"/>
      <c r="Y45" s="1"/>
      <c r="Z45" s="1"/>
      <c r="AA45" s="1"/>
      <c r="AB45" s="1"/>
      <c r="AC45" s="1"/>
      <c r="AD45" s="1"/>
      <c r="AE45" s="1">
        <f t="shared" si="4"/>
        <v>3</v>
      </c>
      <c r="AF45" s="1">
        <f t="shared" si="0"/>
        <v>142.66666666666666</v>
      </c>
      <c r="AG45" s="11" t="str">
        <f t="shared" si="1"/>
        <v>REPROVADO</v>
      </c>
    </row>
    <row r="46" spans="2:33" ht="25.5" x14ac:dyDescent="0.25">
      <c r="B46" s="5">
        <v>42</v>
      </c>
      <c r="C46" s="6" t="s">
        <v>284</v>
      </c>
      <c r="D46" s="5" t="s">
        <v>51</v>
      </c>
      <c r="E46" s="7" t="s">
        <v>277</v>
      </c>
      <c r="F46" s="7" t="s">
        <v>285</v>
      </c>
      <c r="G46" s="7" t="s">
        <v>36</v>
      </c>
      <c r="H46" s="8">
        <v>400000</v>
      </c>
      <c r="I46" s="12" t="s">
        <v>269</v>
      </c>
      <c r="J46" s="7" t="s">
        <v>270</v>
      </c>
      <c r="K46" s="7" t="s">
        <v>279</v>
      </c>
      <c r="L46" s="13" t="s">
        <v>286</v>
      </c>
      <c r="M46" s="10">
        <v>45303</v>
      </c>
      <c r="N46" s="13" t="s">
        <v>57</v>
      </c>
      <c r="O46" s="13"/>
      <c r="P46" s="20"/>
      <c r="Q46" s="1">
        <v>277</v>
      </c>
      <c r="R46" s="1">
        <v>91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>
        <v>292</v>
      </c>
      <c r="AD46" s="1"/>
      <c r="AE46" s="1">
        <f t="shared" si="4"/>
        <v>3</v>
      </c>
      <c r="AF46" s="1">
        <f>AVERAGE(Q46:AD46)</f>
        <v>220</v>
      </c>
      <c r="AG46" s="11" t="str">
        <f t="shared" si="1"/>
        <v>APROVADO</v>
      </c>
    </row>
    <row r="47" spans="2:33" ht="25.5" x14ac:dyDescent="0.25">
      <c r="B47" s="5">
        <v>43</v>
      </c>
      <c r="C47" s="6" t="s">
        <v>287</v>
      </c>
      <c r="D47" s="5" t="s">
        <v>33</v>
      </c>
      <c r="E47" s="7" t="s">
        <v>288</v>
      </c>
      <c r="F47" s="7" t="s">
        <v>289</v>
      </c>
      <c r="G47" s="7" t="s">
        <v>36</v>
      </c>
      <c r="H47" s="8">
        <v>270000</v>
      </c>
      <c r="I47" s="7" t="s">
        <v>290</v>
      </c>
      <c r="J47" s="7" t="s">
        <v>154</v>
      </c>
      <c r="K47" s="7" t="s">
        <v>291</v>
      </c>
      <c r="L47" s="9" t="s">
        <v>292</v>
      </c>
      <c r="M47" s="10">
        <v>45303</v>
      </c>
      <c r="N47" s="7" t="s">
        <v>41</v>
      </c>
      <c r="O47" s="7"/>
      <c r="P47" s="20"/>
      <c r="Q47" s="1">
        <v>340</v>
      </c>
      <c r="R47" s="1"/>
      <c r="S47" s="1">
        <v>189</v>
      </c>
      <c r="T47" s="1">
        <v>212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f t="shared" si="4"/>
        <v>3</v>
      </c>
      <c r="AF47" s="1">
        <f t="shared" si="0"/>
        <v>247</v>
      </c>
      <c r="AG47" s="11" t="str">
        <f t="shared" si="1"/>
        <v>APROVADO</v>
      </c>
    </row>
    <row r="48" spans="2:33" ht="25.5" x14ac:dyDescent="0.25">
      <c r="B48" s="5">
        <v>44</v>
      </c>
      <c r="C48" s="6" t="s">
        <v>293</v>
      </c>
      <c r="D48" s="5" t="s">
        <v>33</v>
      </c>
      <c r="E48" s="7" t="s">
        <v>288</v>
      </c>
      <c r="F48" s="7" t="s">
        <v>294</v>
      </c>
      <c r="G48" s="5" t="s">
        <v>62</v>
      </c>
      <c r="H48" s="8">
        <v>188640</v>
      </c>
      <c r="I48" s="7" t="s">
        <v>290</v>
      </c>
      <c r="J48" s="7" t="s">
        <v>154</v>
      </c>
      <c r="K48" s="7" t="s">
        <v>291</v>
      </c>
      <c r="L48" s="9" t="s">
        <v>292</v>
      </c>
      <c r="M48" s="10">
        <v>45303</v>
      </c>
      <c r="N48" s="7" t="s">
        <v>41</v>
      </c>
      <c r="O48" s="7"/>
      <c r="P48" s="20"/>
      <c r="Q48" s="1">
        <v>327</v>
      </c>
      <c r="R48" s="1"/>
      <c r="S48" s="1">
        <v>190</v>
      </c>
      <c r="T48" s="1">
        <v>153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f t="shared" si="4"/>
        <v>3</v>
      </c>
      <c r="AF48" s="1">
        <f t="shared" si="0"/>
        <v>223.33333333333334</v>
      </c>
      <c r="AG48" s="11" t="str">
        <f t="shared" si="1"/>
        <v>APROVADO</v>
      </c>
    </row>
    <row r="49" spans="2:33" ht="25.5" x14ac:dyDescent="0.25">
      <c r="B49" s="5">
        <v>45</v>
      </c>
      <c r="C49" s="6" t="s">
        <v>295</v>
      </c>
      <c r="D49" s="5" t="s">
        <v>33</v>
      </c>
      <c r="E49" s="7" t="s">
        <v>288</v>
      </c>
      <c r="F49" s="7" t="s">
        <v>296</v>
      </c>
      <c r="G49" s="7" t="s">
        <v>107</v>
      </c>
      <c r="H49" s="8">
        <v>240000</v>
      </c>
      <c r="I49" s="7" t="s">
        <v>290</v>
      </c>
      <c r="J49" s="7" t="s">
        <v>154</v>
      </c>
      <c r="K49" s="7" t="s">
        <v>291</v>
      </c>
      <c r="L49" s="9" t="s">
        <v>292</v>
      </c>
      <c r="M49" s="10">
        <v>45303</v>
      </c>
      <c r="N49" s="7" t="s">
        <v>41</v>
      </c>
      <c r="O49" s="7"/>
      <c r="P49" s="20"/>
      <c r="Q49" s="1">
        <v>333</v>
      </c>
      <c r="R49" s="1"/>
      <c r="S49" s="1">
        <v>200</v>
      </c>
      <c r="T49" s="1">
        <v>168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f t="shared" si="4"/>
        <v>3</v>
      </c>
      <c r="AF49" s="1">
        <f t="shared" si="0"/>
        <v>233.66666666666666</v>
      </c>
      <c r="AG49" s="11" t="str">
        <f t="shared" si="1"/>
        <v>APROVADO</v>
      </c>
    </row>
    <row r="50" spans="2:33" ht="25.5" x14ac:dyDescent="0.25">
      <c r="B50" s="5">
        <v>46</v>
      </c>
      <c r="C50" s="6" t="s">
        <v>297</v>
      </c>
      <c r="D50" s="5" t="s">
        <v>33</v>
      </c>
      <c r="E50" s="7" t="s">
        <v>298</v>
      </c>
      <c r="F50" s="7" t="s">
        <v>299</v>
      </c>
      <c r="G50" s="7" t="s">
        <v>300</v>
      </c>
      <c r="H50" s="8">
        <v>252000</v>
      </c>
      <c r="I50" s="7" t="s">
        <v>290</v>
      </c>
      <c r="J50" s="7" t="s">
        <v>154</v>
      </c>
      <c r="K50" s="7" t="s">
        <v>301</v>
      </c>
      <c r="L50" s="9" t="s">
        <v>302</v>
      </c>
      <c r="M50" s="10">
        <v>45303</v>
      </c>
      <c r="N50" s="7" t="s">
        <v>41</v>
      </c>
      <c r="O50" s="7"/>
      <c r="P50" s="20"/>
      <c r="Q50" s="1">
        <v>286</v>
      </c>
      <c r="R50" s="1">
        <v>305</v>
      </c>
      <c r="S50" s="1"/>
      <c r="T50" s="1">
        <v>306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f t="shared" si="4"/>
        <v>3</v>
      </c>
      <c r="AF50" s="1">
        <f t="shared" si="0"/>
        <v>299</v>
      </c>
      <c r="AG50" s="11" t="str">
        <f t="shared" si="1"/>
        <v>APROVADO</v>
      </c>
    </row>
    <row r="51" spans="2:33" ht="38.25" x14ac:dyDescent="0.25">
      <c r="B51" s="5">
        <v>47</v>
      </c>
      <c r="C51" s="6" t="s">
        <v>303</v>
      </c>
      <c r="D51" s="5" t="s">
        <v>33</v>
      </c>
      <c r="E51" s="7" t="s">
        <v>298</v>
      </c>
      <c r="F51" s="7" t="s">
        <v>304</v>
      </c>
      <c r="G51" s="7" t="s">
        <v>36</v>
      </c>
      <c r="H51" s="8">
        <v>500000</v>
      </c>
      <c r="I51" s="7" t="s">
        <v>290</v>
      </c>
      <c r="J51" s="7" t="s">
        <v>154</v>
      </c>
      <c r="K51" s="7" t="s">
        <v>301</v>
      </c>
      <c r="L51" s="9" t="s">
        <v>302</v>
      </c>
      <c r="M51" s="10">
        <v>45303</v>
      </c>
      <c r="N51" s="7" t="s">
        <v>41</v>
      </c>
      <c r="O51" s="7" t="s">
        <v>305</v>
      </c>
      <c r="P51" s="20"/>
      <c r="Q51" s="1">
        <v>340</v>
      </c>
      <c r="R51" s="1">
        <v>159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>
        <v>333</v>
      </c>
      <c r="AD51" s="1"/>
      <c r="AE51" s="1">
        <f t="shared" si="4"/>
        <v>3</v>
      </c>
      <c r="AF51" s="1">
        <f t="shared" si="0"/>
        <v>277.33333333333331</v>
      </c>
      <c r="AG51" s="11" t="str">
        <f t="shared" si="1"/>
        <v>APROVADO</v>
      </c>
    </row>
    <row r="52" spans="2:33" ht="25.5" x14ac:dyDescent="0.25">
      <c r="B52" s="5">
        <v>48</v>
      </c>
      <c r="C52" s="22" t="s">
        <v>306</v>
      </c>
      <c r="D52" s="5" t="s">
        <v>33</v>
      </c>
      <c r="E52" s="7" t="s">
        <v>307</v>
      </c>
      <c r="F52" s="7" t="s">
        <v>308</v>
      </c>
      <c r="G52" s="7" t="s">
        <v>36</v>
      </c>
      <c r="H52" s="8">
        <v>200000</v>
      </c>
      <c r="I52" s="7" t="s">
        <v>290</v>
      </c>
      <c r="J52" s="7" t="s">
        <v>154</v>
      </c>
      <c r="K52" s="7" t="s">
        <v>309</v>
      </c>
      <c r="L52" s="9" t="s">
        <v>310</v>
      </c>
      <c r="M52" s="10">
        <v>45303</v>
      </c>
      <c r="N52" s="7" t="s">
        <v>41</v>
      </c>
      <c r="O52" s="7"/>
      <c r="P52" s="20"/>
      <c r="Q52" s="1">
        <v>327</v>
      </c>
      <c r="R52" s="1"/>
      <c r="S52" s="1">
        <v>224</v>
      </c>
      <c r="T52" s="1">
        <v>142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>
        <f t="shared" si="4"/>
        <v>3</v>
      </c>
      <c r="AF52" s="1">
        <f t="shared" si="0"/>
        <v>231</v>
      </c>
      <c r="AG52" s="11" t="str">
        <f t="shared" si="1"/>
        <v>APROVADO</v>
      </c>
    </row>
    <row r="53" spans="2:33" ht="25.5" x14ac:dyDescent="0.25">
      <c r="B53" s="5">
        <v>49</v>
      </c>
      <c r="C53" s="6" t="s">
        <v>311</v>
      </c>
      <c r="D53" s="5" t="s">
        <v>33</v>
      </c>
      <c r="E53" s="7" t="s">
        <v>312</v>
      </c>
      <c r="F53" s="7" t="s">
        <v>313</v>
      </c>
      <c r="G53" s="7" t="s">
        <v>36</v>
      </c>
      <c r="H53" s="8">
        <v>37863.96</v>
      </c>
      <c r="I53" s="7" t="s">
        <v>290</v>
      </c>
      <c r="J53" s="7" t="s">
        <v>154</v>
      </c>
      <c r="K53" s="7" t="s">
        <v>314</v>
      </c>
      <c r="L53" s="9" t="s">
        <v>315</v>
      </c>
      <c r="M53" s="10">
        <v>45303</v>
      </c>
      <c r="N53" s="7" t="s">
        <v>41</v>
      </c>
      <c r="O53" s="7" t="s">
        <v>316</v>
      </c>
      <c r="P53" s="20"/>
      <c r="Q53" s="1">
        <v>340</v>
      </c>
      <c r="R53" s="1">
        <v>117</v>
      </c>
      <c r="S53" s="1"/>
      <c r="T53" s="1">
        <v>265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>
        <f t="shared" si="4"/>
        <v>3</v>
      </c>
      <c r="AF53" s="1">
        <f t="shared" si="0"/>
        <v>240.66666666666666</v>
      </c>
      <c r="AG53" s="11" t="str">
        <f t="shared" si="1"/>
        <v>APROVADO</v>
      </c>
    </row>
    <row r="54" spans="2:33" ht="38.25" x14ac:dyDescent="0.25">
      <c r="B54" s="5">
        <v>50</v>
      </c>
      <c r="C54" s="16" t="s">
        <v>317</v>
      </c>
      <c r="D54" s="5" t="s">
        <v>51</v>
      </c>
      <c r="E54" s="5" t="s">
        <v>318</v>
      </c>
      <c r="F54" s="5" t="s">
        <v>319</v>
      </c>
      <c r="G54" s="5" t="s">
        <v>36</v>
      </c>
      <c r="H54" s="17">
        <v>331000</v>
      </c>
      <c r="I54" s="7" t="s">
        <v>320</v>
      </c>
      <c r="J54" s="7" t="s">
        <v>64</v>
      </c>
      <c r="K54" s="7" t="s">
        <v>321</v>
      </c>
      <c r="L54" s="13" t="s">
        <v>249</v>
      </c>
      <c r="M54" s="10">
        <v>45303</v>
      </c>
      <c r="N54" s="13" t="s">
        <v>226</v>
      </c>
      <c r="O54" s="5" t="s">
        <v>227</v>
      </c>
      <c r="P54" s="20"/>
      <c r="Q54" s="1">
        <v>0</v>
      </c>
      <c r="R54" s="1">
        <v>188</v>
      </c>
      <c r="S54" s="1">
        <v>243</v>
      </c>
      <c r="T54" s="1">
        <v>0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f t="shared" si="0"/>
        <v>107.75</v>
      </c>
      <c r="AG54" s="11" t="str">
        <f t="shared" si="1"/>
        <v>REPROVADO</v>
      </c>
    </row>
    <row r="55" spans="2:33" ht="38.25" x14ac:dyDescent="0.25">
      <c r="B55" s="5">
        <v>51</v>
      </c>
      <c r="C55" s="6" t="s">
        <v>322</v>
      </c>
      <c r="D55" s="5" t="s">
        <v>33</v>
      </c>
      <c r="E55" s="7" t="s">
        <v>323</v>
      </c>
      <c r="F55" s="7" t="s">
        <v>324</v>
      </c>
      <c r="G55" s="7" t="s">
        <v>36</v>
      </c>
      <c r="H55" s="8">
        <v>345133.32</v>
      </c>
      <c r="I55" s="7" t="s">
        <v>325</v>
      </c>
      <c r="J55" s="7" t="s">
        <v>64</v>
      </c>
      <c r="K55" s="7" t="s">
        <v>326</v>
      </c>
      <c r="L55" s="9" t="s">
        <v>327</v>
      </c>
      <c r="M55" s="10">
        <v>45303</v>
      </c>
      <c r="N55" s="7" t="s">
        <v>67</v>
      </c>
      <c r="O55" s="7" t="s">
        <v>98</v>
      </c>
      <c r="P55" s="7"/>
      <c r="Q55" s="1">
        <v>315</v>
      </c>
      <c r="R55" s="1">
        <v>242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289</v>
      </c>
      <c r="AE55" s="1">
        <f t="shared" ref="AE55:AE73" si="5">COUNT(Q55:AD55)</f>
        <v>3</v>
      </c>
      <c r="AF55" s="1">
        <f t="shared" si="0"/>
        <v>282</v>
      </c>
      <c r="AG55" s="11" t="str">
        <f t="shared" si="1"/>
        <v>APROVADO</v>
      </c>
    </row>
    <row r="56" spans="2:33" ht="38.25" x14ac:dyDescent="0.25">
      <c r="B56" s="5">
        <v>52</v>
      </c>
      <c r="C56" s="6" t="s">
        <v>328</v>
      </c>
      <c r="D56" s="5" t="s">
        <v>33</v>
      </c>
      <c r="E56" s="7" t="s">
        <v>329</v>
      </c>
      <c r="F56" s="7" t="s">
        <v>330</v>
      </c>
      <c r="G56" s="5" t="s">
        <v>62</v>
      </c>
      <c r="H56" s="8">
        <v>1431815.84</v>
      </c>
      <c r="I56" s="7" t="s">
        <v>73</v>
      </c>
      <c r="J56" s="7" t="s">
        <v>74</v>
      </c>
      <c r="K56" s="7" t="s">
        <v>331</v>
      </c>
      <c r="L56" s="9" t="s">
        <v>332</v>
      </c>
      <c r="M56" s="10">
        <v>45303</v>
      </c>
      <c r="N56" s="7" t="s">
        <v>41</v>
      </c>
      <c r="O56" s="7"/>
      <c r="P56" s="7"/>
      <c r="Q56" s="1">
        <v>340</v>
      </c>
      <c r="R56" s="1"/>
      <c r="S56" s="1">
        <v>272</v>
      </c>
      <c r="T56" s="1">
        <v>288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f t="shared" si="5"/>
        <v>3</v>
      </c>
      <c r="AF56" s="1">
        <f t="shared" si="0"/>
        <v>300</v>
      </c>
      <c r="AG56" s="11" t="str">
        <f t="shared" si="1"/>
        <v>APROVADO</v>
      </c>
    </row>
    <row r="57" spans="2:33" ht="25.5" x14ac:dyDescent="0.25">
      <c r="B57" s="5">
        <v>53</v>
      </c>
      <c r="C57" s="6" t="s">
        <v>333</v>
      </c>
      <c r="D57" s="5" t="s">
        <v>33</v>
      </c>
      <c r="E57" s="5" t="s">
        <v>334</v>
      </c>
      <c r="F57" s="5" t="s">
        <v>335</v>
      </c>
      <c r="G57" s="7" t="s">
        <v>336</v>
      </c>
      <c r="H57" s="8">
        <v>1111410.1299999999</v>
      </c>
      <c r="I57" s="7" t="s">
        <v>73</v>
      </c>
      <c r="J57" s="7" t="s">
        <v>74</v>
      </c>
      <c r="K57" s="7" t="s">
        <v>337</v>
      </c>
      <c r="L57" s="9" t="s">
        <v>338</v>
      </c>
      <c r="M57" s="10">
        <v>45303</v>
      </c>
      <c r="N57" s="5" t="s">
        <v>67</v>
      </c>
      <c r="O57" s="7" t="s">
        <v>68</v>
      </c>
      <c r="P57" s="7"/>
      <c r="Q57" s="1">
        <v>284</v>
      </c>
      <c r="R57" s="1"/>
      <c r="S57" s="1">
        <v>246</v>
      </c>
      <c r="T57" s="1">
        <v>172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>
        <f t="shared" si="5"/>
        <v>3</v>
      </c>
      <c r="AF57" s="1">
        <f t="shared" si="0"/>
        <v>234</v>
      </c>
      <c r="AG57" s="11" t="str">
        <f t="shared" si="1"/>
        <v>APROVADO</v>
      </c>
    </row>
    <row r="58" spans="2:33" ht="25.5" x14ac:dyDescent="0.25">
      <c r="B58" s="5">
        <v>54</v>
      </c>
      <c r="C58" s="6" t="s">
        <v>339</v>
      </c>
      <c r="D58" s="5" t="s">
        <v>33</v>
      </c>
      <c r="E58" s="7" t="s">
        <v>340</v>
      </c>
      <c r="F58" s="7" t="s">
        <v>341</v>
      </c>
      <c r="G58" s="7" t="s">
        <v>36</v>
      </c>
      <c r="H58" s="8">
        <v>88952.51</v>
      </c>
      <c r="I58" s="7" t="s">
        <v>342</v>
      </c>
      <c r="J58" s="7" t="s">
        <v>235</v>
      </c>
      <c r="K58" s="7" t="s">
        <v>343</v>
      </c>
      <c r="L58" s="9" t="s">
        <v>344</v>
      </c>
      <c r="M58" s="10">
        <v>45306</v>
      </c>
      <c r="N58" s="7" t="s">
        <v>41</v>
      </c>
      <c r="O58" s="7"/>
      <c r="P58" s="7"/>
      <c r="Q58" s="1">
        <v>340</v>
      </c>
      <c r="R58" s="1"/>
      <c r="S58" s="1">
        <v>246</v>
      </c>
      <c r="T58" s="1">
        <v>290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>
        <f t="shared" si="5"/>
        <v>3</v>
      </c>
      <c r="AF58" s="1">
        <f t="shared" si="0"/>
        <v>292</v>
      </c>
      <c r="AG58" s="11" t="str">
        <f t="shared" si="1"/>
        <v>APROVADO</v>
      </c>
    </row>
    <row r="59" spans="2:33" ht="25.5" x14ac:dyDescent="0.25">
      <c r="B59" s="5">
        <v>55</v>
      </c>
      <c r="C59" s="6" t="s">
        <v>345</v>
      </c>
      <c r="D59" s="5" t="s">
        <v>33</v>
      </c>
      <c r="E59" s="7" t="s">
        <v>172</v>
      </c>
      <c r="F59" s="7" t="s">
        <v>346</v>
      </c>
      <c r="G59" s="7" t="s">
        <v>174</v>
      </c>
      <c r="H59" s="8">
        <v>388555.13</v>
      </c>
      <c r="I59" s="7" t="s">
        <v>347</v>
      </c>
      <c r="J59" s="7" t="s">
        <v>348</v>
      </c>
      <c r="K59" s="7" t="s">
        <v>349</v>
      </c>
      <c r="L59" s="23" t="s">
        <v>350</v>
      </c>
      <c r="M59" s="10">
        <v>45306</v>
      </c>
      <c r="N59" s="7" t="s">
        <v>67</v>
      </c>
      <c r="O59" s="7" t="s">
        <v>98</v>
      </c>
      <c r="P59" s="7"/>
      <c r="Q59" s="1"/>
      <c r="R59" s="1">
        <v>111</v>
      </c>
      <c r="S59" s="1"/>
      <c r="T59" s="1"/>
      <c r="U59" s="1"/>
      <c r="V59" s="1"/>
      <c r="W59" s="1"/>
      <c r="X59" s="1">
        <v>300</v>
      </c>
      <c r="Y59" s="1">
        <v>324</v>
      </c>
      <c r="Z59" s="1"/>
      <c r="AA59" s="1"/>
      <c r="AB59" s="1"/>
      <c r="AC59" s="1"/>
      <c r="AD59" s="1"/>
      <c r="AE59" s="1">
        <f t="shared" si="5"/>
        <v>3</v>
      </c>
      <c r="AF59" s="1">
        <f t="shared" si="0"/>
        <v>245</v>
      </c>
      <c r="AG59" s="11" t="str">
        <f t="shared" si="1"/>
        <v>APROVADO</v>
      </c>
    </row>
    <row r="60" spans="2:33" ht="25.5" x14ac:dyDescent="0.25">
      <c r="B60" s="5">
        <v>56</v>
      </c>
      <c r="C60" s="6" t="s">
        <v>351</v>
      </c>
      <c r="D60" s="5" t="s">
        <v>33</v>
      </c>
      <c r="E60" s="7" t="s">
        <v>172</v>
      </c>
      <c r="F60" s="7" t="s">
        <v>352</v>
      </c>
      <c r="G60" s="7" t="s">
        <v>36</v>
      </c>
      <c r="H60" s="8">
        <v>259202</v>
      </c>
      <c r="I60" s="7" t="s">
        <v>347</v>
      </c>
      <c r="J60" s="7" t="s">
        <v>348</v>
      </c>
      <c r="K60" s="7" t="s">
        <v>349</v>
      </c>
      <c r="L60" s="23" t="s">
        <v>350</v>
      </c>
      <c r="M60" s="10">
        <v>45306</v>
      </c>
      <c r="N60" s="7" t="s">
        <v>67</v>
      </c>
      <c r="O60" s="7" t="s">
        <v>98</v>
      </c>
      <c r="P60" s="7"/>
      <c r="Q60" s="1"/>
      <c r="R60" s="1">
        <v>108</v>
      </c>
      <c r="S60" s="1"/>
      <c r="T60" s="1"/>
      <c r="U60" s="1"/>
      <c r="V60" s="1">
        <v>278</v>
      </c>
      <c r="W60" s="1">
        <v>39</v>
      </c>
      <c r="X60" s="1"/>
      <c r="Y60" s="1"/>
      <c r="Z60" s="1"/>
      <c r="AA60" s="1"/>
      <c r="AB60" s="1"/>
      <c r="AC60" s="1"/>
      <c r="AD60" s="1"/>
      <c r="AE60" s="1">
        <f t="shared" si="5"/>
        <v>3</v>
      </c>
      <c r="AF60" s="1">
        <f t="shared" si="0"/>
        <v>141.66666666666666</v>
      </c>
      <c r="AG60" s="11" t="str">
        <f t="shared" si="1"/>
        <v>REPROVADO</v>
      </c>
    </row>
    <row r="61" spans="2:33" x14ac:dyDescent="0.25">
      <c r="B61" s="5">
        <v>57</v>
      </c>
      <c r="C61" s="6" t="s">
        <v>353</v>
      </c>
      <c r="D61" s="5" t="s">
        <v>51</v>
      </c>
      <c r="E61" s="7" t="s">
        <v>354</v>
      </c>
      <c r="F61" s="7" t="s">
        <v>221</v>
      </c>
      <c r="G61" s="7" t="s">
        <v>107</v>
      </c>
      <c r="H61" s="8">
        <v>473200</v>
      </c>
      <c r="I61" s="12" t="s">
        <v>347</v>
      </c>
      <c r="J61" s="7" t="s">
        <v>348</v>
      </c>
      <c r="K61" s="7" t="s">
        <v>355</v>
      </c>
      <c r="L61" s="7" t="s">
        <v>286</v>
      </c>
      <c r="M61" s="10">
        <v>45306</v>
      </c>
      <c r="N61" s="7" t="s">
        <v>41</v>
      </c>
      <c r="O61" s="7"/>
      <c r="P61" s="13"/>
      <c r="Q61" s="1">
        <v>298</v>
      </c>
      <c r="R61" s="1">
        <v>82</v>
      </c>
      <c r="S61" s="1"/>
      <c r="T61" s="1">
        <v>76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>
        <f t="shared" si="5"/>
        <v>3</v>
      </c>
      <c r="AF61" s="1">
        <f t="shared" si="0"/>
        <v>152</v>
      </c>
      <c r="AG61" s="11" t="str">
        <f t="shared" si="1"/>
        <v>REPROVADO</v>
      </c>
    </row>
    <row r="62" spans="2:33" x14ac:dyDescent="0.25">
      <c r="B62" s="5">
        <v>58</v>
      </c>
      <c r="C62" s="24" t="s">
        <v>356</v>
      </c>
      <c r="D62" s="5" t="s">
        <v>51</v>
      </c>
      <c r="E62" s="7" t="s">
        <v>354</v>
      </c>
      <c r="F62" s="7" t="s">
        <v>357</v>
      </c>
      <c r="G62" s="7" t="s">
        <v>62</v>
      </c>
      <c r="H62" s="8">
        <v>39973</v>
      </c>
      <c r="I62" s="12" t="s">
        <v>347</v>
      </c>
      <c r="J62" s="7" t="s">
        <v>348</v>
      </c>
      <c r="K62" s="7" t="s">
        <v>355</v>
      </c>
      <c r="L62" s="7" t="s">
        <v>358</v>
      </c>
      <c r="M62" s="10">
        <v>45306</v>
      </c>
      <c r="N62" s="7" t="s">
        <v>57</v>
      </c>
      <c r="O62" s="7" t="s">
        <v>359</v>
      </c>
      <c r="P62" s="13"/>
      <c r="Q62" s="1">
        <v>340</v>
      </c>
      <c r="R62" s="1">
        <v>103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>
        <v>340</v>
      </c>
      <c r="AD62" s="1"/>
      <c r="AE62" s="1">
        <f t="shared" si="5"/>
        <v>3</v>
      </c>
      <c r="AF62" s="1">
        <f t="shared" si="0"/>
        <v>261</v>
      </c>
      <c r="AG62" s="11" t="str">
        <f t="shared" si="1"/>
        <v>APROVADO</v>
      </c>
    </row>
    <row r="63" spans="2:33" x14ac:dyDescent="0.25">
      <c r="B63" s="5">
        <v>59</v>
      </c>
      <c r="C63" s="6" t="s">
        <v>360</v>
      </c>
      <c r="D63" s="5" t="s">
        <v>51</v>
      </c>
      <c r="E63" s="7" t="s">
        <v>354</v>
      </c>
      <c r="F63" s="7" t="s">
        <v>361</v>
      </c>
      <c r="G63" s="7" t="s">
        <v>62</v>
      </c>
      <c r="H63" s="8">
        <v>649980</v>
      </c>
      <c r="I63" s="12" t="s">
        <v>347</v>
      </c>
      <c r="J63" s="7" t="s">
        <v>348</v>
      </c>
      <c r="K63" s="7" t="s">
        <v>355</v>
      </c>
      <c r="L63" s="7" t="s">
        <v>358</v>
      </c>
      <c r="M63" s="10">
        <v>45306</v>
      </c>
      <c r="N63" s="7" t="s">
        <v>57</v>
      </c>
      <c r="O63" s="7" t="s">
        <v>359</v>
      </c>
      <c r="P63" s="13"/>
      <c r="Q63" s="1">
        <v>340</v>
      </c>
      <c r="R63" s="1">
        <v>103</v>
      </c>
      <c r="S63" s="1"/>
      <c r="T63" s="1"/>
      <c r="U63" s="1"/>
      <c r="V63" s="1">
        <v>340</v>
      </c>
      <c r="W63" s="1"/>
      <c r="X63" s="1"/>
      <c r="Y63" s="1"/>
      <c r="Z63" s="1"/>
      <c r="AA63" s="1"/>
      <c r="AB63" s="1"/>
      <c r="AC63" s="1"/>
      <c r="AD63" s="1"/>
      <c r="AE63" s="1">
        <f t="shared" si="5"/>
        <v>3</v>
      </c>
      <c r="AF63" s="1">
        <f t="shared" si="0"/>
        <v>261</v>
      </c>
      <c r="AG63" s="11" t="str">
        <f t="shared" si="1"/>
        <v>APROVADO</v>
      </c>
    </row>
    <row r="64" spans="2:33" x14ac:dyDescent="0.25">
      <c r="B64" s="5">
        <v>60</v>
      </c>
      <c r="C64" s="6" t="s">
        <v>362</v>
      </c>
      <c r="D64" s="5" t="s">
        <v>51</v>
      </c>
      <c r="E64" s="7" t="s">
        <v>354</v>
      </c>
      <c r="F64" s="7" t="s">
        <v>363</v>
      </c>
      <c r="G64" s="7" t="s">
        <v>62</v>
      </c>
      <c r="H64" s="8">
        <v>450000</v>
      </c>
      <c r="I64" s="12" t="s">
        <v>347</v>
      </c>
      <c r="J64" s="7" t="s">
        <v>348</v>
      </c>
      <c r="K64" s="7" t="s">
        <v>355</v>
      </c>
      <c r="L64" s="7" t="s">
        <v>358</v>
      </c>
      <c r="M64" s="10">
        <v>45306</v>
      </c>
      <c r="N64" s="7" t="s">
        <v>57</v>
      </c>
      <c r="O64" s="7" t="s">
        <v>359</v>
      </c>
      <c r="P64" s="13"/>
      <c r="Q64" s="1">
        <v>324</v>
      </c>
      <c r="R64" s="1">
        <v>111</v>
      </c>
      <c r="S64" s="1"/>
      <c r="T64" s="1"/>
      <c r="U64" s="1"/>
      <c r="V64" s="1"/>
      <c r="W64" s="1">
        <v>340</v>
      </c>
      <c r="X64" s="1"/>
      <c r="Y64" s="1"/>
      <c r="Z64" s="1"/>
      <c r="AA64" s="1"/>
      <c r="AB64" s="1"/>
      <c r="AC64" s="1"/>
      <c r="AD64" s="1"/>
      <c r="AE64" s="1">
        <f t="shared" si="5"/>
        <v>3</v>
      </c>
      <c r="AF64" s="1">
        <f t="shared" si="0"/>
        <v>258.33333333333331</v>
      </c>
      <c r="AG64" s="11" t="str">
        <f t="shared" si="1"/>
        <v>APROVADO</v>
      </c>
    </row>
    <row r="65" spans="2:33" ht="25.5" x14ac:dyDescent="0.25">
      <c r="B65" s="5">
        <v>61</v>
      </c>
      <c r="C65" s="6" t="s">
        <v>364</v>
      </c>
      <c r="D65" s="5" t="s">
        <v>33</v>
      </c>
      <c r="E65" s="7" t="s">
        <v>172</v>
      </c>
      <c r="F65" s="7" t="s">
        <v>365</v>
      </c>
      <c r="G65" s="7" t="s">
        <v>36</v>
      </c>
      <c r="H65" s="8">
        <v>50000</v>
      </c>
      <c r="I65" s="7" t="s">
        <v>366</v>
      </c>
      <c r="J65" s="7" t="s">
        <v>115</v>
      </c>
      <c r="K65" s="7" t="s">
        <v>367</v>
      </c>
      <c r="L65" s="9" t="s">
        <v>368</v>
      </c>
      <c r="M65" s="10">
        <v>45306</v>
      </c>
      <c r="N65" s="7" t="s">
        <v>67</v>
      </c>
      <c r="O65" s="7" t="s">
        <v>369</v>
      </c>
      <c r="P65" s="7"/>
      <c r="Q65" s="1"/>
      <c r="R65" s="1">
        <v>188</v>
      </c>
      <c r="S65" s="1"/>
      <c r="T65" s="1"/>
      <c r="U65" s="1"/>
      <c r="V65" s="1"/>
      <c r="W65" s="1"/>
      <c r="X65" s="1">
        <v>340</v>
      </c>
      <c r="Y65" s="1">
        <v>340</v>
      </c>
      <c r="Z65" s="1"/>
      <c r="AA65" s="1"/>
      <c r="AB65" s="1"/>
      <c r="AC65" s="1"/>
      <c r="AD65" s="1"/>
      <c r="AE65" s="1">
        <f t="shared" si="5"/>
        <v>3</v>
      </c>
      <c r="AF65" s="1">
        <f t="shared" si="0"/>
        <v>289.33333333333331</v>
      </c>
      <c r="AG65" s="11" t="str">
        <f t="shared" si="1"/>
        <v>APROVADO</v>
      </c>
    </row>
    <row r="66" spans="2:33" ht="25.5" x14ac:dyDescent="0.25">
      <c r="B66" s="5">
        <v>62</v>
      </c>
      <c r="C66" s="6" t="s">
        <v>370</v>
      </c>
      <c r="D66" s="5" t="s">
        <v>33</v>
      </c>
      <c r="E66" s="7" t="s">
        <v>371</v>
      </c>
      <c r="F66" s="7" t="s">
        <v>372</v>
      </c>
      <c r="G66" s="7" t="s">
        <v>36</v>
      </c>
      <c r="H66" s="8">
        <v>34150</v>
      </c>
      <c r="I66" s="7" t="s">
        <v>366</v>
      </c>
      <c r="J66" s="7" t="s">
        <v>115</v>
      </c>
      <c r="K66" s="7" t="s">
        <v>373</v>
      </c>
      <c r="L66" s="9" t="s">
        <v>374</v>
      </c>
      <c r="M66" s="10">
        <v>45306</v>
      </c>
      <c r="N66" s="7" t="s">
        <v>67</v>
      </c>
      <c r="O66" s="7" t="s">
        <v>375</v>
      </c>
      <c r="P66" s="7"/>
      <c r="Q66" s="1">
        <v>340</v>
      </c>
      <c r="R66" s="1">
        <v>207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>
        <v>340</v>
      </c>
      <c r="AE66" s="1">
        <f t="shared" si="5"/>
        <v>3</v>
      </c>
      <c r="AF66" s="1">
        <f t="shared" si="0"/>
        <v>295.66666666666669</v>
      </c>
      <c r="AG66" s="11" t="str">
        <f t="shared" si="1"/>
        <v>APROVADO</v>
      </c>
    </row>
    <row r="67" spans="2:33" ht="25.5" x14ac:dyDescent="0.25">
      <c r="B67" s="5">
        <v>63</v>
      </c>
      <c r="C67" s="6" t="s">
        <v>376</v>
      </c>
      <c r="D67" s="5" t="s">
        <v>33</v>
      </c>
      <c r="E67" s="7" t="s">
        <v>172</v>
      </c>
      <c r="F67" s="7" t="s">
        <v>377</v>
      </c>
      <c r="G67" s="7" t="s">
        <v>36</v>
      </c>
      <c r="H67" s="8">
        <v>67450</v>
      </c>
      <c r="I67" s="7" t="s">
        <v>378</v>
      </c>
      <c r="J67" s="7" t="s">
        <v>115</v>
      </c>
      <c r="K67" s="7" t="s">
        <v>379</v>
      </c>
      <c r="L67" s="9" t="s">
        <v>380</v>
      </c>
      <c r="M67" s="10">
        <v>45306</v>
      </c>
      <c r="N67" s="7" t="s">
        <v>41</v>
      </c>
      <c r="O67" s="7"/>
      <c r="P67" s="7"/>
      <c r="Q67" s="1">
        <v>340</v>
      </c>
      <c r="R67" s="1">
        <v>239</v>
      </c>
      <c r="S67" s="1"/>
      <c r="T67" s="1">
        <v>237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>
        <f t="shared" si="5"/>
        <v>3</v>
      </c>
      <c r="AF67" s="1">
        <f t="shared" si="0"/>
        <v>272</v>
      </c>
      <c r="AG67" s="11" t="str">
        <f t="shared" si="1"/>
        <v>APROVADO</v>
      </c>
    </row>
    <row r="68" spans="2:33" x14ac:dyDescent="0.25">
      <c r="B68" s="5">
        <v>64</v>
      </c>
      <c r="C68" s="6" t="s">
        <v>381</v>
      </c>
      <c r="D68" s="5" t="s">
        <v>33</v>
      </c>
      <c r="E68" s="7" t="s">
        <v>382</v>
      </c>
      <c r="F68" s="7" t="s">
        <v>383</v>
      </c>
      <c r="G68" s="7" t="s">
        <v>36</v>
      </c>
      <c r="H68" s="8">
        <v>100000</v>
      </c>
      <c r="I68" s="7" t="s">
        <v>384</v>
      </c>
      <c r="J68" s="7" t="s">
        <v>348</v>
      </c>
      <c r="K68" s="7" t="s">
        <v>385</v>
      </c>
      <c r="L68" s="9" t="s">
        <v>386</v>
      </c>
      <c r="M68" s="10">
        <v>45306</v>
      </c>
      <c r="N68" s="7" t="s">
        <v>41</v>
      </c>
      <c r="O68" s="7"/>
      <c r="P68" s="7"/>
      <c r="Q68" s="1">
        <v>340</v>
      </c>
      <c r="R68" s="1">
        <v>272</v>
      </c>
      <c r="S68" s="1"/>
      <c r="T68" s="1">
        <v>301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>
        <f t="shared" si="5"/>
        <v>3</v>
      </c>
      <c r="AF68" s="1">
        <f t="shared" si="0"/>
        <v>304.33333333333331</v>
      </c>
      <c r="AG68" s="11" t="str">
        <f t="shared" si="1"/>
        <v>APROVADO</v>
      </c>
    </row>
    <row r="69" spans="2:33" ht="25.5" x14ac:dyDescent="0.25">
      <c r="B69" s="5">
        <v>65</v>
      </c>
      <c r="C69" s="6" t="s">
        <v>387</v>
      </c>
      <c r="D69" s="5" t="s">
        <v>33</v>
      </c>
      <c r="E69" s="7" t="s">
        <v>388</v>
      </c>
      <c r="F69" s="7" t="s">
        <v>389</v>
      </c>
      <c r="G69" s="7" t="s">
        <v>107</v>
      </c>
      <c r="H69" s="8">
        <v>208890</v>
      </c>
      <c r="I69" s="7" t="s">
        <v>390</v>
      </c>
      <c r="J69" s="7" t="s">
        <v>391</v>
      </c>
      <c r="K69" s="7" t="s">
        <v>392</v>
      </c>
      <c r="L69" s="9" t="s">
        <v>393</v>
      </c>
      <c r="M69" s="10">
        <v>45306</v>
      </c>
      <c r="N69" s="7" t="s">
        <v>41</v>
      </c>
      <c r="O69" s="7"/>
      <c r="P69" s="7"/>
      <c r="Q69" s="1">
        <v>299</v>
      </c>
      <c r="R69" s="1">
        <v>272</v>
      </c>
      <c r="S69" s="1">
        <v>281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>
        <f t="shared" si="5"/>
        <v>3</v>
      </c>
      <c r="AF69" s="1">
        <f t="shared" ref="AF69:AF132" si="6">AVERAGE(Q69:AD69)</f>
        <v>284</v>
      </c>
      <c r="AG69" s="11" t="str">
        <f t="shared" ref="AG69:AG132" si="7">IF(AF69&gt;=$AG$1,"APROVADO","REPROVADO")</f>
        <v>APROVADO</v>
      </c>
    </row>
    <row r="70" spans="2:33" ht="25.5" x14ac:dyDescent="0.25">
      <c r="B70" s="5">
        <v>66</v>
      </c>
      <c r="C70" s="6" t="s">
        <v>394</v>
      </c>
      <c r="D70" s="5" t="s">
        <v>33</v>
      </c>
      <c r="E70" s="7" t="s">
        <v>395</v>
      </c>
      <c r="F70" s="7" t="s">
        <v>396</v>
      </c>
      <c r="G70" s="7" t="s">
        <v>107</v>
      </c>
      <c r="H70" s="8">
        <v>49800</v>
      </c>
      <c r="I70" s="7" t="s">
        <v>397</v>
      </c>
      <c r="J70" s="7" t="s">
        <v>38</v>
      </c>
      <c r="K70" s="7" t="s">
        <v>398</v>
      </c>
      <c r="L70" s="9" t="s">
        <v>399</v>
      </c>
      <c r="M70" s="10">
        <v>45306</v>
      </c>
      <c r="N70" s="7" t="s">
        <v>67</v>
      </c>
      <c r="O70" s="7" t="s">
        <v>98</v>
      </c>
      <c r="P70" s="7"/>
      <c r="Q70" s="1"/>
      <c r="R70" s="1">
        <v>191</v>
      </c>
      <c r="S70" s="1"/>
      <c r="T70" s="1"/>
      <c r="U70" s="1"/>
      <c r="V70" s="1"/>
      <c r="W70" s="1"/>
      <c r="X70" s="1">
        <v>321</v>
      </c>
      <c r="Y70" s="1">
        <v>340</v>
      </c>
      <c r="Z70" s="1"/>
      <c r="AA70" s="1"/>
      <c r="AB70" s="1"/>
      <c r="AC70" s="1"/>
      <c r="AD70" s="1"/>
      <c r="AE70" s="1">
        <f t="shared" si="5"/>
        <v>3</v>
      </c>
      <c r="AF70" s="1">
        <f t="shared" si="6"/>
        <v>284</v>
      </c>
      <c r="AG70" s="11" t="str">
        <f t="shared" si="7"/>
        <v>APROVADO</v>
      </c>
    </row>
    <row r="71" spans="2:33" x14ac:dyDescent="0.25">
      <c r="B71" s="5">
        <v>67</v>
      </c>
      <c r="C71" s="6" t="s">
        <v>400</v>
      </c>
      <c r="D71" s="5" t="s">
        <v>51</v>
      </c>
      <c r="E71" s="7" t="s">
        <v>401</v>
      </c>
      <c r="F71" s="7" t="s">
        <v>402</v>
      </c>
      <c r="G71" s="7" t="s">
        <v>36</v>
      </c>
      <c r="H71" s="8">
        <v>188300</v>
      </c>
      <c r="I71" s="12" t="s">
        <v>403</v>
      </c>
      <c r="J71" s="7" t="s">
        <v>154</v>
      </c>
      <c r="K71" s="7" t="s">
        <v>404</v>
      </c>
      <c r="L71" s="25" t="s">
        <v>358</v>
      </c>
      <c r="M71" s="26">
        <v>45306</v>
      </c>
      <c r="N71" s="13" t="s">
        <v>57</v>
      </c>
      <c r="O71" s="14" t="s">
        <v>89</v>
      </c>
      <c r="P71" s="13"/>
      <c r="Q71" s="1">
        <v>235</v>
      </c>
      <c r="R71" s="1"/>
      <c r="S71" s="1"/>
      <c r="T71" s="1"/>
      <c r="U71" s="1"/>
      <c r="V71" s="1">
        <v>213</v>
      </c>
      <c r="W71" s="1">
        <v>212</v>
      </c>
      <c r="X71" s="1"/>
      <c r="Y71" s="1"/>
      <c r="Z71" s="1"/>
      <c r="AA71" s="1"/>
      <c r="AB71" s="1"/>
      <c r="AC71" s="1"/>
      <c r="AD71" s="1"/>
      <c r="AE71" s="1">
        <f t="shared" si="5"/>
        <v>3</v>
      </c>
      <c r="AF71" s="1">
        <f t="shared" si="6"/>
        <v>220</v>
      </c>
      <c r="AG71" s="11" t="str">
        <f t="shared" si="7"/>
        <v>APROVADO</v>
      </c>
    </row>
    <row r="72" spans="2:33" ht="51" x14ac:dyDescent="0.25">
      <c r="B72" s="5">
        <v>68</v>
      </c>
      <c r="C72" s="27" t="s">
        <v>405</v>
      </c>
      <c r="D72" s="5" t="s">
        <v>33</v>
      </c>
      <c r="E72" s="7" t="s">
        <v>406</v>
      </c>
      <c r="F72" s="7" t="s">
        <v>407</v>
      </c>
      <c r="G72" s="7" t="s">
        <v>107</v>
      </c>
      <c r="H72" s="8">
        <v>68680</v>
      </c>
      <c r="I72" s="7" t="s">
        <v>108</v>
      </c>
      <c r="J72" s="7" t="s">
        <v>95</v>
      </c>
      <c r="K72" s="7" t="s">
        <v>408</v>
      </c>
      <c r="L72" s="9" t="s">
        <v>409</v>
      </c>
      <c r="M72" s="10">
        <v>45306</v>
      </c>
      <c r="N72" s="7" t="s">
        <v>41</v>
      </c>
      <c r="O72" s="7"/>
      <c r="P72" s="7"/>
      <c r="Q72" s="1">
        <v>276</v>
      </c>
      <c r="R72" s="1">
        <v>188</v>
      </c>
      <c r="S72" s="1"/>
      <c r="T72" s="1"/>
      <c r="U72" s="1"/>
      <c r="V72" s="1"/>
      <c r="W72" s="1"/>
      <c r="X72" s="1"/>
      <c r="Y72" s="1"/>
      <c r="Z72" s="1"/>
      <c r="AA72" s="1"/>
      <c r="AB72" s="1">
        <v>269</v>
      </c>
      <c r="AC72" s="1"/>
      <c r="AD72" s="1"/>
      <c r="AE72" s="1">
        <f t="shared" si="5"/>
        <v>3</v>
      </c>
      <c r="AF72" s="1">
        <f t="shared" si="6"/>
        <v>244.33333333333334</v>
      </c>
      <c r="AG72" s="11" t="str">
        <f t="shared" si="7"/>
        <v>APROVADO</v>
      </c>
    </row>
    <row r="73" spans="2:33" ht="25.5" x14ac:dyDescent="0.25">
      <c r="B73" s="5">
        <v>69</v>
      </c>
      <c r="C73" s="6" t="s">
        <v>410</v>
      </c>
      <c r="D73" s="5" t="s">
        <v>33</v>
      </c>
      <c r="E73" s="7" t="s">
        <v>411</v>
      </c>
      <c r="F73" s="7" t="s">
        <v>412</v>
      </c>
      <c r="G73" s="7" t="s">
        <v>36</v>
      </c>
      <c r="H73" s="8">
        <v>44934</v>
      </c>
      <c r="I73" s="7" t="s">
        <v>413</v>
      </c>
      <c r="J73" s="7" t="s">
        <v>47</v>
      </c>
      <c r="K73" s="7" t="s">
        <v>414</v>
      </c>
      <c r="L73" s="23" t="s">
        <v>415</v>
      </c>
      <c r="M73" s="10">
        <v>45306</v>
      </c>
      <c r="N73" s="7" t="s">
        <v>67</v>
      </c>
      <c r="O73" s="7" t="s">
        <v>98</v>
      </c>
      <c r="P73" s="7" t="s">
        <v>416</v>
      </c>
      <c r="Q73" s="1"/>
      <c r="R73" s="1">
        <v>212</v>
      </c>
      <c r="S73" s="1"/>
      <c r="T73" s="1"/>
      <c r="U73" s="1"/>
      <c r="V73" s="1"/>
      <c r="W73" s="1"/>
      <c r="X73" s="1">
        <v>307</v>
      </c>
      <c r="Y73" s="1">
        <v>298</v>
      </c>
      <c r="Z73" s="1"/>
      <c r="AA73" s="1"/>
      <c r="AB73" s="1"/>
      <c r="AC73" s="1"/>
      <c r="AD73" s="1"/>
      <c r="AE73" s="1">
        <f t="shared" si="5"/>
        <v>3</v>
      </c>
      <c r="AF73" s="1">
        <f t="shared" si="6"/>
        <v>272.33333333333331</v>
      </c>
      <c r="AG73" s="11" t="str">
        <f t="shared" si="7"/>
        <v>APROVADO</v>
      </c>
    </row>
    <row r="74" spans="2:33" ht="25.5" x14ac:dyDescent="0.25">
      <c r="B74" s="5">
        <v>70</v>
      </c>
      <c r="C74" s="16" t="s">
        <v>417</v>
      </c>
      <c r="D74" s="5" t="s">
        <v>33</v>
      </c>
      <c r="E74" s="7" t="s">
        <v>411</v>
      </c>
      <c r="F74" s="7" t="s">
        <v>418</v>
      </c>
      <c r="G74" s="7" t="s">
        <v>36</v>
      </c>
      <c r="H74" s="8">
        <v>38337</v>
      </c>
      <c r="I74" s="7" t="s">
        <v>413</v>
      </c>
      <c r="J74" s="7" t="s">
        <v>47</v>
      </c>
      <c r="K74" s="7" t="s">
        <v>414</v>
      </c>
      <c r="L74" s="23" t="s">
        <v>415</v>
      </c>
      <c r="M74" s="10">
        <v>45306</v>
      </c>
      <c r="N74" s="7" t="s">
        <v>82</v>
      </c>
      <c r="O74" s="7" t="s">
        <v>419</v>
      </c>
      <c r="P74" s="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 t="e">
        <f t="shared" si="6"/>
        <v>#DIV/0!</v>
      </c>
      <c r="AG74" s="11" t="e">
        <f t="shared" si="7"/>
        <v>#DIV/0!</v>
      </c>
    </row>
    <row r="75" spans="2:33" ht="25.5" x14ac:dyDescent="0.25">
      <c r="B75" s="5">
        <v>71</v>
      </c>
      <c r="C75" s="16" t="s">
        <v>420</v>
      </c>
      <c r="D75" s="5" t="s">
        <v>33</v>
      </c>
      <c r="E75" s="7" t="s">
        <v>411</v>
      </c>
      <c r="F75" s="7" t="s">
        <v>421</v>
      </c>
      <c r="G75" s="7" t="s">
        <v>36</v>
      </c>
      <c r="H75" s="8">
        <v>78212</v>
      </c>
      <c r="I75" s="7" t="s">
        <v>413</v>
      </c>
      <c r="J75" s="7" t="s">
        <v>47</v>
      </c>
      <c r="K75" s="7" t="s">
        <v>414</v>
      </c>
      <c r="L75" s="23" t="s">
        <v>415</v>
      </c>
      <c r="M75" s="10">
        <v>45306</v>
      </c>
      <c r="N75" s="7" t="s">
        <v>82</v>
      </c>
      <c r="O75" s="7" t="s">
        <v>419</v>
      </c>
      <c r="P75" s="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 t="e">
        <f t="shared" si="6"/>
        <v>#DIV/0!</v>
      </c>
      <c r="AG75" s="11" t="e">
        <f t="shared" si="7"/>
        <v>#DIV/0!</v>
      </c>
    </row>
    <row r="76" spans="2:33" x14ac:dyDescent="0.25">
      <c r="B76" s="5">
        <v>72</v>
      </c>
      <c r="C76" s="27" t="s">
        <v>422</v>
      </c>
      <c r="D76" s="5" t="s">
        <v>33</v>
      </c>
      <c r="E76" s="7" t="s">
        <v>423</v>
      </c>
      <c r="F76" s="7" t="s">
        <v>424</v>
      </c>
      <c r="G76" s="7" t="s">
        <v>36</v>
      </c>
      <c r="H76" s="8">
        <v>360000</v>
      </c>
      <c r="I76" s="7" t="s">
        <v>425</v>
      </c>
      <c r="J76" s="7" t="s">
        <v>348</v>
      </c>
      <c r="K76" s="7" t="s">
        <v>426</v>
      </c>
      <c r="L76" s="9" t="s">
        <v>427</v>
      </c>
      <c r="M76" s="10">
        <v>45306</v>
      </c>
      <c r="N76" s="7" t="s">
        <v>41</v>
      </c>
      <c r="O76" s="7"/>
      <c r="P76" s="7"/>
      <c r="Q76" s="1">
        <v>324</v>
      </c>
      <c r="R76" s="1"/>
      <c r="S76" s="1">
        <v>274</v>
      </c>
      <c r="T76" s="1">
        <v>230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f>COUNT(Q76:AD76)</f>
        <v>3</v>
      </c>
      <c r="AF76" s="1">
        <f t="shared" si="6"/>
        <v>276</v>
      </c>
      <c r="AG76" s="11" t="str">
        <f t="shared" si="7"/>
        <v>APROVADO</v>
      </c>
    </row>
    <row r="77" spans="2:33" ht="63.75" x14ac:dyDescent="0.25">
      <c r="B77" s="5">
        <v>73</v>
      </c>
      <c r="C77" s="16" t="s">
        <v>428</v>
      </c>
      <c r="D77" s="5" t="s">
        <v>33</v>
      </c>
      <c r="E77" s="7" t="s">
        <v>429</v>
      </c>
      <c r="F77" s="7" t="s">
        <v>430</v>
      </c>
      <c r="G77" s="7" t="s">
        <v>107</v>
      </c>
      <c r="H77" s="8">
        <v>390000</v>
      </c>
      <c r="I77" s="7" t="s">
        <v>425</v>
      </c>
      <c r="J77" s="7" t="s">
        <v>348</v>
      </c>
      <c r="K77" s="7" t="s">
        <v>431</v>
      </c>
      <c r="L77" s="9" t="s">
        <v>432</v>
      </c>
      <c r="M77" s="10">
        <v>45306</v>
      </c>
      <c r="N77" s="7" t="s">
        <v>226</v>
      </c>
      <c r="O77" s="7" t="s">
        <v>433</v>
      </c>
      <c r="P77" s="7"/>
      <c r="Q77" s="1"/>
      <c r="R77" s="1">
        <v>34</v>
      </c>
      <c r="S77" s="1"/>
      <c r="T77" s="1"/>
      <c r="U77" s="1"/>
      <c r="V77" s="1"/>
      <c r="W77" s="1"/>
      <c r="X77" s="1"/>
      <c r="Y77" s="1"/>
      <c r="Z77" s="1"/>
      <c r="AA77" s="1"/>
      <c r="AB77" s="1">
        <v>0</v>
      </c>
      <c r="AC77" s="1"/>
      <c r="AD77" s="1"/>
      <c r="AE77" s="1"/>
      <c r="AF77" s="1">
        <f t="shared" si="6"/>
        <v>17</v>
      </c>
      <c r="AG77" s="11" t="str">
        <f t="shared" si="7"/>
        <v>REPROVADO</v>
      </c>
    </row>
    <row r="78" spans="2:33" x14ac:dyDescent="0.25">
      <c r="B78" s="5">
        <v>74</v>
      </c>
      <c r="C78" s="24" t="s">
        <v>434</v>
      </c>
      <c r="D78" s="5" t="s">
        <v>51</v>
      </c>
      <c r="E78" s="13" t="s">
        <v>435</v>
      </c>
      <c r="F78" s="13" t="s">
        <v>436</v>
      </c>
      <c r="G78" s="14" t="s">
        <v>36</v>
      </c>
      <c r="H78" s="28">
        <v>133070</v>
      </c>
      <c r="I78" s="29" t="s">
        <v>437</v>
      </c>
      <c r="J78" s="11" t="s">
        <v>47</v>
      </c>
      <c r="K78" s="13" t="s">
        <v>438</v>
      </c>
      <c r="L78" s="30" t="s">
        <v>439</v>
      </c>
      <c r="M78" s="26">
        <v>45306</v>
      </c>
      <c r="N78" s="13" t="s">
        <v>41</v>
      </c>
      <c r="O78" s="14"/>
      <c r="P78" s="13"/>
      <c r="Q78" s="1">
        <v>320</v>
      </c>
      <c r="R78" s="1"/>
      <c r="S78" s="1">
        <v>252</v>
      </c>
      <c r="T78" s="1">
        <v>215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>
        <f t="shared" ref="AE78:AE85" si="8">COUNT(Q78:AD78)</f>
        <v>3</v>
      </c>
      <c r="AF78" s="1">
        <f t="shared" si="6"/>
        <v>262.33333333333331</v>
      </c>
      <c r="AG78" s="11" t="str">
        <f t="shared" si="7"/>
        <v>APROVADO</v>
      </c>
    </row>
    <row r="79" spans="2:33" ht="38.25" x14ac:dyDescent="0.25">
      <c r="B79" s="5">
        <v>75</v>
      </c>
      <c r="C79" s="27" t="s">
        <v>440</v>
      </c>
      <c r="D79" s="5" t="s">
        <v>33</v>
      </c>
      <c r="E79" s="5" t="s">
        <v>441</v>
      </c>
      <c r="F79" s="5" t="s">
        <v>442</v>
      </c>
      <c r="G79" s="5" t="s">
        <v>443</v>
      </c>
      <c r="H79" s="17">
        <v>620100</v>
      </c>
      <c r="I79" s="5" t="s">
        <v>444</v>
      </c>
      <c r="J79" s="5" t="s">
        <v>445</v>
      </c>
      <c r="K79" s="5" t="s">
        <v>446</v>
      </c>
      <c r="L79" s="9" t="s">
        <v>447</v>
      </c>
      <c r="M79" s="10">
        <v>45306</v>
      </c>
      <c r="N79" s="5" t="s">
        <v>41</v>
      </c>
      <c r="O79" s="5"/>
      <c r="P79" s="5" t="s">
        <v>448</v>
      </c>
      <c r="Q79" s="1">
        <v>330</v>
      </c>
      <c r="R79" s="1">
        <v>187</v>
      </c>
      <c r="S79" s="1">
        <v>281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>
        <f t="shared" si="8"/>
        <v>3</v>
      </c>
      <c r="AF79" s="1">
        <f t="shared" si="6"/>
        <v>266</v>
      </c>
      <c r="AG79" s="11" t="str">
        <f t="shared" si="7"/>
        <v>APROVADO</v>
      </c>
    </row>
    <row r="80" spans="2:33" ht="38.25" x14ac:dyDescent="0.25">
      <c r="B80" s="5">
        <v>76</v>
      </c>
      <c r="C80" s="6" t="s">
        <v>449</v>
      </c>
      <c r="D80" s="5" t="s">
        <v>33</v>
      </c>
      <c r="E80" s="7" t="s">
        <v>450</v>
      </c>
      <c r="F80" s="7" t="s">
        <v>451</v>
      </c>
      <c r="G80" s="7" t="s">
        <v>36</v>
      </c>
      <c r="H80" s="8">
        <v>14757</v>
      </c>
      <c r="I80" s="7" t="s">
        <v>452</v>
      </c>
      <c r="J80" s="7" t="s">
        <v>453</v>
      </c>
      <c r="K80" s="7" t="s">
        <v>454</v>
      </c>
      <c r="L80" s="31" t="s">
        <v>455</v>
      </c>
      <c r="M80" s="10">
        <v>45307</v>
      </c>
      <c r="N80" s="7" t="s">
        <v>67</v>
      </c>
      <c r="O80" s="7" t="s">
        <v>184</v>
      </c>
      <c r="P80" s="20"/>
      <c r="Q80" s="1">
        <v>340</v>
      </c>
      <c r="R80" s="1">
        <v>245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>
        <v>340</v>
      </c>
      <c r="AE80" s="1">
        <f t="shared" si="8"/>
        <v>3</v>
      </c>
      <c r="AF80" s="1">
        <f t="shared" si="6"/>
        <v>308.33333333333331</v>
      </c>
      <c r="AG80" s="11" t="str">
        <f t="shared" si="7"/>
        <v>APROVADO</v>
      </c>
    </row>
    <row r="81" spans="2:33" ht="25.5" x14ac:dyDescent="0.25">
      <c r="B81" s="5">
        <v>77</v>
      </c>
      <c r="C81" s="27" t="s">
        <v>456</v>
      </c>
      <c r="D81" s="5" t="s">
        <v>33</v>
      </c>
      <c r="E81" s="7" t="s">
        <v>457</v>
      </c>
      <c r="F81" s="7" t="s">
        <v>458</v>
      </c>
      <c r="G81" s="7" t="s">
        <v>36</v>
      </c>
      <c r="H81" s="8">
        <v>240000</v>
      </c>
      <c r="I81" s="7" t="s">
        <v>452</v>
      </c>
      <c r="J81" s="7" t="s">
        <v>453</v>
      </c>
      <c r="K81" s="7" t="s">
        <v>459</v>
      </c>
      <c r="L81" s="9" t="s">
        <v>460</v>
      </c>
      <c r="M81" s="10">
        <v>45307</v>
      </c>
      <c r="N81" s="7" t="s">
        <v>41</v>
      </c>
      <c r="O81" s="7"/>
      <c r="P81" s="7"/>
      <c r="Q81" s="1">
        <v>325</v>
      </c>
      <c r="R81" s="1"/>
      <c r="S81" s="1">
        <v>260</v>
      </c>
      <c r="T81" s="1">
        <v>263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>
        <f t="shared" si="8"/>
        <v>3</v>
      </c>
      <c r="AF81" s="1">
        <f t="shared" si="6"/>
        <v>282.66666666666669</v>
      </c>
      <c r="AG81" s="11" t="str">
        <f t="shared" si="7"/>
        <v>APROVADO</v>
      </c>
    </row>
    <row r="82" spans="2:33" ht="25.5" x14ac:dyDescent="0.25">
      <c r="B82" s="5">
        <v>78</v>
      </c>
      <c r="C82" s="6" t="s">
        <v>461</v>
      </c>
      <c r="D82" s="5" t="s">
        <v>33</v>
      </c>
      <c r="E82" s="7" t="s">
        <v>462</v>
      </c>
      <c r="F82" s="7" t="s">
        <v>463</v>
      </c>
      <c r="G82" s="7" t="s">
        <v>107</v>
      </c>
      <c r="H82" s="8">
        <v>764968.68</v>
      </c>
      <c r="I82" s="7" t="s">
        <v>73</v>
      </c>
      <c r="J82" s="5" t="s">
        <v>74</v>
      </c>
      <c r="K82" s="7" t="s">
        <v>464</v>
      </c>
      <c r="L82" s="9" t="s">
        <v>465</v>
      </c>
      <c r="M82" s="10">
        <v>45307</v>
      </c>
      <c r="N82" s="7" t="s">
        <v>67</v>
      </c>
      <c r="O82" s="7" t="s">
        <v>466</v>
      </c>
      <c r="P82" s="7"/>
      <c r="Q82" s="1">
        <v>324</v>
      </c>
      <c r="R82" s="1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>
        <v>340</v>
      </c>
      <c r="AE82" s="1">
        <f t="shared" si="8"/>
        <v>3</v>
      </c>
      <c r="AF82" s="1">
        <f t="shared" si="6"/>
        <v>306.66666666666669</v>
      </c>
      <c r="AG82" s="11" t="str">
        <f t="shared" si="7"/>
        <v>APROVADO</v>
      </c>
    </row>
    <row r="83" spans="2:33" ht="38.25" x14ac:dyDescent="0.25">
      <c r="B83" s="5">
        <v>79</v>
      </c>
      <c r="C83" s="6" t="s">
        <v>467</v>
      </c>
      <c r="D83" s="5" t="s">
        <v>33</v>
      </c>
      <c r="E83" s="7" t="s">
        <v>462</v>
      </c>
      <c r="F83" s="7" t="s">
        <v>468</v>
      </c>
      <c r="G83" s="7" t="s">
        <v>107</v>
      </c>
      <c r="H83" s="8">
        <v>396760.14</v>
      </c>
      <c r="I83" s="7" t="s">
        <v>469</v>
      </c>
      <c r="J83" s="7" t="s">
        <v>95</v>
      </c>
      <c r="K83" s="7" t="s">
        <v>464</v>
      </c>
      <c r="L83" s="9" t="s">
        <v>465</v>
      </c>
      <c r="M83" s="10">
        <v>45307</v>
      </c>
      <c r="N83" s="7" t="s">
        <v>67</v>
      </c>
      <c r="O83" s="7" t="s">
        <v>466</v>
      </c>
      <c r="P83" s="7"/>
      <c r="Q83" s="1">
        <v>308</v>
      </c>
      <c r="R83" s="1">
        <v>256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273</v>
      </c>
      <c r="AE83" s="1">
        <f t="shared" si="8"/>
        <v>3</v>
      </c>
      <c r="AF83" s="1">
        <f t="shared" si="6"/>
        <v>279</v>
      </c>
      <c r="AG83" s="11" t="str">
        <f t="shared" si="7"/>
        <v>APROVADO</v>
      </c>
    </row>
    <row r="84" spans="2:33" ht="38.25" x14ac:dyDescent="0.25">
      <c r="B84" s="5">
        <v>80</v>
      </c>
      <c r="C84" s="6" t="s">
        <v>470</v>
      </c>
      <c r="D84" s="5" t="s">
        <v>33</v>
      </c>
      <c r="E84" s="7" t="s">
        <v>462</v>
      </c>
      <c r="F84" s="7" t="s">
        <v>471</v>
      </c>
      <c r="G84" s="7" t="s">
        <v>107</v>
      </c>
      <c r="H84" s="8">
        <v>579789.01</v>
      </c>
      <c r="I84" s="7" t="s">
        <v>469</v>
      </c>
      <c r="J84" s="7" t="s">
        <v>95</v>
      </c>
      <c r="K84" s="7" t="s">
        <v>464</v>
      </c>
      <c r="L84" s="9" t="s">
        <v>465</v>
      </c>
      <c r="M84" s="10">
        <v>45307</v>
      </c>
      <c r="N84" s="7" t="s">
        <v>67</v>
      </c>
      <c r="O84" s="7" t="s">
        <v>466</v>
      </c>
      <c r="P84" s="7"/>
      <c r="Q84" s="1">
        <v>315</v>
      </c>
      <c r="R84" s="1">
        <v>225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>
        <v>340</v>
      </c>
      <c r="AE84" s="1">
        <f t="shared" si="8"/>
        <v>3</v>
      </c>
      <c r="AF84" s="1">
        <f t="shared" si="6"/>
        <v>293.33333333333331</v>
      </c>
      <c r="AG84" s="11" t="str">
        <f t="shared" si="7"/>
        <v>APROVADO</v>
      </c>
    </row>
    <row r="85" spans="2:33" ht="25.5" x14ac:dyDescent="0.25">
      <c r="B85" s="5">
        <v>81</v>
      </c>
      <c r="C85" s="27" t="s">
        <v>472</v>
      </c>
      <c r="D85" s="5" t="s">
        <v>33</v>
      </c>
      <c r="E85" s="7" t="s">
        <v>473</v>
      </c>
      <c r="F85" s="7" t="s">
        <v>474</v>
      </c>
      <c r="G85" s="7" t="s">
        <v>36</v>
      </c>
      <c r="H85" s="8">
        <v>10000</v>
      </c>
      <c r="I85" s="7" t="s">
        <v>475</v>
      </c>
      <c r="J85" s="7" t="s">
        <v>241</v>
      </c>
      <c r="K85" s="7" t="s">
        <v>476</v>
      </c>
      <c r="L85" s="9" t="s">
        <v>477</v>
      </c>
      <c r="M85" s="10">
        <v>45307</v>
      </c>
      <c r="N85" s="7" t="s">
        <v>41</v>
      </c>
      <c r="O85" s="7"/>
      <c r="P85" s="7" t="s">
        <v>478</v>
      </c>
      <c r="Q85" s="1">
        <v>340</v>
      </c>
      <c r="R85" s="1"/>
      <c r="S85" s="1">
        <v>274</v>
      </c>
      <c r="T85" s="1">
        <v>287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>
        <f t="shared" si="8"/>
        <v>3</v>
      </c>
      <c r="AF85" s="1">
        <f t="shared" si="6"/>
        <v>300.33333333333331</v>
      </c>
      <c r="AG85" s="11" t="str">
        <f t="shared" si="7"/>
        <v>APROVADO</v>
      </c>
    </row>
    <row r="86" spans="2:33" ht="25.5" x14ac:dyDescent="0.25">
      <c r="B86" s="5">
        <v>82</v>
      </c>
      <c r="C86" s="16" t="s">
        <v>479</v>
      </c>
      <c r="D86" s="5" t="s">
        <v>33</v>
      </c>
      <c r="E86" s="7" t="s">
        <v>473</v>
      </c>
      <c r="F86" s="7" t="s">
        <v>480</v>
      </c>
      <c r="G86" s="7" t="s">
        <v>36</v>
      </c>
      <c r="H86" s="8">
        <v>10000</v>
      </c>
      <c r="I86" s="7" t="s">
        <v>475</v>
      </c>
      <c r="J86" s="7" t="s">
        <v>241</v>
      </c>
      <c r="K86" s="7" t="s">
        <v>476</v>
      </c>
      <c r="L86" s="9" t="s">
        <v>477</v>
      </c>
      <c r="M86" s="10">
        <v>45307</v>
      </c>
      <c r="N86" s="7" t="s">
        <v>82</v>
      </c>
      <c r="O86" s="7" t="s">
        <v>419</v>
      </c>
      <c r="P86" s="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 t="e">
        <f t="shared" si="6"/>
        <v>#DIV/0!</v>
      </c>
      <c r="AG86" s="11" t="e">
        <f t="shared" si="7"/>
        <v>#DIV/0!</v>
      </c>
    </row>
    <row r="87" spans="2:33" ht="25.5" x14ac:dyDescent="0.25">
      <c r="B87" s="5">
        <v>83</v>
      </c>
      <c r="C87" s="16" t="s">
        <v>481</v>
      </c>
      <c r="D87" s="5" t="s">
        <v>33</v>
      </c>
      <c r="E87" s="7" t="s">
        <v>473</v>
      </c>
      <c r="F87" s="7" t="s">
        <v>482</v>
      </c>
      <c r="G87" s="7" t="s">
        <v>36</v>
      </c>
      <c r="H87" s="8">
        <v>10000</v>
      </c>
      <c r="I87" s="7" t="s">
        <v>475</v>
      </c>
      <c r="J87" s="7" t="s">
        <v>241</v>
      </c>
      <c r="K87" s="7" t="s">
        <v>476</v>
      </c>
      <c r="L87" s="9" t="s">
        <v>477</v>
      </c>
      <c r="M87" s="10">
        <v>45307</v>
      </c>
      <c r="N87" s="7" t="s">
        <v>82</v>
      </c>
      <c r="O87" s="7" t="s">
        <v>419</v>
      </c>
      <c r="P87" s="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 t="e">
        <f t="shared" si="6"/>
        <v>#DIV/0!</v>
      </c>
      <c r="AG87" s="11" t="e">
        <f t="shared" si="7"/>
        <v>#DIV/0!</v>
      </c>
    </row>
    <row r="88" spans="2:33" x14ac:dyDescent="0.25">
      <c r="B88" s="5">
        <v>84</v>
      </c>
      <c r="C88" s="6" t="s">
        <v>483</v>
      </c>
      <c r="D88" s="5" t="s">
        <v>33</v>
      </c>
      <c r="E88" s="7" t="s">
        <v>484</v>
      </c>
      <c r="F88" s="7" t="s">
        <v>485</v>
      </c>
      <c r="G88" s="7" t="s">
        <v>336</v>
      </c>
      <c r="H88" s="8">
        <v>180000</v>
      </c>
      <c r="I88" s="7" t="s">
        <v>486</v>
      </c>
      <c r="J88" s="7" t="s">
        <v>348</v>
      </c>
      <c r="K88" s="7" t="s">
        <v>487</v>
      </c>
      <c r="L88" s="9" t="s">
        <v>488</v>
      </c>
      <c r="M88" s="10">
        <v>45307</v>
      </c>
      <c r="N88" s="7" t="s">
        <v>67</v>
      </c>
      <c r="O88" s="7" t="s">
        <v>98</v>
      </c>
      <c r="P88" s="7"/>
      <c r="Q88" s="1"/>
      <c r="R88" s="1">
        <v>175</v>
      </c>
      <c r="S88" s="1"/>
      <c r="T88" s="1"/>
      <c r="U88" s="1"/>
      <c r="V88" s="1"/>
      <c r="W88" s="1"/>
      <c r="X88" s="1">
        <v>297</v>
      </c>
      <c r="Y88" s="1">
        <v>297</v>
      </c>
      <c r="Z88" s="1"/>
      <c r="AA88" s="1"/>
      <c r="AB88" s="1"/>
      <c r="AC88" s="1"/>
      <c r="AD88" s="1"/>
      <c r="AE88" s="1">
        <f>COUNT(Q88:AD88)</f>
        <v>3</v>
      </c>
      <c r="AF88" s="1">
        <f t="shared" si="6"/>
        <v>256.33333333333331</v>
      </c>
      <c r="AG88" s="11" t="str">
        <f t="shared" si="7"/>
        <v>APROVADO</v>
      </c>
    </row>
    <row r="89" spans="2:33" ht="25.5" x14ac:dyDescent="0.25">
      <c r="B89" s="5">
        <v>85</v>
      </c>
      <c r="C89" s="6" t="s">
        <v>489</v>
      </c>
      <c r="D89" s="5" t="s">
        <v>33</v>
      </c>
      <c r="E89" s="5" t="s">
        <v>490</v>
      </c>
      <c r="F89" s="5" t="s">
        <v>491</v>
      </c>
      <c r="G89" s="7" t="s">
        <v>36</v>
      </c>
      <c r="H89" s="8">
        <v>1111410.1299999999</v>
      </c>
      <c r="I89" s="7" t="s">
        <v>73</v>
      </c>
      <c r="J89" s="7" t="s">
        <v>74</v>
      </c>
      <c r="K89" s="7" t="s">
        <v>492</v>
      </c>
      <c r="L89" s="9" t="s">
        <v>493</v>
      </c>
      <c r="M89" s="10">
        <v>45307</v>
      </c>
      <c r="N89" s="5" t="s">
        <v>67</v>
      </c>
      <c r="O89" s="7" t="s">
        <v>89</v>
      </c>
      <c r="P89" s="7" t="s">
        <v>68</v>
      </c>
      <c r="Q89" s="1">
        <v>317</v>
      </c>
      <c r="R89" s="1"/>
      <c r="S89" s="1">
        <v>239</v>
      </c>
      <c r="T89" s="1">
        <v>266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>
        <f>COUNT(Q89:AD89)</f>
        <v>3</v>
      </c>
      <c r="AF89" s="1">
        <f t="shared" si="6"/>
        <v>274</v>
      </c>
      <c r="AG89" s="11" t="str">
        <f t="shared" si="7"/>
        <v>APROVADO</v>
      </c>
    </row>
    <row r="90" spans="2:33" ht="25.5" x14ac:dyDescent="0.25">
      <c r="B90" s="5">
        <v>86</v>
      </c>
      <c r="C90" s="27" t="s">
        <v>494</v>
      </c>
      <c r="D90" s="5" t="s">
        <v>33</v>
      </c>
      <c r="E90" s="7" t="s">
        <v>495</v>
      </c>
      <c r="F90" s="7" t="s">
        <v>496</v>
      </c>
      <c r="G90" s="7" t="s">
        <v>36</v>
      </c>
      <c r="H90" s="8">
        <v>102600</v>
      </c>
      <c r="I90" s="7" t="s">
        <v>497</v>
      </c>
      <c r="J90" s="7" t="s">
        <v>141</v>
      </c>
      <c r="K90" s="7" t="s">
        <v>498</v>
      </c>
      <c r="L90" s="9" t="s">
        <v>499</v>
      </c>
      <c r="M90" s="10">
        <v>45307</v>
      </c>
      <c r="N90" s="7" t="s">
        <v>41</v>
      </c>
      <c r="O90" s="7"/>
      <c r="P90" s="7"/>
      <c r="Q90" s="1">
        <v>309</v>
      </c>
      <c r="R90" s="1">
        <v>203</v>
      </c>
      <c r="S90" s="1">
        <v>242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f>COUNT(Q90:AD90)</f>
        <v>3</v>
      </c>
      <c r="AF90" s="1">
        <f t="shared" si="6"/>
        <v>251.33333333333334</v>
      </c>
      <c r="AG90" s="11" t="str">
        <f t="shared" si="7"/>
        <v>APROVADO</v>
      </c>
    </row>
    <row r="91" spans="2:33" ht="38.25" x14ac:dyDescent="0.25">
      <c r="B91" s="5">
        <v>87</v>
      </c>
      <c r="C91" s="6" t="s">
        <v>500</v>
      </c>
      <c r="D91" s="5" t="s">
        <v>33</v>
      </c>
      <c r="E91" s="7" t="s">
        <v>501</v>
      </c>
      <c r="F91" s="7" t="s">
        <v>502</v>
      </c>
      <c r="G91" s="7" t="s">
        <v>36</v>
      </c>
      <c r="H91" s="8">
        <v>48136.800000000003</v>
      </c>
      <c r="I91" s="7" t="s">
        <v>503</v>
      </c>
      <c r="J91" s="7" t="s">
        <v>154</v>
      </c>
      <c r="K91" s="7" t="s">
        <v>504</v>
      </c>
      <c r="L91" s="9" t="s">
        <v>505</v>
      </c>
      <c r="M91" s="10">
        <v>45307</v>
      </c>
      <c r="N91" s="7" t="s">
        <v>67</v>
      </c>
      <c r="O91" s="7" t="s">
        <v>89</v>
      </c>
      <c r="P91" s="7" t="s">
        <v>506</v>
      </c>
      <c r="Q91" s="1">
        <v>305</v>
      </c>
      <c r="R91" s="1">
        <v>191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>
        <v>340</v>
      </c>
      <c r="AE91" s="1">
        <f>COUNT(Q91:AD91)</f>
        <v>3</v>
      </c>
      <c r="AF91" s="1">
        <f t="shared" si="6"/>
        <v>278.66666666666669</v>
      </c>
      <c r="AG91" s="11" t="str">
        <f t="shared" si="7"/>
        <v>APROVADO</v>
      </c>
    </row>
    <row r="92" spans="2:33" ht="26.25" x14ac:dyDescent="0.25">
      <c r="B92" s="5">
        <v>88</v>
      </c>
      <c r="C92" s="32" t="s">
        <v>507</v>
      </c>
      <c r="D92" s="5" t="s">
        <v>51</v>
      </c>
      <c r="E92" s="13" t="s">
        <v>508</v>
      </c>
      <c r="F92" s="14" t="s">
        <v>509</v>
      </c>
      <c r="G92" s="5" t="s">
        <v>45</v>
      </c>
      <c r="H92" s="33">
        <v>394820</v>
      </c>
      <c r="I92" s="29" t="s">
        <v>510</v>
      </c>
      <c r="J92" s="11" t="s">
        <v>453</v>
      </c>
      <c r="K92" s="13" t="s">
        <v>511</v>
      </c>
      <c r="L92" s="13" t="s">
        <v>439</v>
      </c>
      <c r="M92" s="26">
        <v>45307</v>
      </c>
      <c r="N92" s="13" t="s">
        <v>226</v>
      </c>
      <c r="O92" s="13" t="s">
        <v>227</v>
      </c>
      <c r="P92" s="1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 t="e">
        <f t="shared" si="6"/>
        <v>#DIV/0!</v>
      </c>
      <c r="AG92" s="11" t="e">
        <f t="shared" si="7"/>
        <v>#DIV/0!</v>
      </c>
    </row>
    <row r="93" spans="2:33" x14ac:dyDescent="0.25">
      <c r="B93" s="5">
        <v>89</v>
      </c>
      <c r="C93" s="24" t="s">
        <v>512</v>
      </c>
      <c r="D93" s="5" t="s">
        <v>51</v>
      </c>
      <c r="E93" s="13" t="s">
        <v>513</v>
      </c>
      <c r="F93" s="13" t="s">
        <v>514</v>
      </c>
      <c r="G93" s="14" t="s">
        <v>107</v>
      </c>
      <c r="H93" s="28">
        <v>434000</v>
      </c>
      <c r="I93" s="29" t="s">
        <v>515</v>
      </c>
      <c r="J93" s="11" t="s">
        <v>154</v>
      </c>
      <c r="K93" s="13" t="s">
        <v>516</v>
      </c>
      <c r="L93" s="13" t="s">
        <v>517</v>
      </c>
      <c r="M93" s="26">
        <v>45307</v>
      </c>
      <c r="N93" s="13" t="s">
        <v>57</v>
      </c>
      <c r="O93" s="14" t="s">
        <v>518</v>
      </c>
      <c r="P93" s="13"/>
      <c r="Q93" s="1">
        <v>259</v>
      </c>
      <c r="R93" s="1"/>
      <c r="S93" s="1"/>
      <c r="T93" s="1"/>
      <c r="U93" s="1"/>
      <c r="V93" s="1">
        <v>258</v>
      </c>
      <c r="W93" s="1">
        <v>220</v>
      </c>
      <c r="X93" s="1"/>
      <c r="Y93" s="1"/>
      <c r="Z93" s="1"/>
      <c r="AA93" s="1"/>
      <c r="AB93" s="1"/>
      <c r="AC93" s="1"/>
      <c r="AD93" s="1"/>
      <c r="AE93" s="1">
        <f>COUNT(Q93:AD93)</f>
        <v>3</v>
      </c>
      <c r="AF93" s="1">
        <f t="shared" si="6"/>
        <v>245.66666666666666</v>
      </c>
      <c r="AG93" s="11" t="str">
        <f t="shared" si="7"/>
        <v>APROVADO</v>
      </c>
    </row>
    <row r="94" spans="2:33" ht="25.5" x14ac:dyDescent="0.25">
      <c r="B94" s="5">
        <v>90</v>
      </c>
      <c r="C94" s="16" t="s">
        <v>519</v>
      </c>
      <c r="D94" s="5" t="s">
        <v>33</v>
      </c>
      <c r="E94" s="7" t="s">
        <v>520</v>
      </c>
      <c r="F94" s="7" t="s">
        <v>521</v>
      </c>
      <c r="G94" s="7" t="s">
        <v>107</v>
      </c>
      <c r="H94" s="8">
        <v>630000</v>
      </c>
      <c r="I94" s="7" t="s">
        <v>73</v>
      </c>
      <c r="J94" s="5" t="s">
        <v>74</v>
      </c>
      <c r="K94" s="7" t="s">
        <v>522</v>
      </c>
      <c r="L94" s="9" t="s">
        <v>523</v>
      </c>
      <c r="M94" s="10">
        <v>45307</v>
      </c>
      <c r="N94" s="7" t="s">
        <v>82</v>
      </c>
      <c r="O94" s="7" t="s">
        <v>83</v>
      </c>
      <c r="P94" s="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 t="e">
        <f t="shared" si="6"/>
        <v>#DIV/0!</v>
      </c>
      <c r="AG94" s="11" t="e">
        <f t="shared" si="7"/>
        <v>#DIV/0!</v>
      </c>
    </row>
    <row r="95" spans="2:33" x14ac:dyDescent="0.25">
      <c r="B95" s="5">
        <v>91</v>
      </c>
      <c r="C95" s="16" t="s">
        <v>524</v>
      </c>
      <c r="D95" s="5" t="s">
        <v>33</v>
      </c>
      <c r="E95" s="7" t="s">
        <v>525</v>
      </c>
      <c r="F95" s="7" t="s">
        <v>526</v>
      </c>
      <c r="G95" s="7" t="s">
        <v>107</v>
      </c>
      <c r="H95" s="8">
        <v>50000</v>
      </c>
      <c r="I95" s="7" t="s">
        <v>527</v>
      </c>
      <c r="J95" s="7" t="s">
        <v>391</v>
      </c>
      <c r="K95" s="7" t="s">
        <v>528</v>
      </c>
      <c r="L95" s="9" t="s">
        <v>529</v>
      </c>
      <c r="M95" s="10">
        <v>45307</v>
      </c>
      <c r="N95" s="7" t="s">
        <v>82</v>
      </c>
      <c r="O95" s="7" t="s">
        <v>83</v>
      </c>
      <c r="P95" s="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 t="e">
        <f t="shared" si="6"/>
        <v>#DIV/0!</v>
      </c>
      <c r="AG95" s="11" t="e">
        <f t="shared" si="7"/>
        <v>#DIV/0!</v>
      </c>
    </row>
    <row r="96" spans="2:33" ht="25.5" x14ac:dyDescent="0.25">
      <c r="B96" s="5">
        <v>92</v>
      </c>
      <c r="C96" s="27" t="s">
        <v>530</v>
      </c>
      <c r="D96" s="5" t="s">
        <v>33</v>
      </c>
      <c r="E96" s="7" t="s">
        <v>531</v>
      </c>
      <c r="F96" s="7" t="s">
        <v>532</v>
      </c>
      <c r="G96" s="7" t="s">
        <v>36</v>
      </c>
      <c r="H96" s="8">
        <v>500000</v>
      </c>
      <c r="I96" s="7" t="s">
        <v>253</v>
      </c>
      <c r="J96" s="7" t="s">
        <v>254</v>
      </c>
      <c r="K96" s="7" t="s">
        <v>533</v>
      </c>
      <c r="L96" s="9" t="s">
        <v>534</v>
      </c>
      <c r="M96" s="10">
        <v>45307</v>
      </c>
      <c r="N96" s="7" t="s">
        <v>41</v>
      </c>
      <c r="O96" s="7"/>
      <c r="P96" s="7"/>
      <c r="Q96" s="1">
        <v>295</v>
      </c>
      <c r="R96" s="1">
        <v>175</v>
      </c>
      <c r="S96" s="1">
        <v>241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f t="shared" ref="AE96:AE105" si="9">COUNT(Q96:AD96)</f>
        <v>3</v>
      </c>
      <c r="AF96" s="1">
        <f t="shared" si="6"/>
        <v>237</v>
      </c>
      <c r="AG96" s="11" t="str">
        <f t="shared" si="7"/>
        <v>APROVADO</v>
      </c>
    </row>
    <row r="97" spans="2:33" ht="25.5" x14ac:dyDescent="0.25">
      <c r="B97" s="5">
        <v>93</v>
      </c>
      <c r="C97" s="6" t="s">
        <v>535</v>
      </c>
      <c r="D97" s="5" t="s">
        <v>33</v>
      </c>
      <c r="E97" s="7" t="s">
        <v>536</v>
      </c>
      <c r="F97" s="7" t="s">
        <v>537</v>
      </c>
      <c r="G97" s="7" t="s">
        <v>107</v>
      </c>
      <c r="H97" s="8">
        <v>88496</v>
      </c>
      <c r="I97" s="7" t="s">
        <v>538</v>
      </c>
      <c r="J97" s="7" t="s">
        <v>115</v>
      </c>
      <c r="K97" s="7" t="s">
        <v>539</v>
      </c>
      <c r="L97" s="9" t="s">
        <v>540</v>
      </c>
      <c r="M97" s="10">
        <v>45307</v>
      </c>
      <c r="N97" s="7" t="s">
        <v>67</v>
      </c>
      <c r="O97" s="7" t="s">
        <v>375</v>
      </c>
      <c r="P97" s="7"/>
      <c r="Q97" s="1">
        <v>313</v>
      </c>
      <c r="R97" s="1">
        <v>239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>
        <v>340</v>
      </c>
      <c r="AE97" s="1">
        <f t="shared" si="9"/>
        <v>3</v>
      </c>
      <c r="AF97" s="1">
        <f t="shared" si="6"/>
        <v>297.33333333333331</v>
      </c>
      <c r="AG97" s="11" t="str">
        <f t="shared" si="7"/>
        <v>APROVADO</v>
      </c>
    </row>
    <row r="98" spans="2:33" x14ac:dyDescent="0.25">
      <c r="B98" s="5">
        <v>94</v>
      </c>
      <c r="C98" s="6" t="s">
        <v>541</v>
      </c>
      <c r="D98" s="5" t="s">
        <v>33</v>
      </c>
      <c r="E98" s="5" t="s">
        <v>542</v>
      </c>
      <c r="F98" s="5" t="s">
        <v>543</v>
      </c>
      <c r="G98" s="7" t="s">
        <v>107</v>
      </c>
      <c r="H98" s="8">
        <v>60000</v>
      </c>
      <c r="I98" s="7" t="s">
        <v>538</v>
      </c>
      <c r="J98" s="7" t="s">
        <v>115</v>
      </c>
      <c r="K98" s="7" t="s">
        <v>544</v>
      </c>
      <c r="L98" s="9" t="s">
        <v>545</v>
      </c>
      <c r="M98" s="10">
        <v>45307</v>
      </c>
      <c r="N98" s="5" t="s">
        <v>67</v>
      </c>
      <c r="O98" s="7" t="s">
        <v>89</v>
      </c>
      <c r="P98" s="7" t="s">
        <v>68</v>
      </c>
      <c r="Q98" s="1">
        <v>310</v>
      </c>
      <c r="R98" s="1"/>
      <c r="S98" s="1">
        <v>248</v>
      </c>
      <c r="T98" s="1">
        <v>262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f t="shared" si="9"/>
        <v>3</v>
      </c>
      <c r="AF98" s="1">
        <f t="shared" si="6"/>
        <v>273.33333333333331</v>
      </c>
      <c r="AG98" s="11" t="str">
        <f t="shared" si="7"/>
        <v>APROVADO</v>
      </c>
    </row>
    <row r="99" spans="2:33" ht="25.5" x14ac:dyDescent="0.25">
      <c r="B99" s="5">
        <v>95</v>
      </c>
      <c r="C99" s="27" t="s">
        <v>546</v>
      </c>
      <c r="D99" s="5" t="s">
        <v>33</v>
      </c>
      <c r="E99" s="7" t="s">
        <v>547</v>
      </c>
      <c r="F99" s="7" t="s">
        <v>548</v>
      </c>
      <c r="G99" s="7" t="s">
        <v>36</v>
      </c>
      <c r="H99" s="8">
        <v>40000</v>
      </c>
      <c r="I99" s="7" t="s">
        <v>538</v>
      </c>
      <c r="J99" s="7" t="s">
        <v>115</v>
      </c>
      <c r="K99" s="7" t="s">
        <v>549</v>
      </c>
      <c r="L99" s="9" t="s">
        <v>550</v>
      </c>
      <c r="M99" s="10">
        <v>45307</v>
      </c>
      <c r="N99" s="7" t="s">
        <v>41</v>
      </c>
      <c r="O99" s="7"/>
      <c r="P99" s="7"/>
      <c r="Q99" s="1">
        <v>273</v>
      </c>
      <c r="R99" s="1">
        <v>275</v>
      </c>
      <c r="S99" s="1">
        <v>270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f t="shared" si="9"/>
        <v>3</v>
      </c>
      <c r="AF99" s="1">
        <f t="shared" si="6"/>
        <v>272.66666666666669</v>
      </c>
      <c r="AG99" s="11" t="str">
        <f t="shared" si="7"/>
        <v>APROVADO</v>
      </c>
    </row>
    <row r="100" spans="2:33" ht="89.25" x14ac:dyDescent="0.25">
      <c r="B100" s="5">
        <v>96</v>
      </c>
      <c r="C100" s="27" t="s">
        <v>551</v>
      </c>
      <c r="D100" s="5" t="s">
        <v>33</v>
      </c>
      <c r="E100" s="7" t="s">
        <v>552</v>
      </c>
      <c r="F100" s="7" t="s">
        <v>553</v>
      </c>
      <c r="G100" s="5" t="s">
        <v>62</v>
      </c>
      <c r="H100" s="8">
        <v>73150</v>
      </c>
      <c r="I100" s="7" t="s">
        <v>554</v>
      </c>
      <c r="J100" s="7" t="s">
        <v>115</v>
      </c>
      <c r="K100" s="7" t="s">
        <v>555</v>
      </c>
      <c r="L100" s="9" t="s">
        <v>556</v>
      </c>
      <c r="M100" s="34">
        <v>45307</v>
      </c>
      <c r="N100" s="7" t="s">
        <v>41</v>
      </c>
      <c r="O100" s="7"/>
      <c r="P100" s="7"/>
      <c r="Q100" s="1">
        <v>340</v>
      </c>
      <c r="R100" s="1">
        <v>265</v>
      </c>
      <c r="S100" s="1">
        <v>264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f t="shared" si="9"/>
        <v>3</v>
      </c>
      <c r="AF100" s="1">
        <f t="shared" si="6"/>
        <v>289.66666666666669</v>
      </c>
      <c r="AG100" s="11" t="str">
        <f t="shared" si="7"/>
        <v>APROVADO</v>
      </c>
    </row>
    <row r="101" spans="2:33" x14ac:dyDescent="0.25">
      <c r="B101" s="5">
        <v>97</v>
      </c>
      <c r="C101" s="24" t="s">
        <v>557</v>
      </c>
      <c r="D101" s="5" t="s">
        <v>51</v>
      </c>
      <c r="E101" s="13" t="s">
        <v>558</v>
      </c>
      <c r="F101" s="13" t="s">
        <v>559</v>
      </c>
      <c r="G101" s="14" t="s">
        <v>107</v>
      </c>
      <c r="H101" s="28">
        <v>400000</v>
      </c>
      <c r="I101" s="29" t="s">
        <v>560</v>
      </c>
      <c r="J101" s="11" t="s">
        <v>391</v>
      </c>
      <c r="K101" s="13" t="s">
        <v>561</v>
      </c>
      <c r="L101" s="13" t="s">
        <v>562</v>
      </c>
      <c r="M101" s="26">
        <v>45307</v>
      </c>
      <c r="N101" s="13" t="s">
        <v>57</v>
      </c>
      <c r="O101" s="14" t="s">
        <v>563</v>
      </c>
      <c r="P101" s="13"/>
      <c r="Q101" s="1">
        <v>236</v>
      </c>
      <c r="R101" s="1"/>
      <c r="S101" s="1"/>
      <c r="T101" s="1"/>
      <c r="U101" s="1"/>
      <c r="V101" s="1">
        <v>260</v>
      </c>
      <c r="W101" s="1">
        <v>246</v>
      </c>
      <c r="X101" s="1"/>
      <c r="Y101" s="1"/>
      <c r="Z101" s="1"/>
      <c r="AA101" s="1"/>
      <c r="AB101" s="1"/>
      <c r="AC101" s="1"/>
      <c r="AD101" s="1"/>
      <c r="AE101" s="1">
        <f t="shared" si="9"/>
        <v>3</v>
      </c>
      <c r="AF101" s="1">
        <f t="shared" si="6"/>
        <v>247.33333333333334</v>
      </c>
      <c r="AG101" s="11" t="str">
        <f t="shared" si="7"/>
        <v>APROVADO</v>
      </c>
    </row>
    <row r="102" spans="2:33" ht="25.5" x14ac:dyDescent="0.25">
      <c r="B102" s="5">
        <v>98</v>
      </c>
      <c r="C102" s="6" t="s">
        <v>564</v>
      </c>
      <c r="D102" s="5" t="s">
        <v>33</v>
      </c>
      <c r="E102" s="7" t="s">
        <v>565</v>
      </c>
      <c r="F102" s="7" t="s">
        <v>566</v>
      </c>
      <c r="G102" s="7" t="s">
        <v>107</v>
      </c>
      <c r="H102" s="8">
        <v>600000</v>
      </c>
      <c r="I102" s="7" t="s">
        <v>73</v>
      </c>
      <c r="J102" s="7" t="s">
        <v>74</v>
      </c>
      <c r="K102" s="7" t="s">
        <v>567</v>
      </c>
      <c r="L102" s="9" t="s">
        <v>568</v>
      </c>
      <c r="M102" s="10">
        <v>45307</v>
      </c>
      <c r="N102" s="7" t="s">
        <v>67</v>
      </c>
      <c r="O102" s="7" t="s">
        <v>375</v>
      </c>
      <c r="P102" s="7"/>
      <c r="Q102" s="1"/>
      <c r="R102" s="1">
        <v>122</v>
      </c>
      <c r="S102" s="1"/>
      <c r="T102" s="1"/>
      <c r="U102" s="1"/>
      <c r="V102" s="1">
        <v>298</v>
      </c>
      <c r="W102" s="1">
        <v>295</v>
      </c>
      <c r="X102" s="1"/>
      <c r="Y102" s="1"/>
      <c r="Z102" s="1"/>
      <c r="AA102" s="1"/>
      <c r="AB102" s="1"/>
      <c r="AC102" s="1"/>
      <c r="AD102" s="1"/>
      <c r="AE102" s="1">
        <f t="shared" si="9"/>
        <v>3</v>
      </c>
      <c r="AF102" s="1">
        <f t="shared" si="6"/>
        <v>238.33333333333334</v>
      </c>
      <c r="AG102" s="11" t="str">
        <f t="shared" si="7"/>
        <v>APROVADO</v>
      </c>
    </row>
    <row r="103" spans="2:33" ht="25.5" x14ac:dyDescent="0.25">
      <c r="B103" s="5">
        <v>99</v>
      </c>
      <c r="C103" s="6" t="s">
        <v>569</v>
      </c>
      <c r="D103" s="5" t="s">
        <v>33</v>
      </c>
      <c r="E103" s="7" t="s">
        <v>565</v>
      </c>
      <c r="F103" s="7" t="s">
        <v>570</v>
      </c>
      <c r="G103" s="7" t="s">
        <v>107</v>
      </c>
      <c r="H103" s="8">
        <v>640000</v>
      </c>
      <c r="I103" s="7" t="s">
        <v>73</v>
      </c>
      <c r="J103" s="7" t="s">
        <v>74</v>
      </c>
      <c r="K103" s="7" t="s">
        <v>567</v>
      </c>
      <c r="L103" s="9" t="s">
        <v>568</v>
      </c>
      <c r="M103" s="10">
        <v>45307</v>
      </c>
      <c r="N103" s="7" t="s">
        <v>67</v>
      </c>
      <c r="O103" s="7" t="s">
        <v>375</v>
      </c>
      <c r="P103" s="7"/>
      <c r="Q103" s="1"/>
      <c r="R103" s="1">
        <v>149</v>
      </c>
      <c r="S103" s="1"/>
      <c r="T103" s="1"/>
      <c r="U103" s="1"/>
      <c r="V103" s="1"/>
      <c r="W103" s="1"/>
      <c r="X103" s="1">
        <v>316</v>
      </c>
      <c r="Y103" s="1">
        <v>340</v>
      </c>
      <c r="Z103" s="1"/>
      <c r="AA103" s="1"/>
      <c r="AB103" s="1"/>
      <c r="AC103" s="1"/>
      <c r="AD103" s="1"/>
      <c r="AE103" s="1">
        <f t="shared" si="9"/>
        <v>3</v>
      </c>
      <c r="AF103" s="1">
        <f t="shared" si="6"/>
        <v>268.33333333333331</v>
      </c>
      <c r="AG103" s="11" t="str">
        <f t="shared" si="7"/>
        <v>APROVADO</v>
      </c>
    </row>
    <row r="104" spans="2:33" ht="25.5" x14ac:dyDescent="0.25">
      <c r="B104" s="5">
        <v>100</v>
      </c>
      <c r="C104" s="6" t="s">
        <v>571</v>
      </c>
      <c r="D104" s="5" t="s">
        <v>33</v>
      </c>
      <c r="E104" s="7" t="s">
        <v>565</v>
      </c>
      <c r="F104" s="7" t="s">
        <v>572</v>
      </c>
      <c r="G104" s="7" t="s">
        <v>300</v>
      </c>
      <c r="H104" s="8">
        <v>1400000</v>
      </c>
      <c r="I104" s="7" t="s">
        <v>73</v>
      </c>
      <c r="J104" s="7" t="s">
        <v>74</v>
      </c>
      <c r="K104" s="7" t="s">
        <v>567</v>
      </c>
      <c r="L104" s="9" t="s">
        <v>568</v>
      </c>
      <c r="M104" s="10">
        <v>45307</v>
      </c>
      <c r="N104" s="7" t="s">
        <v>67</v>
      </c>
      <c r="O104" s="7" t="s">
        <v>375</v>
      </c>
      <c r="P104" s="7"/>
      <c r="Q104" s="1">
        <v>306</v>
      </c>
      <c r="R104" s="1">
        <v>189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>
        <v>340</v>
      </c>
      <c r="AE104" s="1">
        <f t="shared" si="9"/>
        <v>3</v>
      </c>
      <c r="AF104" s="1">
        <f t="shared" si="6"/>
        <v>278.33333333333331</v>
      </c>
      <c r="AG104" s="11" t="str">
        <f t="shared" si="7"/>
        <v>APROVADO</v>
      </c>
    </row>
    <row r="105" spans="2:33" ht="25.5" x14ac:dyDescent="0.25">
      <c r="B105" s="5">
        <v>101</v>
      </c>
      <c r="C105" s="6" t="s">
        <v>573</v>
      </c>
      <c r="D105" s="5" t="s">
        <v>33</v>
      </c>
      <c r="E105" s="7" t="s">
        <v>574</v>
      </c>
      <c r="F105" s="7" t="s">
        <v>575</v>
      </c>
      <c r="G105" s="7" t="s">
        <v>174</v>
      </c>
      <c r="H105" s="8">
        <v>11210</v>
      </c>
      <c r="I105" s="7" t="s">
        <v>425</v>
      </c>
      <c r="J105" s="7" t="s">
        <v>348</v>
      </c>
      <c r="K105" s="7" t="s">
        <v>576</v>
      </c>
      <c r="L105" s="9" t="s">
        <v>577</v>
      </c>
      <c r="M105" s="10">
        <v>45307</v>
      </c>
      <c r="N105" s="7" t="s">
        <v>67</v>
      </c>
      <c r="O105" s="7" t="s">
        <v>578</v>
      </c>
      <c r="P105" s="7" t="s">
        <v>579</v>
      </c>
      <c r="Q105" s="1"/>
      <c r="R105" s="1">
        <v>280</v>
      </c>
      <c r="S105" s="1"/>
      <c r="T105" s="1"/>
      <c r="U105" s="1"/>
      <c r="V105" s="1"/>
      <c r="W105" s="1"/>
      <c r="X105" s="1">
        <v>240</v>
      </c>
      <c r="Y105" s="1">
        <v>340</v>
      </c>
      <c r="Z105" s="1"/>
      <c r="AA105" s="1"/>
      <c r="AB105" s="1"/>
      <c r="AC105" s="1"/>
      <c r="AD105" s="1"/>
      <c r="AE105" s="1">
        <f t="shared" si="9"/>
        <v>3</v>
      </c>
      <c r="AF105" s="1">
        <f t="shared" si="6"/>
        <v>286.66666666666669</v>
      </c>
      <c r="AG105" s="11" t="str">
        <f t="shared" si="7"/>
        <v>APROVADO</v>
      </c>
    </row>
    <row r="106" spans="2:33" ht="25.5" x14ac:dyDescent="0.25">
      <c r="B106" s="5">
        <v>102</v>
      </c>
      <c r="C106" s="16" t="s">
        <v>580</v>
      </c>
      <c r="D106" s="5" t="s">
        <v>33</v>
      </c>
      <c r="E106" s="7" t="s">
        <v>574</v>
      </c>
      <c r="F106" s="7" t="s">
        <v>581</v>
      </c>
      <c r="G106" s="7" t="s">
        <v>36</v>
      </c>
      <c r="H106" s="8">
        <v>120000</v>
      </c>
      <c r="I106" s="7" t="s">
        <v>425</v>
      </c>
      <c r="J106" s="7" t="s">
        <v>348</v>
      </c>
      <c r="K106" s="7" t="s">
        <v>576</v>
      </c>
      <c r="L106" s="9" t="s">
        <v>577</v>
      </c>
      <c r="M106" s="10">
        <v>45307</v>
      </c>
      <c r="N106" s="7" t="s">
        <v>82</v>
      </c>
      <c r="O106" s="7" t="s">
        <v>419</v>
      </c>
      <c r="P106" s="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 t="e">
        <f t="shared" si="6"/>
        <v>#DIV/0!</v>
      </c>
      <c r="AG106" s="11" t="e">
        <f t="shared" si="7"/>
        <v>#DIV/0!</v>
      </c>
    </row>
    <row r="107" spans="2:33" ht="25.5" x14ac:dyDescent="0.25">
      <c r="B107" s="5">
        <v>103</v>
      </c>
      <c r="C107" s="27" t="s">
        <v>582</v>
      </c>
      <c r="D107" s="5" t="s">
        <v>33</v>
      </c>
      <c r="E107" s="7" t="s">
        <v>583</v>
      </c>
      <c r="F107" s="7" t="s">
        <v>584</v>
      </c>
      <c r="G107" s="7" t="s">
        <v>36</v>
      </c>
      <c r="H107" s="8">
        <v>377095.48</v>
      </c>
      <c r="I107" s="7" t="s">
        <v>585</v>
      </c>
      <c r="J107" s="7" t="s">
        <v>38</v>
      </c>
      <c r="K107" s="7" t="s">
        <v>586</v>
      </c>
      <c r="L107" s="9" t="s">
        <v>587</v>
      </c>
      <c r="M107" s="10">
        <v>45307</v>
      </c>
      <c r="N107" s="7" t="s">
        <v>41</v>
      </c>
      <c r="O107" s="7"/>
      <c r="P107" s="7"/>
      <c r="Q107" s="1">
        <v>307</v>
      </c>
      <c r="R107" s="1">
        <v>209</v>
      </c>
      <c r="S107" s="1">
        <v>234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f>COUNT(Q107:AD107)</f>
        <v>3</v>
      </c>
      <c r="AF107" s="1">
        <f t="shared" si="6"/>
        <v>250</v>
      </c>
      <c r="AG107" s="11" t="str">
        <f t="shared" si="7"/>
        <v>APROVADO</v>
      </c>
    </row>
    <row r="108" spans="2:33" ht="25.5" x14ac:dyDescent="0.25">
      <c r="B108" s="5">
        <v>104</v>
      </c>
      <c r="C108" s="6" t="s">
        <v>588</v>
      </c>
      <c r="D108" s="5" t="s">
        <v>33</v>
      </c>
      <c r="E108" s="7" t="s">
        <v>589</v>
      </c>
      <c r="F108" s="7" t="s">
        <v>590</v>
      </c>
      <c r="G108" s="7" t="s">
        <v>107</v>
      </c>
      <c r="H108" s="8">
        <v>332860</v>
      </c>
      <c r="I108" s="7" t="s">
        <v>390</v>
      </c>
      <c r="J108" s="7" t="s">
        <v>391</v>
      </c>
      <c r="K108" s="7" t="s">
        <v>591</v>
      </c>
      <c r="L108" s="9" t="s">
        <v>592</v>
      </c>
      <c r="M108" s="10">
        <v>45307</v>
      </c>
      <c r="N108" s="7" t="s">
        <v>67</v>
      </c>
      <c r="O108" s="7" t="s">
        <v>68</v>
      </c>
      <c r="P108" s="7"/>
      <c r="Q108" s="1">
        <v>263</v>
      </c>
      <c r="R108" s="1"/>
      <c r="S108" s="1"/>
      <c r="T108" s="1"/>
      <c r="U108" s="1"/>
      <c r="V108" s="1">
        <v>296</v>
      </c>
      <c r="W108" s="1"/>
      <c r="X108" s="1"/>
      <c r="Y108" s="1"/>
      <c r="Z108" s="1"/>
      <c r="AA108" s="1"/>
      <c r="AB108" s="1"/>
      <c r="AC108" s="1">
        <v>269</v>
      </c>
      <c r="AD108" s="1"/>
      <c r="AE108" s="1">
        <f>COUNT(Q108:AD108)</f>
        <v>3</v>
      </c>
      <c r="AF108" s="1">
        <f t="shared" si="6"/>
        <v>276</v>
      </c>
      <c r="AG108" s="11" t="str">
        <f t="shared" si="7"/>
        <v>APROVADO</v>
      </c>
    </row>
    <row r="109" spans="2:33" ht="39" x14ac:dyDescent="0.25">
      <c r="B109" s="5">
        <v>105</v>
      </c>
      <c r="C109" s="35" t="s">
        <v>593</v>
      </c>
      <c r="D109" s="5" t="s">
        <v>51</v>
      </c>
      <c r="E109" s="13" t="s">
        <v>594</v>
      </c>
      <c r="F109" s="14" t="s">
        <v>595</v>
      </c>
      <c r="G109" s="14" t="s">
        <v>107</v>
      </c>
      <c r="H109" s="28">
        <v>3700000</v>
      </c>
      <c r="I109" s="29" t="s">
        <v>596</v>
      </c>
      <c r="J109" s="11" t="s">
        <v>597</v>
      </c>
      <c r="K109" s="13" t="s">
        <v>598</v>
      </c>
      <c r="L109" s="13" t="s">
        <v>599</v>
      </c>
      <c r="M109" s="26">
        <v>45307</v>
      </c>
      <c r="N109" s="13" t="s">
        <v>226</v>
      </c>
      <c r="O109" s="14" t="s">
        <v>600</v>
      </c>
      <c r="P109" s="13"/>
      <c r="Q109" s="1">
        <v>0</v>
      </c>
      <c r="R109" s="1">
        <v>146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f t="shared" si="6"/>
        <v>73</v>
      </c>
      <c r="AG109" s="11" t="str">
        <f t="shared" si="7"/>
        <v>REPROVADO</v>
      </c>
    </row>
    <row r="110" spans="2:33" ht="26.25" x14ac:dyDescent="0.25">
      <c r="B110" s="5">
        <v>106</v>
      </c>
      <c r="C110" s="24" t="s">
        <v>601</v>
      </c>
      <c r="D110" s="5" t="s">
        <v>51</v>
      </c>
      <c r="E110" s="13" t="s">
        <v>594</v>
      </c>
      <c r="F110" s="14" t="s">
        <v>602</v>
      </c>
      <c r="G110" s="14" t="s">
        <v>36</v>
      </c>
      <c r="H110" s="28">
        <v>988105.45</v>
      </c>
      <c r="I110" s="29" t="s">
        <v>596</v>
      </c>
      <c r="J110" s="11" t="s">
        <v>597</v>
      </c>
      <c r="K110" s="13" t="s">
        <v>603</v>
      </c>
      <c r="L110" s="13" t="s">
        <v>604</v>
      </c>
      <c r="M110" s="26">
        <v>45307</v>
      </c>
      <c r="N110" s="13" t="s">
        <v>57</v>
      </c>
      <c r="O110" s="14" t="s">
        <v>118</v>
      </c>
      <c r="P110" s="13"/>
      <c r="Q110" s="1">
        <v>293</v>
      </c>
      <c r="R110" s="1">
        <v>142</v>
      </c>
      <c r="S110" s="1"/>
      <c r="T110" s="1"/>
      <c r="U110" s="1"/>
      <c r="V110" s="1"/>
      <c r="W110" s="1"/>
      <c r="X110" s="1"/>
      <c r="Y110" s="1">
        <v>328</v>
      </c>
      <c r="Z110" s="1"/>
      <c r="AA110" s="1"/>
      <c r="AB110" s="1"/>
      <c r="AC110" s="1"/>
      <c r="AD110" s="1"/>
      <c r="AE110" s="1">
        <f>COUNT(Q110:AD110)</f>
        <v>3</v>
      </c>
      <c r="AF110" s="1">
        <f t="shared" si="6"/>
        <v>254.33333333333334</v>
      </c>
      <c r="AG110" s="11" t="str">
        <f t="shared" si="7"/>
        <v>APROVADO</v>
      </c>
    </row>
    <row r="111" spans="2:33" ht="39" x14ac:dyDescent="0.25">
      <c r="B111" s="5">
        <v>107</v>
      </c>
      <c r="C111" s="24" t="s">
        <v>605</v>
      </c>
      <c r="D111" s="5" t="s">
        <v>51</v>
      </c>
      <c r="E111" s="13" t="s">
        <v>594</v>
      </c>
      <c r="F111" s="14" t="s">
        <v>606</v>
      </c>
      <c r="G111" s="14" t="s">
        <v>36</v>
      </c>
      <c r="H111" s="28">
        <v>3270000</v>
      </c>
      <c r="I111" s="29" t="s">
        <v>596</v>
      </c>
      <c r="J111" s="11" t="s">
        <v>597</v>
      </c>
      <c r="K111" s="13" t="s">
        <v>598</v>
      </c>
      <c r="L111" s="13" t="s">
        <v>562</v>
      </c>
      <c r="M111" s="26">
        <v>45307</v>
      </c>
      <c r="N111" s="13" t="s">
        <v>57</v>
      </c>
      <c r="O111" s="14" t="s">
        <v>118</v>
      </c>
      <c r="P111" s="13"/>
      <c r="Q111" s="1">
        <v>306</v>
      </c>
      <c r="R111" s="1">
        <v>120</v>
      </c>
      <c r="S111" s="1"/>
      <c r="T111" s="1"/>
      <c r="U111" s="1"/>
      <c r="V111" s="1"/>
      <c r="W111" s="1">
        <v>308</v>
      </c>
      <c r="X111" s="1"/>
      <c r="Y111" s="1"/>
      <c r="Z111" s="1"/>
      <c r="AA111" s="1"/>
      <c r="AB111" s="1"/>
      <c r="AC111" s="1"/>
      <c r="AD111" s="1"/>
      <c r="AE111" s="1">
        <f>COUNT(Q111:AD111)</f>
        <v>3</v>
      </c>
      <c r="AF111" s="1">
        <f t="shared" si="6"/>
        <v>244.66666666666666</v>
      </c>
      <c r="AG111" s="11" t="str">
        <f t="shared" si="7"/>
        <v>APROVADO</v>
      </c>
    </row>
    <row r="112" spans="2:33" ht="25.5" x14ac:dyDescent="0.25">
      <c r="B112" s="5">
        <v>108</v>
      </c>
      <c r="C112" s="27" t="s">
        <v>607</v>
      </c>
      <c r="D112" s="5" t="s">
        <v>33</v>
      </c>
      <c r="E112" s="5" t="s">
        <v>608</v>
      </c>
      <c r="F112" s="5" t="s">
        <v>609</v>
      </c>
      <c r="G112" s="5" t="s">
        <v>36</v>
      </c>
      <c r="H112" s="17">
        <v>800000</v>
      </c>
      <c r="I112" s="5" t="s">
        <v>596</v>
      </c>
      <c r="J112" s="5" t="s">
        <v>597</v>
      </c>
      <c r="K112" s="5" t="s">
        <v>610</v>
      </c>
      <c r="L112" s="9" t="s">
        <v>611</v>
      </c>
      <c r="M112" s="10">
        <v>45307</v>
      </c>
      <c r="N112" s="5" t="s">
        <v>67</v>
      </c>
      <c r="O112" s="5"/>
      <c r="P112" s="5" t="s">
        <v>612</v>
      </c>
      <c r="Q112" s="1">
        <v>307</v>
      </c>
      <c r="R112" s="1">
        <v>52</v>
      </c>
      <c r="S112" s="1">
        <v>82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>
        <f>COUNT(Q112:AD112)</f>
        <v>3</v>
      </c>
      <c r="AF112" s="1">
        <f t="shared" si="6"/>
        <v>147</v>
      </c>
      <c r="AG112" s="11" t="str">
        <f t="shared" si="7"/>
        <v>REPROVADO</v>
      </c>
    </row>
    <row r="113" spans="2:33" ht="38.25" x14ac:dyDescent="0.25">
      <c r="B113" s="5">
        <v>109</v>
      </c>
      <c r="C113" s="6" t="s">
        <v>613</v>
      </c>
      <c r="D113" s="5" t="s">
        <v>33</v>
      </c>
      <c r="E113" s="7" t="s">
        <v>614</v>
      </c>
      <c r="F113" s="7" t="s">
        <v>615</v>
      </c>
      <c r="G113" s="7" t="s">
        <v>300</v>
      </c>
      <c r="H113" s="8">
        <v>1074000</v>
      </c>
      <c r="I113" s="7" t="s">
        <v>596</v>
      </c>
      <c r="J113" s="7" t="s">
        <v>597</v>
      </c>
      <c r="K113" s="7" t="s">
        <v>616</v>
      </c>
      <c r="L113" s="9" t="s">
        <v>617</v>
      </c>
      <c r="M113" s="10">
        <v>45307</v>
      </c>
      <c r="N113" s="7" t="s">
        <v>67</v>
      </c>
      <c r="O113" s="7" t="s">
        <v>98</v>
      </c>
      <c r="P113" s="7"/>
      <c r="Q113" s="1">
        <v>247</v>
      </c>
      <c r="R113" s="1">
        <v>266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>
        <v>340</v>
      </c>
      <c r="AE113" s="1">
        <f>COUNT(Q113:AD113)</f>
        <v>3</v>
      </c>
      <c r="AF113" s="1">
        <f t="shared" si="6"/>
        <v>284.33333333333331</v>
      </c>
      <c r="AG113" s="11" t="str">
        <f t="shared" si="7"/>
        <v>APROVADO</v>
      </c>
    </row>
    <row r="114" spans="2:33" ht="25.5" x14ac:dyDescent="0.25">
      <c r="B114" s="5">
        <v>110</v>
      </c>
      <c r="C114" s="16" t="s">
        <v>618</v>
      </c>
      <c r="D114" s="5" t="s">
        <v>33</v>
      </c>
      <c r="E114" s="7" t="s">
        <v>614</v>
      </c>
      <c r="F114" s="7" t="s">
        <v>619</v>
      </c>
      <c r="G114" s="7" t="s">
        <v>36</v>
      </c>
      <c r="H114" s="8">
        <v>2596552.2200000002</v>
      </c>
      <c r="I114" s="7" t="s">
        <v>596</v>
      </c>
      <c r="J114" s="7" t="s">
        <v>597</v>
      </c>
      <c r="K114" s="7" t="s">
        <v>616</v>
      </c>
      <c r="L114" s="9" t="s">
        <v>617</v>
      </c>
      <c r="M114" s="10">
        <v>45307</v>
      </c>
      <c r="N114" s="7" t="s">
        <v>226</v>
      </c>
      <c r="O114" s="7" t="s">
        <v>227</v>
      </c>
      <c r="P114" s="7" t="s">
        <v>98</v>
      </c>
      <c r="Q114" s="1">
        <v>0</v>
      </c>
      <c r="R114" s="1">
        <v>120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f t="shared" si="6"/>
        <v>60</v>
      </c>
      <c r="AG114" s="11" t="str">
        <f t="shared" si="7"/>
        <v>REPROVADO</v>
      </c>
    </row>
    <row r="115" spans="2:33" ht="51" x14ac:dyDescent="0.25">
      <c r="B115" s="5">
        <v>111</v>
      </c>
      <c r="C115" s="6" t="s">
        <v>620</v>
      </c>
      <c r="D115" s="5" t="s">
        <v>33</v>
      </c>
      <c r="E115" s="7" t="s">
        <v>614</v>
      </c>
      <c r="F115" s="7" t="s">
        <v>621</v>
      </c>
      <c r="G115" s="7" t="s">
        <v>36</v>
      </c>
      <c r="H115" s="8">
        <v>1919116.46</v>
      </c>
      <c r="I115" s="7" t="s">
        <v>596</v>
      </c>
      <c r="J115" s="7" t="s">
        <v>597</v>
      </c>
      <c r="K115" s="7" t="s">
        <v>616</v>
      </c>
      <c r="L115" s="9" t="s">
        <v>617</v>
      </c>
      <c r="M115" s="10">
        <v>45307</v>
      </c>
      <c r="N115" s="7" t="s">
        <v>67</v>
      </c>
      <c r="O115" s="7" t="s">
        <v>98</v>
      </c>
      <c r="P115" s="7"/>
      <c r="Q115" s="1"/>
      <c r="R115" s="1">
        <v>120</v>
      </c>
      <c r="S115" s="1"/>
      <c r="T115" s="1"/>
      <c r="U115" s="1"/>
      <c r="V115" s="1"/>
      <c r="W115" s="1"/>
      <c r="X115" s="1">
        <v>340</v>
      </c>
      <c r="Y115" s="1">
        <v>340</v>
      </c>
      <c r="Z115" s="1"/>
      <c r="AA115" s="1"/>
      <c r="AB115" s="1"/>
      <c r="AC115" s="1"/>
      <c r="AD115" s="1"/>
      <c r="AE115" s="1">
        <f t="shared" ref="AE115:AE125" si="10">COUNT(Q115:AD115)</f>
        <v>3</v>
      </c>
      <c r="AF115" s="1">
        <f t="shared" si="6"/>
        <v>266.66666666666669</v>
      </c>
      <c r="AG115" s="11" t="str">
        <f t="shared" si="7"/>
        <v>APROVADO</v>
      </c>
    </row>
    <row r="116" spans="2:33" ht="38.25" x14ac:dyDescent="0.25">
      <c r="B116" s="5">
        <v>112</v>
      </c>
      <c r="C116" s="6" t="s">
        <v>622</v>
      </c>
      <c r="D116" s="5" t="s">
        <v>33</v>
      </c>
      <c r="E116" s="7" t="s">
        <v>623</v>
      </c>
      <c r="F116" s="7" t="s">
        <v>624</v>
      </c>
      <c r="G116" s="7" t="s">
        <v>36</v>
      </c>
      <c r="H116" s="8">
        <v>0</v>
      </c>
      <c r="I116" s="7" t="s">
        <v>596</v>
      </c>
      <c r="J116" s="7" t="s">
        <v>597</v>
      </c>
      <c r="K116" s="7" t="s">
        <v>598</v>
      </c>
      <c r="L116" s="9" t="s">
        <v>625</v>
      </c>
      <c r="M116" s="10">
        <v>45307</v>
      </c>
      <c r="N116" s="7" t="s">
        <v>67</v>
      </c>
      <c r="O116" s="7" t="s">
        <v>98</v>
      </c>
      <c r="P116" s="7" t="s">
        <v>626</v>
      </c>
      <c r="Q116" s="1"/>
      <c r="R116" s="1">
        <v>69</v>
      </c>
      <c r="S116" s="1"/>
      <c r="T116" s="1"/>
      <c r="U116" s="1"/>
      <c r="V116" s="1">
        <v>340</v>
      </c>
      <c r="W116" s="1">
        <v>340</v>
      </c>
      <c r="X116" s="1"/>
      <c r="Y116" s="1"/>
      <c r="Z116" s="1"/>
      <c r="AA116" s="1"/>
      <c r="AB116" s="1"/>
      <c r="AC116" s="1"/>
      <c r="AD116" s="1"/>
      <c r="AE116" s="1">
        <f t="shared" si="10"/>
        <v>3</v>
      </c>
      <c r="AF116" s="1">
        <f>AVERAGE(Q116:AD116)</f>
        <v>249.66666666666666</v>
      </c>
      <c r="AG116" s="11" t="str">
        <f t="shared" si="7"/>
        <v>APROVADO</v>
      </c>
    </row>
    <row r="117" spans="2:33" ht="25.5" x14ac:dyDescent="0.25">
      <c r="B117" s="5">
        <v>113</v>
      </c>
      <c r="C117" s="6" t="s">
        <v>627</v>
      </c>
      <c r="D117" s="5" t="s">
        <v>33</v>
      </c>
      <c r="E117" s="5" t="s">
        <v>628</v>
      </c>
      <c r="F117" s="5" t="s">
        <v>629</v>
      </c>
      <c r="G117" s="7" t="s">
        <v>36</v>
      </c>
      <c r="H117" s="8">
        <v>532258</v>
      </c>
      <c r="I117" s="7" t="s">
        <v>630</v>
      </c>
      <c r="J117" s="7" t="s">
        <v>453</v>
      </c>
      <c r="K117" s="7" t="s">
        <v>631</v>
      </c>
      <c r="L117" s="9" t="s">
        <v>632</v>
      </c>
      <c r="M117" s="10">
        <v>45307</v>
      </c>
      <c r="N117" s="5" t="s">
        <v>67</v>
      </c>
      <c r="O117" s="7" t="s">
        <v>375</v>
      </c>
      <c r="P117" s="7"/>
      <c r="Q117" s="1">
        <v>244</v>
      </c>
      <c r="R117" s="1">
        <v>252</v>
      </c>
      <c r="S117" s="1">
        <v>241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>
        <f t="shared" si="10"/>
        <v>3</v>
      </c>
      <c r="AF117" s="1">
        <f t="shared" si="6"/>
        <v>245.66666666666666</v>
      </c>
      <c r="AG117" s="11" t="str">
        <f t="shared" si="7"/>
        <v>APROVADO</v>
      </c>
    </row>
    <row r="118" spans="2:33" ht="25.5" x14ac:dyDescent="0.25">
      <c r="B118" s="5">
        <v>114</v>
      </c>
      <c r="C118" s="6" t="s">
        <v>633</v>
      </c>
      <c r="D118" s="5" t="s">
        <v>33</v>
      </c>
      <c r="E118" s="5" t="s">
        <v>628</v>
      </c>
      <c r="F118" s="5" t="s">
        <v>634</v>
      </c>
      <c r="G118" s="7" t="s">
        <v>36</v>
      </c>
      <c r="H118" s="8">
        <v>200000</v>
      </c>
      <c r="I118" s="7" t="s">
        <v>630</v>
      </c>
      <c r="J118" s="7" t="s">
        <v>453</v>
      </c>
      <c r="K118" s="7" t="s">
        <v>635</v>
      </c>
      <c r="L118" s="9" t="s">
        <v>632</v>
      </c>
      <c r="M118" s="10">
        <v>45307</v>
      </c>
      <c r="N118" s="5" t="s">
        <v>67</v>
      </c>
      <c r="O118" s="7" t="s">
        <v>375</v>
      </c>
      <c r="P118" s="7"/>
      <c r="Q118" s="1">
        <v>298</v>
      </c>
      <c r="R118" s="1">
        <v>265</v>
      </c>
      <c r="S118" s="1">
        <v>239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f t="shared" si="10"/>
        <v>3</v>
      </c>
      <c r="AF118" s="1">
        <f t="shared" si="6"/>
        <v>267.33333333333331</v>
      </c>
      <c r="AG118" s="11" t="str">
        <f t="shared" si="7"/>
        <v>APROVADO</v>
      </c>
    </row>
    <row r="119" spans="2:33" ht="25.5" x14ac:dyDescent="0.25">
      <c r="B119" s="5">
        <v>115</v>
      </c>
      <c r="C119" s="6" t="s">
        <v>636</v>
      </c>
      <c r="D119" s="5" t="s">
        <v>33</v>
      </c>
      <c r="E119" s="7" t="s">
        <v>637</v>
      </c>
      <c r="F119" s="7" t="s">
        <v>638</v>
      </c>
      <c r="G119" s="7" t="s">
        <v>107</v>
      </c>
      <c r="H119" s="8">
        <v>627681.1</v>
      </c>
      <c r="I119" s="7" t="s">
        <v>73</v>
      </c>
      <c r="J119" s="7" t="s">
        <v>74</v>
      </c>
      <c r="K119" s="7" t="s">
        <v>639</v>
      </c>
      <c r="L119" s="9" t="s">
        <v>640</v>
      </c>
      <c r="M119" s="10">
        <v>45307</v>
      </c>
      <c r="N119" s="7" t="s">
        <v>67</v>
      </c>
      <c r="O119" s="7" t="s">
        <v>68</v>
      </c>
      <c r="P119" s="7"/>
      <c r="Q119" s="1">
        <v>306</v>
      </c>
      <c r="R119" s="1"/>
      <c r="S119" s="1"/>
      <c r="T119" s="1"/>
      <c r="U119" s="1"/>
      <c r="V119" s="1"/>
      <c r="W119" s="1"/>
      <c r="X119" s="1"/>
      <c r="Y119" s="1"/>
      <c r="Z119" s="1">
        <v>257</v>
      </c>
      <c r="AA119" s="1">
        <v>257</v>
      </c>
      <c r="AB119" s="1"/>
      <c r="AC119" s="1"/>
      <c r="AD119" s="1"/>
      <c r="AE119" s="1">
        <f t="shared" si="10"/>
        <v>3</v>
      </c>
      <c r="AF119" s="1">
        <f t="shared" si="6"/>
        <v>273.33333333333331</v>
      </c>
      <c r="AG119" s="11" t="str">
        <f t="shared" si="7"/>
        <v>APROVADO</v>
      </c>
    </row>
    <row r="120" spans="2:33" ht="25.5" x14ac:dyDescent="0.25">
      <c r="B120" s="5">
        <v>116</v>
      </c>
      <c r="C120" s="6" t="s">
        <v>641</v>
      </c>
      <c r="D120" s="5" t="s">
        <v>33</v>
      </c>
      <c r="E120" s="7" t="s">
        <v>637</v>
      </c>
      <c r="F120" s="7" t="s">
        <v>642</v>
      </c>
      <c r="G120" s="7" t="s">
        <v>107</v>
      </c>
      <c r="H120" s="8">
        <v>565125</v>
      </c>
      <c r="I120" s="7" t="s">
        <v>73</v>
      </c>
      <c r="J120" s="7" t="s">
        <v>74</v>
      </c>
      <c r="K120" s="7" t="s">
        <v>639</v>
      </c>
      <c r="L120" s="9" t="s">
        <v>640</v>
      </c>
      <c r="M120" s="10">
        <v>45307</v>
      </c>
      <c r="N120" s="7" t="s">
        <v>67</v>
      </c>
      <c r="O120" s="7" t="s">
        <v>68</v>
      </c>
      <c r="P120" s="7"/>
      <c r="Q120" s="1">
        <v>286</v>
      </c>
      <c r="R120" s="1"/>
      <c r="S120" s="1"/>
      <c r="T120" s="1"/>
      <c r="U120" s="1"/>
      <c r="V120" s="1"/>
      <c r="W120" s="1"/>
      <c r="X120" s="1"/>
      <c r="Y120" s="1">
        <v>249</v>
      </c>
      <c r="Z120" s="1"/>
      <c r="AA120" s="1">
        <v>249</v>
      </c>
      <c r="AB120" s="1"/>
      <c r="AC120" s="1"/>
      <c r="AD120" s="1"/>
      <c r="AE120" s="1">
        <f t="shared" si="10"/>
        <v>3</v>
      </c>
      <c r="AF120" s="1">
        <f t="shared" si="6"/>
        <v>261.33333333333331</v>
      </c>
      <c r="AG120" s="11" t="str">
        <f t="shared" si="7"/>
        <v>APROVADO</v>
      </c>
    </row>
    <row r="121" spans="2:33" ht="25.5" x14ac:dyDescent="0.25">
      <c r="B121" s="5">
        <v>117</v>
      </c>
      <c r="C121" s="27" t="s">
        <v>643</v>
      </c>
      <c r="D121" s="5" t="s">
        <v>33</v>
      </c>
      <c r="E121" s="7" t="s">
        <v>637</v>
      </c>
      <c r="F121" s="7" t="s">
        <v>644</v>
      </c>
      <c r="G121" s="7" t="s">
        <v>107</v>
      </c>
      <c r="H121" s="8">
        <v>428436</v>
      </c>
      <c r="I121" s="7" t="s">
        <v>73</v>
      </c>
      <c r="J121" s="7" t="s">
        <v>74</v>
      </c>
      <c r="K121" s="7" t="s">
        <v>639</v>
      </c>
      <c r="L121" s="9" t="s">
        <v>640</v>
      </c>
      <c r="M121" s="10">
        <v>45307</v>
      </c>
      <c r="N121" s="7" t="s">
        <v>41</v>
      </c>
      <c r="O121" s="7"/>
      <c r="P121" s="7"/>
      <c r="Q121" s="1">
        <v>313</v>
      </c>
      <c r="R121" s="1">
        <v>267</v>
      </c>
      <c r="S121" s="1">
        <v>273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f t="shared" si="10"/>
        <v>3</v>
      </c>
      <c r="AF121" s="1">
        <f t="shared" si="6"/>
        <v>284.33333333333331</v>
      </c>
      <c r="AG121" s="11" t="str">
        <f t="shared" si="7"/>
        <v>APROVADO</v>
      </c>
    </row>
    <row r="122" spans="2:33" ht="25.5" x14ac:dyDescent="0.25">
      <c r="B122" s="5">
        <v>118</v>
      </c>
      <c r="C122" s="6" t="s">
        <v>645</v>
      </c>
      <c r="D122" s="5" t="s">
        <v>33</v>
      </c>
      <c r="E122" s="7" t="s">
        <v>646</v>
      </c>
      <c r="F122" s="7" t="s">
        <v>647</v>
      </c>
      <c r="G122" s="7" t="s">
        <v>36</v>
      </c>
      <c r="H122" s="17">
        <v>1704249.92</v>
      </c>
      <c r="I122" s="7" t="s">
        <v>648</v>
      </c>
      <c r="J122" s="7" t="s">
        <v>254</v>
      </c>
      <c r="K122" s="7" t="s">
        <v>649</v>
      </c>
      <c r="L122" s="23" t="s">
        <v>650</v>
      </c>
      <c r="M122" s="10">
        <v>45308</v>
      </c>
      <c r="N122" s="7" t="s">
        <v>67</v>
      </c>
      <c r="O122" s="7" t="s">
        <v>375</v>
      </c>
      <c r="P122" s="20"/>
      <c r="Q122" s="1">
        <v>205</v>
      </c>
      <c r="R122" s="1"/>
      <c r="S122" s="1"/>
      <c r="T122" s="1"/>
      <c r="U122" s="1"/>
      <c r="V122" s="1">
        <v>225</v>
      </c>
      <c r="W122" s="1">
        <v>234</v>
      </c>
      <c r="X122" s="1"/>
      <c r="Y122" s="1"/>
      <c r="Z122" s="1"/>
      <c r="AA122" s="1"/>
      <c r="AB122" s="1"/>
      <c r="AC122" s="1"/>
      <c r="AD122" s="1"/>
      <c r="AE122" s="1">
        <f t="shared" si="10"/>
        <v>3</v>
      </c>
      <c r="AF122" s="1">
        <f t="shared" si="6"/>
        <v>221.33333333333334</v>
      </c>
      <c r="AG122" s="11" t="str">
        <f t="shared" si="7"/>
        <v>APROVADO</v>
      </c>
    </row>
    <row r="123" spans="2:33" ht="25.5" x14ac:dyDescent="0.25">
      <c r="B123" s="5">
        <v>119</v>
      </c>
      <c r="C123" s="27" t="s">
        <v>651</v>
      </c>
      <c r="D123" s="5" t="s">
        <v>33</v>
      </c>
      <c r="E123" s="7" t="s">
        <v>652</v>
      </c>
      <c r="F123" s="7" t="s">
        <v>653</v>
      </c>
      <c r="G123" s="5" t="s">
        <v>62</v>
      </c>
      <c r="H123" s="8">
        <v>199191.12</v>
      </c>
      <c r="I123" s="7" t="s">
        <v>654</v>
      </c>
      <c r="J123" s="7" t="s">
        <v>453</v>
      </c>
      <c r="K123" s="7" t="s">
        <v>655</v>
      </c>
      <c r="L123" s="9" t="s">
        <v>656</v>
      </c>
      <c r="M123" s="10">
        <v>45308</v>
      </c>
      <c r="N123" s="7" t="s">
        <v>41</v>
      </c>
      <c r="O123" s="7"/>
      <c r="P123" s="7"/>
      <c r="Q123" s="1">
        <v>340</v>
      </c>
      <c r="R123" s="1"/>
      <c r="S123" s="1">
        <v>266</v>
      </c>
      <c r="T123" s="1"/>
      <c r="U123" s="1"/>
      <c r="V123" s="1"/>
      <c r="W123" s="1"/>
      <c r="X123" s="1"/>
      <c r="Y123" s="1"/>
      <c r="Z123" s="1"/>
      <c r="AA123" s="1"/>
      <c r="AB123" s="1">
        <v>340</v>
      </c>
      <c r="AC123" s="1"/>
      <c r="AD123" s="1"/>
      <c r="AE123" s="1">
        <f t="shared" si="10"/>
        <v>3</v>
      </c>
      <c r="AF123" s="1">
        <f t="shared" si="6"/>
        <v>315.33333333333331</v>
      </c>
      <c r="AG123" s="11" t="str">
        <f t="shared" si="7"/>
        <v>APROVADO</v>
      </c>
    </row>
    <row r="124" spans="2:33" ht="25.5" x14ac:dyDescent="0.25">
      <c r="B124" s="5">
        <v>120</v>
      </c>
      <c r="C124" s="27" t="s">
        <v>657</v>
      </c>
      <c r="D124" s="5" t="s">
        <v>33</v>
      </c>
      <c r="E124" s="7" t="s">
        <v>658</v>
      </c>
      <c r="F124" s="7" t="s">
        <v>659</v>
      </c>
      <c r="G124" s="7" t="s">
        <v>36</v>
      </c>
      <c r="H124" s="8">
        <v>821650</v>
      </c>
      <c r="I124" s="7" t="s">
        <v>73</v>
      </c>
      <c r="J124" s="7" t="s">
        <v>74</v>
      </c>
      <c r="K124" s="7" t="s">
        <v>660</v>
      </c>
      <c r="L124" s="9" t="s">
        <v>661</v>
      </c>
      <c r="M124" s="10">
        <v>45308</v>
      </c>
      <c r="N124" s="7" t="s">
        <v>41</v>
      </c>
      <c r="O124" s="7"/>
      <c r="P124" s="7"/>
      <c r="Q124" s="1">
        <v>335</v>
      </c>
      <c r="R124" s="1">
        <v>112</v>
      </c>
      <c r="S124" s="1"/>
      <c r="T124" s="1"/>
      <c r="U124" s="1">
        <v>193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f t="shared" si="10"/>
        <v>3</v>
      </c>
      <c r="AF124" s="1">
        <f t="shared" si="6"/>
        <v>213.33333333333334</v>
      </c>
      <c r="AG124" s="11" t="str">
        <f t="shared" si="7"/>
        <v>APROVADO</v>
      </c>
    </row>
    <row r="125" spans="2:33" ht="25.5" x14ac:dyDescent="0.25">
      <c r="B125" s="5">
        <v>121</v>
      </c>
      <c r="C125" s="27" t="s">
        <v>662</v>
      </c>
      <c r="D125" s="5" t="s">
        <v>33</v>
      </c>
      <c r="E125" s="7" t="s">
        <v>658</v>
      </c>
      <c r="F125" s="7" t="s">
        <v>663</v>
      </c>
      <c r="G125" s="7" t="s">
        <v>107</v>
      </c>
      <c r="H125" s="8">
        <v>368150</v>
      </c>
      <c r="I125" s="7" t="s">
        <v>73</v>
      </c>
      <c r="J125" s="7" t="s">
        <v>74</v>
      </c>
      <c r="K125" s="7" t="s">
        <v>660</v>
      </c>
      <c r="L125" s="9" t="s">
        <v>661</v>
      </c>
      <c r="M125" s="10">
        <v>45308</v>
      </c>
      <c r="N125" s="7" t="s">
        <v>41</v>
      </c>
      <c r="O125" s="7"/>
      <c r="P125" s="7"/>
      <c r="Q125" s="1">
        <v>327</v>
      </c>
      <c r="R125" s="1">
        <v>187</v>
      </c>
      <c r="S125" s="1"/>
      <c r="T125" s="1"/>
      <c r="U125" s="1">
        <v>193</v>
      </c>
      <c r="V125" s="1"/>
      <c r="W125" s="1"/>
      <c r="X125" s="1"/>
      <c r="Y125" s="1"/>
      <c r="Z125" s="1"/>
      <c r="AA125" s="1"/>
      <c r="AB125" s="1"/>
      <c r="AC125" s="1"/>
      <c r="AD125" s="1"/>
      <c r="AE125" s="1">
        <f t="shared" si="10"/>
        <v>3</v>
      </c>
      <c r="AF125" s="1">
        <f t="shared" si="6"/>
        <v>235.66666666666666</v>
      </c>
      <c r="AG125" s="11" t="str">
        <f t="shared" si="7"/>
        <v>APROVADO</v>
      </c>
    </row>
    <row r="126" spans="2:33" ht="38.25" x14ac:dyDescent="0.25">
      <c r="B126" s="5">
        <v>122</v>
      </c>
      <c r="C126" s="36" t="s">
        <v>664</v>
      </c>
      <c r="D126" s="5" t="s">
        <v>33</v>
      </c>
      <c r="E126" s="5" t="s">
        <v>658</v>
      </c>
      <c r="F126" s="5" t="s">
        <v>665</v>
      </c>
      <c r="G126" s="5" t="s">
        <v>174</v>
      </c>
      <c r="H126" s="17">
        <v>752776.94</v>
      </c>
      <c r="I126" s="7" t="s">
        <v>73</v>
      </c>
      <c r="J126" s="7" t="s">
        <v>74</v>
      </c>
      <c r="K126" s="7" t="s">
        <v>660</v>
      </c>
      <c r="L126" s="9" t="s">
        <v>661</v>
      </c>
      <c r="M126" s="10">
        <v>45308</v>
      </c>
      <c r="N126" s="13" t="s">
        <v>226</v>
      </c>
      <c r="O126" s="5" t="s">
        <v>666</v>
      </c>
      <c r="P126" s="5"/>
      <c r="Q126" s="1">
        <v>0</v>
      </c>
      <c r="R126" s="1">
        <v>187</v>
      </c>
      <c r="S126" s="1"/>
      <c r="T126" s="1"/>
      <c r="U126" s="1"/>
      <c r="V126" s="1"/>
      <c r="W126" s="1"/>
      <c r="X126" s="1"/>
      <c r="Y126" s="1"/>
      <c r="Z126" s="1"/>
      <c r="AA126" s="1"/>
      <c r="AB126" s="1">
        <v>0</v>
      </c>
      <c r="AC126" s="1"/>
      <c r="AD126" s="1"/>
      <c r="AE126" s="1"/>
      <c r="AF126" s="1">
        <f t="shared" si="6"/>
        <v>62.333333333333336</v>
      </c>
      <c r="AG126" s="11" t="str">
        <f t="shared" si="7"/>
        <v>REPROVADO</v>
      </c>
    </row>
    <row r="127" spans="2:33" ht="38.25" x14ac:dyDescent="0.25">
      <c r="B127" s="5">
        <v>123</v>
      </c>
      <c r="C127" s="16" t="s">
        <v>667</v>
      </c>
      <c r="D127" s="5" t="s">
        <v>33</v>
      </c>
      <c r="E127" s="7" t="s">
        <v>668</v>
      </c>
      <c r="F127" s="7" t="s">
        <v>669</v>
      </c>
      <c r="G127" s="7" t="s">
        <v>36</v>
      </c>
      <c r="H127" s="8">
        <v>2241682.9500000002</v>
      </c>
      <c r="I127" s="7" t="s">
        <v>670</v>
      </c>
      <c r="J127" s="7" t="s">
        <v>254</v>
      </c>
      <c r="K127" s="7" t="s">
        <v>671</v>
      </c>
      <c r="L127" s="9" t="s">
        <v>672</v>
      </c>
      <c r="M127" s="10">
        <v>45308</v>
      </c>
      <c r="N127" s="7" t="s">
        <v>82</v>
      </c>
      <c r="O127" s="7" t="s">
        <v>419</v>
      </c>
      <c r="P127" s="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 t="e">
        <f t="shared" si="6"/>
        <v>#DIV/0!</v>
      </c>
      <c r="AG127" s="11" t="e">
        <f t="shared" si="7"/>
        <v>#DIV/0!</v>
      </c>
    </row>
    <row r="128" spans="2:33" ht="25.5" x14ac:dyDescent="0.25">
      <c r="B128" s="5">
        <v>124</v>
      </c>
      <c r="C128" s="16" t="s">
        <v>673</v>
      </c>
      <c r="D128" s="5" t="s">
        <v>33</v>
      </c>
      <c r="E128" s="7" t="s">
        <v>674</v>
      </c>
      <c r="F128" s="7" t="s">
        <v>675</v>
      </c>
      <c r="G128" s="7" t="s">
        <v>36</v>
      </c>
      <c r="H128" s="8">
        <v>373709.52</v>
      </c>
      <c r="I128" s="7" t="s">
        <v>676</v>
      </c>
      <c r="J128" s="7" t="s">
        <v>677</v>
      </c>
      <c r="K128" s="7" t="s">
        <v>678</v>
      </c>
      <c r="L128" s="9" t="s">
        <v>679</v>
      </c>
      <c r="M128" s="10">
        <v>45308</v>
      </c>
      <c r="N128" s="7" t="s">
        <v>82</v>
      </c>
      <c r="O128" s="7" t="s">
        <v>83</v>
      </c>
      <c r="P128" s="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 t="e">
        <f t="shared" si="6"/>
        <v>#DIV/0!</v>
      </c>
      <c r="AG128" s="11" t="e">
        <f t="shared" si="7"/>
        <v>#DIV/0!</v>
      </c>
    </row>
    <row r="129" spans="2:33" x14ac:dyDescent="0.25">
      <c r="B129" s="5">
        <v>125</v>
      </c>
      <c r="C129" s="16" t="s">
        <v>680</v>
      </c>
      <c r="D129" s="5" t="s">
        <v>33</v>
      </c>
      <c r="E129" s="7" t="s">
        <v>681</v>
      </c>
      <c r="F129" s="7" t="s">
        <v>682</v>
      </c>
      <c r="G129" s="7" t="s">
        <v>36</v>
      </c>
      <c r="H129" s="8">
        <v>283360</v>
      </c>
      <c r="I129" s="7" t="s">
        <v>486</v>
      </c>
      <c r="J129" s="7" t="s">
        <v>348</v>
      </c>
      <c r="K129" s="7" t="s">
        <v>683</v>
      </c>
      <c r="L129" s="9" t="s">
        <v>684</v>
      </c>
      <c r="M129" s="10">
        <v>45308</v>
      </c>
      <c r="N129" s="7" t="s">
        <v>82</v>
      </c>
      <c r="O129" s="7" t="s">
        <v>83</v>
      </c>
      <c r="P129" s="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 t="e">
        <f t="shared" si="6"/>
        <v>#DIV/0!</v>
      </c>
      <c r="AG129" s="11" t="e">
        <f t="shared" si="7"/>
        <v>#DIV/0!</v>
      </c>
    </row>
    <row r="130" spans="2:33" ht="25.5" x14ac:dyDescent="0.25">
      <c r="B130" s="5">
        <v>126</v>
      </c>
      <c r="C130" s="6" t="s">
        <v>685</v>
      </c>
      <c r="D130" s="5" t="s">
        <v>33</v>
      </c>
      <c r="E130" s="7" t="s">
        <v>686</v>
      </c>
      <c r="F130" s="7" t="s">
        <v>687</v>
      </c>
      <c r="G130" s="7" t="s">
        <v>36</v>
      </c>
      <c r="H130" s="8">
        <v>78244</v>
      </c>
      <c r="I130" s="7" t="s">
        <v>688</v>
      </c>
      <c r="J130" s="7" t="s">
        <v>445</v>
      </c>
      <c r="K130" s="7" t="s">
        <v>689</v>
      </c>
      <c r="L130" s="31" t="s">
        <v>690</v>
      </c>
      <c r="M130" s="10">
        <v>45308</v>
      </c>
      <c r="N130" s="7" t="s">
        <v>67</v>
      </c>
      <c r="O130" s="7" t="s">
        <v>89</v>
      </c>
      <c r="P130" s="7"/>
      <c r="Q130" s="1">
        <v>340</v>
      </c>
      <c r="R130" s="1">
        <v>284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>
        <v>310</v>
      </c>
      <c r="AE130" s="1">
        <f t="shared" ref="AE130:AE141" si="11">COUNT(Q130:AD130)</f>
        <v>3</v>
      </c>
      <c r="AF130" s="1">
        <f t="shared" si="6"/>
        <v>311.33333333333331</v>
      </c>
      <c r="AG130" s="11" t="str">
        <f t="shared" si="7"/>
        <v>APROVADO</v>
      </c>
    </row>
    <row r="131" spans="2:33" ht="25.5" x14ac:dyDescent="0.25">
      <c r="B131" s="5">
        <v>127</v>
      </c>
      <c r="C131" s="27" t="s">
        <v>691</v>
      </c>
      <c r="D131" s="5" t="s">
        <v>33</v>
      </c>
      <c r="E131" s="7" t="s">
        <v>692</v>
      </c>
      <c r="F131" s="7" t="s">
        <v>693</v>
      </c>
      <c r="G131" s="7" t="s">
        <v>36</v>
      </c>
      <c r="H131" s="8">
        <v>1212370</v>
      </c>
      <c r="I131" s="7" t="s">
        <v>73</v>
      </c>
      <c r="J131" s="7" t="s">
        <v>74</v>
      </c>
      <c r="K131" s="7" t="s">
        <v>694</v>
      </c>
      <c r="L131" s="9" t="s">
        <v>695</v>
      </c>
      <c r="M131" s="10">
        <v>45308</v>
      </c>
      <c r="N131" s="7" t="s">
        <v>41</v>
      </c>
      <c r="O131" s="7"/>
      <c r="P131" s="7"/>
      <c r="Q131" s="1">
        <v>302</v>
      </c>
      <c r="R131" s="1">
        <v>103</v>
      </c>
      <c r="S131" s="1"/>
      <c r="T131" s="1"/>
      <c r="U131" s="1">
        <v>99</v>
      </c>
      <c r="V131" s="1"/>
      <c r="W131" s="1"/>
      <c r="X131" s="1"/>
      <c r="Y131" s="1"/>
      <c r="Z131" s="1"/>
      <c r="AA131" s="1"/>
      <c r="AB131" s="1"/>
      <c r="AC131" s="1"/>
      <c r="AD131" s="1"/>
      <c r="AE131" s="1">
        <f t="shared" si="11"/>
        <v>3</v>
      </c>
      <c r="AF131" s="1">
        <f t="shared" si="6"/>
        <v>168</v>
      </c>
      <c r="AG131" s="11" t="str">
        <f t="shared" si="7"/>
        <v>REPROVADO</v>
      </c>
    </row>
    <row r="132" spans="2:33" ht="25.5" x14ac:dyDescent="0.25">
      <c r="B132" s="5">
        <v>128</v>
      </c>
      <c r="C132" s="27" t="s">
        <v>696</v>
      </c>
      <c r="D132" s="5" t="s">
        <v>33</v>
      </c>
      <c r="E132" s="7" t="s">
        <v>692</v>
      </c>
      <c r="F132" s="7" t="s">
        <v>697</v>
      </c>
      <c r="G132" s="7" t="s">
        <v>36</v>
      </c>
      <c r="H132" s="8">
        <v>738607</v>
      </c>
      <c r="I132" s="7" t="s">
        <v>73</v>
      </c>
      <c r="J132" s="7" t="s">
        <v>74</v>
      </c>
      <c r="K132" s="7" t="s">
        <v>694</v>
      </c>
      <c r="L132" s="9" t="s">
        <v>695</v>
      </c>
      <c r="M132" s="10">
        <v>45308</v>
      </c>
      <c r="N132" s="7" t="s">
        <v>41</v>
      </c>
      <c r="O132" s="7"/>
      <c r="P132" s="7"/>
      <c r="Q132" s="1">
        <v>314</v>
      </c>
      <c r="R132" s="1">
        <v>164</v>
      </c>
      <c r="S132" s="1"/>
      <c r="T132" s="1"/>
      <c r="U132" s="1">
        <v>187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f t="shared" si="11"/>
        <v>3</v>
      </c>
      <c r="AF132" s="1">
        <f t="shared" si="6"/>
        <v>221.66666666666666</v>
      </c>
      <c r="AG132" s="11" t="str">
        <f t="shared" si="7"/>
        <v>APROVADO</v>
      </c>
    </row>
    <row r="133" spans="2:33" ht="38.25" x14ac:dyDescent="0.25">
      <c r="B133" s="5">
        <v>129</v>
      </c>
      <c r="C133" s="27" t="s">
        <v>698</v>
      </c>
      <c r="D133" s="5" t="s">
        <v>33</v>
      </c>
      <c r="E133" s="7" t="s">
        <v>699</v>
      </c>
      <c r="F133" s="7" t="s">
        <v>700</v>
      </c>
      <c r="G133" s="7" t="s">
        <v>36</v>
      </c>
      <c r="H133" s="8">
        <v>49990</v>
      </c>
      <c r="I133" s="7" t="s">
        <v>701</v>
      </c>
      <c r="J133" s="7" t="s">
        <v>95</v>
      </c>
      <c r="K133" s="7" t="s">
        <v>702</v>
      </c>
      <c r="L133" s="9" t="s">
        <v>703</v>
      </c>
      <c r="M133" s="10">
        <v>45308</v>
      </c>
      <c r="N133" s="7" t="s">
        <v>41</v>
      </c>
      <c r="O133" s="7"/>
      <c r="P133" s="7"/>
      <c r="Q133" s="1">
        <v>254</v>
      </c>
      <c r="R133" s="1">
        <v>144</v>
      </c>
      <c r="S133" s="1"/>
      <c r="T133" s="1"/>
      <c r="U133" s="1">
        <v>151</v>
      </c>
      <c r="V133" s="1"/>
      <c r="W133" s="1"/>
      <c r="X133" s="1"/>
      <c r="Y133" s="1"/>
      <c r="Z133" s="1"/>
      <c r="AA133" s="1"/>
      <c r="AB133" s="1"/>
      <c r="AC133" s="1"/>
      <c r="AD133" s="1"/>
      <c r="AE133" s="1">
        <f t="shared" si="11"/>
        <v>3</v>
      </c>
      <c r="AF133" s="1">
        <f t="shared" ref="AF133:AF196" si="12">AVERAGE(Q133:AD133)</f>
        <v>183</v>
      </c>
      <c r="AG133" s="11" t="str">
        <f t="shared" ref="AG133:AG196" si="13">IF(AF133&gt;=$AG$1,"APROVADO","REPROVADO")</f>
        <v>REPROVADO</v>
      </c>
    </row>
    <row r="134" spans="2:33" ht="38.25" x14ac:dyDescent="0.25">
      <c r="B134" s="5">
        <v>130</v>
      </c>
      <c r="C134" s="27" t="s">
        <v>704</v>
      </c>
      <c r="D134" s="5" t="s">
        <v>33</v>
      </c>
      <c r="E134" s="7" t="s">
        <v>699</v>
      </c>
      <c r="F134" s="7" t="s">
        <v>705</v>
      </c>
      <c r="G134" s="7" t="s">
        <v>36</v>
      </c>
      <c r="H134" s="8">
        <v>91188.36</v>
      </c>
      <c r="I134" s="7" t="s">
        <v>701</v>
      </c>
      <c r="J134" s="7" t="s">
        <v>95</v>
      </c>
      <c r="K134" s="7" t="s">
        <v>702</v>
      </c>
      <c r="L134" s="9" t="s">
        <v>703</v>
      </c>
      <c r="M134" s="10">
        <v>45308</v>
      </c>
      <c r="N134" s="7" t="s">
        <v>41</v>
      </c>
      <c r="O134" s="7"/>
      <c r="P134" s="7"/>
      <c r="Q134" s="1">
        <v>340</v>
      </c>
      <c r="R134" s="1">
        <v>240</v>
      </c>
      <c r="S134" s="1"/>
      <c r="T134" s="1"/>
      <c r="U134" s="1">
        <v>249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f t="shared" si="11"/>
        <v>3</v>
      </c>
      <c r="AF134" s="1">
        <f t="shared" si="12"/>
        <v>276.33333333333331</v>
      </c>
      <c r="AG134" s="11" t="str">
        <f t="shared" si="13"/>
        <v>APROVADO</v>
      </c>
    </row>
    <row r="135" spans="2:33" ht="38.25" x14ac:dyDescent="0.25">
      <c r="B135" s="5">
        <v>131</v>
      </c>
      <c r="C135" s="27" t="s">
        <v>706</v>
      </c>
      <c r="D135" s="5" t="s">
        <v>33</v>
      </c>
      <c r="E135" s="7" t="s">
        <v>707</v>
      </c>
      <c r="F135" s="7" t="s">
        <v>708</v>
      </c>
      <c r="G135" s="7" t="s">
        <v>36</v>
      </c>
      <c r="H135" s="8">
        <v>711386.16</v>
      </c>
      <c r="I135" s="7" t="s">
        <v>701</v>
      </c>
      <c r="J135" s="7" t="s">
        <v>95</v>
      </c>
      <c r="K135" s="7" t="s">
        <v>709</v>
      </c>
      <c r="L135" s="9" t="s">
        <v>710</v>
      </c>
      <c r="M135" s="10">
        <v>45308</v>
      </c>
      <c r="N135" s="7" t="s">
        <v>41</v>
      </c>
      <c r="O135" s="7"/>
      <c r="P135" s="7"/>
      <c r="Q135" s="1">
        <v>316</v>
      </c>
      <c r="R135" s="1">
        <v>227</v>
      </c>
      <c r="S135" s="1"/>
      <c r="T135" s="1"/>
      <c r="U135" s="1">
        <v>232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f t="shared" si="11"/>
        <v>3</v>
      </c>
      <c r="AF135" s="1">
        <f t="shared" si="12"/>
        <v>258.33333333333331</v>
      </c>
      <c r="AG135" s="11" t="str">
        <f t="shared" si="13"/>
        <v>APROVADO</v>
      </c>
    </row>
    <row r="136" spans="2:33" ht="38.25" x14ac:dyDescent="0.25">
      <c r="B136" s="5">
        <v>132</v>
      </c>
      <c r="C136" s="24" t="s">
        <v>711</v>
      </c>
      <c r="D136" s="5" t="s">
        <v>51</v>
      </c>
      <c r="E136" s="13" t="s">
        <v>712</v>
      </c>
      <c r="F136" s="13" t="s">
        <v>713</v>
      </c>
      <c r="G136" s="14" t="s">
        <v>107</v>
      </c>
      <c r="H136" s="28">
        <v>174295.5</v>
      </c>
      <c r="I136" s="29" t="s">
        <v>701</v>
      </c>
      <c r="J136" s="11" t="s">
        <v>95</v>
      </c>
      <c r="K136" s="13" t="s">
        <v>714</v>
      </c>
      <c r="L136" s="13" t="s">
        <v>715</v>
      </c>
      <c r="M136" s="26">
        <v>45308</v>
      </c>
      <c r="N136" s="13" t="s">
        <v>41</v>
      </c>
      <c r="O136" s="14"/>
      <c r="P136" s="13"/>
      <c r="Q136" s="1">
        <v>339</v>
      </c>
      <c r="R136" s="1">
        <v>271</v>
      </c>
      <c r="S136" s="1"/>
      <c r="T136" s="1"/>
      <c r="U136" s="1">
        <v>261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f t="shared" si="11"/>
        <v>3</v>
      </c>
      <c r="AF136" s="1">
        <f t="shared" si="12"/>
        <v>290.33333333333331</v>
      </c>
      <c r="AG136" s="11" t="str">
        <f t="shared" si="13"/>
        <v>APROVADO</v>
      </c>
    </row>
    <row r="137" spans="2:33" ht="38.25" x14ac:dyDescent="0.25">
      <c r="B137" s="5">
        <v>133</v>
      </c>
      <c r="C137" s="24" t="s">
        <v>716</v>
      </c>
      <c r="D137" s="5" t="s">
        <v>51</v>
      </c>
      <c r="E137" s="13" t="s">
        <v>712</v>
      </c>
      <c r="F137" s="13" t="s">
        <v>717</v>
      </c>
      <c r="G137" s="14" t="s">
        <v>72</v>
      </c>
      <c r="H137" s="28">
        <v>324000</v>
      </c>
      <c r="I137" s="29" t="s">
        <v>701</v>
      </c>
      <c r="J137" s="11" t="s">
        <v>95</v>
      </c>
      <c r="K137" s="13" t="s">
        <v>718</v>
      </c>
      <c r="L137" s="13" t="s">
        <v>719</v>
      </c>
      <c r="M137" s="26">
        <v>45308</v>
      </c>
      <c r="N137" s="13" t="s">
        <v>41</v>
      </c>
      <c r="O137" s="13"/>
      <c r="P137" s="13"/>
      <c r="Q137" s="1">
        <v>285</v>
      </c>
      <c r="R137" s="1">
        <v>268</v>
      </c>
      <c r="S137" s="1"/>
      <c r="T137" s="1"/>
      <c r="U137" s="1">
        <v>260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f t="shared" si="11"/>
        <v>3</v>
      </c>
      <c r="AF137" s="1">
        <f t="shared" si="12"/>
        <v>271</v>
      </c>
      <c r="AG137" s="11" t="str">
        <f t="shared" si="13"/>
        <v>APROVADO</v>
      </c>
    </row>
    <row r="138" spans="2:33" ht="39" x14ac:dyDescent="0.25">
      <c r="B138" s="5">
        <v>134</v>
      </c>
      <c r="C138" s="22" t="s">
        <v>720</v>
      </c>
      <c r="D138" s="5" t="s">
        <v>51</v>
      </c>
      <c r="E138" s="13" t="s">
        <v>712</v>
      </c>
      <c r="F138" s="14" t="s">
        <v>721</v>
      </c>
      <c r="G138" s="14" t="s">
        <v>62</v>
      </c>
      <c r="H138" s="28">
        <v>600000</v>
      </c>
      <c r="I138" s="29" t="s">
        <v>701</v>
      </c>
      <c r="J138" s="11" t="s">
        <v>95</v>
      </c>
      <c r="K138" s="13" t="s">
        <v>722</v>
      </c>
      <c r="L138" s="13" t="s">
        <v>723</v>
      </c>
      <c r="M138" s="26">
        <v>45308</v>
      </c>
      <c r="N138" s="13" t="s">
        <v>57</v>
      </c>
      <c r="O138" s="14" t="s">
        <v>724</v>
      </c>
      <c r="P138" s="13"/>
      <c r="Q138" s="1">
        <v>305</v>
      </c>
      <c r="R138" s="1">
        <v>249</v>
      </c>
      <c r="S138" s="1"/>
      <c r="T138" s="1"/>
      <c r="U138" s="1"/>
      <c r="V138" s="1"/>
      <c r="W138" s="1"/>
      <c r="X138" s="1"/>
      <c r="Y138" s="1">
        <v>340</v>
      </c>
      <c r="Z138" s="1"/>
      <c r="AA138" s="1"/>
      <c r="AB138" s="1"/>
      <c r="AC138" s="1"/>
      <c r="AD138" s="1"/>
      <c r="AE138" s="1">
        <f t="shared" si="11"/>
        <v>3</v>
      </c>
      <c r="AF138" s="1">
        <f t="shared" si="12"/>
        <v>298</v>
      </c>
      <c r="AG138" s="11" t="str">
        <f t="shared" si="13"/>
        <v>APROVADO</v>
      </c>
    </row>
    <row r="139" spans="2:33" x14ac:dyDescent="0.25">
      <c r="B139" s="5">
        <v>135</v>
      </c>
      <c r="C139" s="6" t="s">
        <v>725</v>
      </c>
      <c r="D139" s="5" t="s">
        <v>51</v>
      </c>
      <c r="E139" s="7" t="s">
        <v>726</v>
      </c>
      <c r="F139" s="7" t="s">
        <v>727</v>
      </c>
      <c r="G139" s="7" t="s">
        <v>62</v>
      </c>
      <c r="H139" s="28">
        <v>465571.15</v>
      </c>
      <c r="I139" s="7" t="s">
        <v>728</v>
      </c>
      <c r="J139" s="11" t="s">
        <v>123</v>
      </c>
      <c r="K139" s="7" t="s">
        <v>729</v>
      </c>
      <c r="L139" s="7" t="s">
        <v>730</v>
      </c>
      <c r="M139" s="10">
        <v>45308</v>
      </c>
      <c r="N139" s="7" t="s">
        <v>57</v>
      </c>
      <c r="O139" s="7" t="s">
        <v>518</v>
      </c>
      <c r="P139" s="13"/>
      <c r="Q139" s="1">
        <v>340</v>
      </c>
      <c r="R139" s="1"/>
      <c r="S139" s="1"/>
      <c r="T139" s="1"/>
      <c r="U139" s="1"/>
      <c r="V139" s="1">
        <v>340</v>
      </c>
      <c r="W139" s="1">
        <v>340</v>
      </c>
      <c r="X139" s="1"/>
      <c r="Y139" s="1"/>
      <c r="Z139" s="1"/>
      <c r="AA139" s="1"/>
      <c r="AB139" s="1"/>
      <c r="AC139" s="1"/>
      <c r="AD139" s="1"/>
      <c r="AE139" s="1">
        <f t="shared" si="11"/>
        <v>3</v>
      </c>
      <c r="AF139" s="1">
        <f t="shared" si="12"/>
        <v>340</v>
      </c>
      <c r="AG139" s="11" t="str">
        <f t="shared" si="13"/>
        <v>APROVADO</v>
      </c>
    </row>
    <row r="140" spans="2:33" ht="25.5" x14ac:dyDescent="0.25">
      <c r="B140" s="5">
        <v>136</v>
      </c>
      <c r="C140" s="6" t="s">
        <v>731</v>
      </c>
      <c r="D140" s="5" t="s">
        <v>51</v>
      </c>
      <c r="E140" s="7" t="s">
        <v>726</v>
      </c>
      <c r="F140" s="7" t="s">
        <v>732</v>
      </c>
      <c r="G140" s="7" t="s">
        <v>107</v>
      </c>
      <c r="H140" s="28">
        <v>3287929.33</v>
      </c>
      <c r="I140" s="13" t="s">
        <v>728</v>
      </c>
      <c r="J140" s="11" t="s">
        <v>123</v>
      </c>
      <c r="K140" s="7" t="s">
        <v>729</v>
      </c>
      <c r="L140" s="7" t="s">
        <v>730</v>
      </c>
      <c r="M140" s="26">
        <v>45308</v>
      </c>
      <c r="N140" s="7" t="s">
        <v>57</v>
      </c>
      <c r="O140" s="7" t="s">
        <v>518</v>
      </c>
      <c r="P140" s="13"/>
      <c r="Q140" s="1">
        <v>285</v>
      </c>
      <c r="R140" s="1"/>
      <c r="S140" s="1"/>
      <c r="T140" s="1"/>
      <c r="U140" s="1"/>
      <c r="V140" s="1">
        <v>305</v>
      </c>
      <c r="W140" s="1">
        <v>295</v>
      </c>
      <c r="X140" s="1"/>
      <c r="Y140" s="1"/>
      <c r="Z140" s="1"/>
      <c r="AA140" s="1"/>
      <c r="AB140" s="1"/>
      <c r="AC140" s="1"/>
      <c r="AD140" s="1"/>
      <c r="AE140" s="1">
        <f t="shared" si="11"/>
        <v>3</v>
      </c>
      <c r="AF140" s="1">
        <f t="shared" si="12"/>
        <v>295</v>
      </c>
      <c r="AG140" s="11" t="str">
        <f t="shared" si="13"/>
        <v>APROVADO</v>
      </c>
    </row>
    <row r="141" spans="2:33" x14ac:dyDescent="0.25">
      <c r="B141" s="5">
        <v>137</v>
      </c>
      <c r="C141" s="6" t="s">
        <v>733</v>
      </c>
      <c r="D141" s="5" t="s">
        <v>51</v>
      </c>
      <c r="E141" s="7" t="s">
        <v>726</v>
      </c>
      <c r="F141" s="7" t="s">
        <v>734</v>
      </c>
      <c r="G141" s="7" t="s">
        <v>107</v>
      </c>
      <c r="H141" s="28">
        <v>348245</v>
      </c>
      <c r="I141" s="13" t="s">
        <v>728</v>
      </c>
      <c r="J141" s="11" t="s">
        <v>123</v>
      </c>
      <c r="K141" s="7" t="s">
        <v>729</v>
      </c>
      <c r="L141" s="7" t="s">
        <v>730</v>
      </c>
      <c r="M141" s="26">
        <v>45308</v>
      </c>
      <c r="N141" s="13" t="s">
        <v>57</v>
      </c>
      <c r="O141" s="14" t="s">
        <v>735</v>
      </c>
      <c r="P141" s="13"/>
      <c r="Q141" s="1">
        <v>308</v>
      </c>
      <c r="R141" s="1"/>
      <c r="S141" s="1"/>
      <c r="T141" s="1"/>
      <c r="U141" s="1"/>
      <c r="V141" s="1"/>
      <c r="W141" s="1"/>
      <c r="X141" s="1"/>
      <c r="Y141" s="1"/>
      <c r="Z141" s="1">
        <v>303</v>
      </c>
      <c r="AA141" s="1"/>
      <c r="AB141" s="1"/>
      <c r="AC141" s="1">
        <v>336</v>
      </c>
      <c r="AD141" s="1"/>
      <c r="AE141" s="1">
        <f t="shared" si="11"/>
        <v>3</v>
      </c>
      <c r="AF141" s="1">
        <f t="shared" si="12"/>
        <v>315.66666666666669</v>
      </c>
      <c r="AG141" s="11" t="str">
        <f t="shared" si="13"/>
        <v>APROVADO</v>
      </c>
    </row>
    <row r="142" spans="2:33" ht="25.5" x14ac:dyDescent="0.25">
      <c r="B142" s="5">
        <v>138</v>
      </c>
      <c r="C142" s="35" t="s">
        <v>736</v>
      </c>
      <c r="D142" s="5" t="s">
        <v>33</v>
      </c>
      <c r="E142" s="7" t="s">
        <v>737</v>
      </c>
      <c r="F142" s="7" t="s">
        <v>738</v>
      </c>
      <c r="G142" s="7" t="s">
        <v>107</v>
      </c>
      <c r="H142" s="8">
        <v>396180.65</v>
      </c>
      <c r="I142" s="7" t="s">
        <v>73</v>
      </c>
      <c r="J142" s="5" t="s">
        <v>74</v>
      </c>
      <c r="K142" s="7" t="s">
        <v>739</v>
      </c>
      <c r="L142" s="9" t="s">
        <v>740</v>
      </c>
      <c r="M142" s="10">
        <v>45308</v>
      </c>
      <c r="N142" s="7" t="s">
        <v>82</v>
      </c>
      <c r="O142" s="7" t="s">
        <v>83</v>
      </c>
      <c r="P142" s="9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 t="e">
        <f t="shared" si="12"/>
        <v>#DIV/0!</v>
      </c>
      <c r="AG142" s="11" t="e">
        <f t="shared" si="13"/>
        <v>#DIV/0!</v>
      </c>
    </row>
    <row r="143" spans="2:33" ht="25.5" x14ac:dyDescent="0.25">
      <c r="B143" s="5">
        <v>139</v>
      </c>
      <c r="C143" s="6" t="s">
        <v>741</v>
      </c>
      <c r="D143" s="5" t="s">
        <v>33</v>
      </c>
      <c r="E143" s="5" t="s">
        <v>742</v>
      </c>
      <c r="F143" s="5" t="s">
        <v>743</v>
      </c>
      <c r="G143" s="7" t="s">
        <v>107</v>
      </c>
      <c r="H143" s="8">
        <v>195000</v>
      </c>
      <c r="I143" s="7" t="s">
        <v>73</v>
      </c>
      <c r="J143" s="7" t="s">
        <v>74</v>
      </c>
      <c r="K143" s="7" t="s">
        <v>744</v>
      </c>
      <c r="L143" s="9" t="s">
        <v>745</v>
      </c>
      <c r="M143" s="10">
        <v>45308</v>
      </c>
      <c r="N143" s="5" t="s">
        <v>67</v>
      </c>
      <c r="O143" s="7" t="s">
        <v>746</v>
      </c>
      <c r="P143" s="7"/>
      <c r="Q143" s="1">
        <v>223</v>
      </c>
      <c r="R143" s="1">
        <v>242</v>
      </c>
      <c r="S143" s="1">
        <v>170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>
        <f t="shared" ref="AE143:AE157" si="14">COUNT(Q143:AD143)</f>
        <v>3</v>
      </c>
      <c r="AF143" s="1">
        <f t="shared" si="12"/>
        <v>211.66666666666666</v>
      </c>
      <c r="AG143" s="11" t="str">
        <f t="shared" si="13"/>
        <v>APROVADO</v>
      </c>
    </row>
    <row r="144" spans="2:33" ht="38.25" x14ac:dyDescent="0.25">
      <c r="B144" s="5">
        <v>140</v>
      </c>
      <c r="C144" s="6" t="s">
        <v>747</v>
      </c>
      <c r="D144" s="5" t="s">
        <v>33</v>
      </c>
      <c r="E144" s="7" t="s">
        <v>748</v>
      </c>
      <c r="F144" s="7" t="s">
        <v>749</v>
      </c>
      <c r="G144" s="7" t="s">
        <v>36</v>
      </c>
      <c r="H144" s="8">
        <v>181500</v>
      </c>
      <c r="I144" s="7" t="s">
        <v>750</v>
      </c>
      <c r="J144" s="7" t="s">
        <v>223</v>
      </c>
      <c r="K144" s="7" t="s">
        <v>751</v>
      </c>
      <c r="L144" s="9" t="s">
        <v>752</v>
      </c>
      <c r="M144" s="10">
        <v>45308</v>
      </c>
      <c r="N144" s="7" t="s">
        <v>67</v>
      </c>
      <c r="O144" s="7" t="s">
        <v>98</v>
      </c>
      <c r="P144" s="7"/>
      <c r="Q144" s="1"/>
      <c r="R144" s="1">
        <v>224</v>
      </c>
      <c r="S144" s="1"/>
      <c r="T144" s="1"/>
      <c r="U144" s="1"/>
      <c r="V144" s="1"/>
      <c r="W144" s="1"/>
      <c r="X144" s="1">
        <v>310</v>
      </c>
      <c r="Y144" s="1">
        <v>334</v>
      </c>
      <c r="Z144" s="1"/>
      <c r="AA144" s="1"/>
      <c r="AB144" s="1"/>
      <c r="AC144" s="1"/>
      <c r="AD144" s="1"/>
      <c r="AE144" s="1">
        <f t="shared" si="14"/>
        <v>3</v>
      </c>
      <c r="AF144" s="1">
        <f t="shared" si="12"/>
        <v>289.33333333333331</v>
      </c>
      <c r="AG144" s="11" t="str">
        <f t="shared" si="13"/>
        <v>APROVADO</v>
      </c>
    </row>
    <row r="145" spans="2:33" ht="26.25" x14ac:dyDescent="0.25">
      <c r="B145" s="5">
        <v>141</v>
      </c>
      <c r="C145" s="24" t="s">
        <v>753</v>
      </c>
      <c r="D145" s="5" t="s">
        <v>51</v>
      </c>
      <c r="E145" s="13" t="s">
        <v>754</v>
      </c>
      <c r="F145" s="14" t="s">
        <v>755</v>
      </c>
      <c r="G145" s="14" t="s">
        <v>36</v>
      </c>
      <c r="H145" s="28">
        <v>50000</v>
      </c>
      <c r="I145" s="29" t="s">
        <v>756</v>
      </c>
      <c r="J145" s="11" t="s">
        <v>47</v>
      </c>
      <c r="K145" s="13" t="s">
        <v>757</v>
      </c>
      <c r="L145" s="13" t="s">
        <v>719</v>
      </c>
      <c r="M145" s="26">
        <v>45308</v>
      </c>
      <c r="N145" s="13" t="s">
        <v>41</v>
      </c>
      <c r="O145" s="14"/>
      <c r="P145" s="13"/>
      <c r="Q145" s="1">
        <v>323</v>
      </c>
      <c r="R145" s="1">
        <v>248</v>
      </c>
      <c r="S145" s="1"/>
      <c r="T145" s="1"/>
      <c r="U145" s="1">
        <v>239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f t="shared" si="14"/>
        <v>3</v>
      </c>
      <c r="AF145" s="1">
        <f t="shared" si="12"/>
        <v>270</v>
      </c>
      <c r="AG145" s="11" t="str">
        <f t="shared" si="13"/>
        <v>APROVADO</v>
      </c>
    </row>
    <row r="146" spans="2:33" ht="25.5" x14ac:dyDescent="0.25">
      <c r="B146" s="5">
        <v>142</v>
      </c>
      <c r="C146" s="27" t="s">
        <v>758</v>
      </c>
      <c r="D146" s="5" t="s">
        <v>33</v>
      </c>
      <c r="E146" s="7" t="s">
        <v>759</v>
      </c>
      <c r="F146" s="7" t="s">
        <v>760</v>
      </c>
      <c r="G146" s="5" t="s">
        <v>62</v>
      </c>
      <c r="H146" s="8">
        <v>442329.56</v>
      </c>
      <c r="I146" s="7" t="s">
        <v>73</v>
      </c>
      <c r="J146" s="7" t="s">
        <v>74</v>
      </c>
      <c r="K146" s="7" t="s">
        <v>761</v>
      </c>
      <c r="L146" s="9" t="s">
        <v>762</v>
      </c>
      <c r="M146" s="10">
        <v>45308</v>
      </c>
      <c r="N146" s="7" t="s">
        <v>41</v>
      </c>
      <c r="O146" s="7"/>
      <c r="P146" s="7"/>
      <c r="Q146" s="1">
        <v>340</v>
      </c>
      <c r="R146" s="1">
        <v>252</v>
      </c>
      <c r="S146" s="1"/>
      <c r="T146" s="1"/>
      <c r="U146" s="1"/>
      <c r="V146" s="1"/>
      <c r="W146" s="1"/>
      <c r="X146" s="1"/>
      <c r="Y146" s="1"/>
      <c r="Z146" s="1"/>
      <c r="AA146" s="1"/>
      <c r="AB146" s="1">
        <v>324</v>
      </c>
      <c r="AC146" s="1"/>
      <c r="AD146" s="1"/>
      <c r="AE146" s="1">
        <f t="shared" si="14"/>
        <v>3</v>
      </c>
      <c r="AF146" s="1">
        <f t="shared" si="12"/>
        <v>305.33333333333331</v>
      </c>
      <c r="AG146" s="11" t="str">
        <f t="shared" si="13"/>
        <v>APROVADO</v>
      </c>
    </row>
    <row r="147" spans="2:33" ht="25.5" x14ac:dyDescent="0.25">
      <c r="B147" s="5">
        <v>143</v>
      </c>
      <c r="C147" s="27" t="s">
        <v>763</v>
      </c>
      <c r="D147" s="5" t="s">
        <v>33</v>
      </c>
      <c r="E147" s="7" t="s">
        <v>764</v>
      </c>
      <c r="F147" s="7" t="s">
        <v>765</v>
      </c>
      <c r="G147" s="7" t="s">
        <v>107</v>
      </c>
      <c r="H147" s="8">
        <v>290550.48</v>
      </c>
      <c r="I147" s="7" t="s">
        <v>73</v>
      </c>
      <c r="J147" s="7" t="s">
        <v>74</v>
      </c>
      <c r="K147" s="7" t="s">
        <v>766</v>
      </c>
      <c r="L147" s="9" t="s">
        <v>767</v>
      </c>
      <c r="M147" s="10">
        <v>45308</v>
      </c>
      <c r="N147" s="7" t="s">
        <v>41</v>
      </c>
      <c r="O147" s="7"/>
      <c r="P147" s="7"/>
      <c r="Q147" s="1">
        <v>324</v>
      </c>
      <c r="R147" s="1">
        <v>179</v>
      </c>
      <c r="S147" s="1"/>
      <c r="T147" s="1"/>
      <c r="U147" s="1">
        <v>177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f t="shared" si="14"/>
        <v>3</v>
      </c>
      <c r="AF147" s="1">
        <f t="shared" si="12"/>
        <v>226.66666666666666</v>
      </c>
      <c r="AG147" s="11" t="str">
        <f t="shared" si="13"/>
        <v>APROVADO</v>
      </c>
    </row>
    <row r="148" spans="2:33" ht="25.5" x14ac:dyDescent="0.25">
      <c r="B148" s="5">
        <v>144</v>
      </c>
      <c r="C148" s="24" t="s">
        <v>768</v>
      </c>
      <c r="D148" s="5" t="s">
        <v>51</v>
      </c>
      <c r="E148" s="13" t="s">
        <v>769</v>
      </c>
      <c r="F148" s="13" t="s">
        <v>770</v>
      </c>
      <c r="G148" s="14" t="s">
        <v>107</v>
      </c>
      <c r="H148" s="28">
        <v>137325.73000000001</v>
      </c>
      <c r="I148" s="13" t="s">
        <v>771</v>
      </c>
      <c r="J148" s="11" t="s">
        <v>202</v>
      </c>
      <c r="K148" s="13" t="s">
        <v>772</v>
      </c>
      <c r="L148" s="13" t="s">
        <v>773</v>
      </c>
      <c r="M148" s="26">
        <v>45308</v>
      </c>
      <c r="N148" s="13" t="s">
        <v>41</v>
      </c>
      <c r="O148" s="14"/>
      <c r="P148" s="13"/>
      <c r="Q148" s="1">
        <v>324</v>
      </c>
      <c r="R148" s="1">
        <v>123</v>
      </c>
      <c r="S148" s="1"/>
      <c r="T148" s="1"/>
      <c r="U148" s="1">
        <v>128</v>
      </c>
      <c r="V148" s="1"/>
      <c r="W148" s="1"/>
      <c r="X148" s="1"/>
      <c r="Y148" s="1"/>
      <c r="Z148" s="1"/>
      <c r="AA148" s="1"/>
      <c r="AB148" s="1"/>
      <c r="AC148" s="1"/>
      <c r="AD148" s="1"/>
      <c r="AE148" s="1">
        <f t="shared" si="14"/>
        <v>3</v>
      </c>
      <c r="AF148" s="1">
        <f t="shared" si="12"/>
        <v>191.66666666666666</v>
      </c>
      <c r="AG148" s="11" t="str">
        <f t="shared" si="13"/>
        <v>REPROVADO</v>
      </c>
    </row>
    <row r="149" spans="2:33" ht="25.5" x14ac:dyDescent="0.25">
      <c r="B149" s="5">
        <v>145</v>
      </c>
      <c r="C149" s="24" t="s">
        <v>774</v>
      </c>
      <c r="D149" s="5" t="s">
        <v>51</v>
      </c>
      <c r="E149" s="9" t="s">
        <v>769</v>
      </c>
      <c r="F149" s="13" t="s">
        <v>775</v>
      </c>
      <c r="G149" s="14" t="s">
        <v>776</v>
      </c>
      <c r="H149" s="33">
        <v>212700.49</v>
      </c>
      <c r="I149" s="13" t="s">
        <v>771</v>
      </c>
      <c r="J149" s="11" t="s">
        <v>202</v>
      </c>
      <c r="K149" s="13" t="s">
        <v>772</v>
      </c>
      <c r="L149" s="13" t="s">
        <v>777</v>
      </c>
      <c r="M149" s="26">
        <v>45308</v>
      </c>
      <c r="N149" s="13" t="s">
        <v>41</v>
      </c>
      <c r="O149" s="14"/>
      <c r="P149" s="13" t="s">
        <v>778</v>
      </c>
      <c r="Q149" s="1">
        <v>253</v>
      </c>
      <c r="R149" s="1">
        <v>268</v>
      </c>
      <c r="S149" s="1"/>
      <c r="T149" s="1"/>
      <c r="U149" s="1">
        <v>177</v>
      </c>
      <c r="V149" s="1"/>
      <c r="W149" s="1"/>
      <c r="X149" s="1"/>
      <c r="Y149" s="1"/>
      <c r="Z149" s="1"/>
      <c r="AA149" s="1"/>
      <c r="AB149" s="1"/>
      <c r="AC149" s="1"/>
      <c r="AD149" s="1"/>
      <c r="AE149" s="1">
        <f t="shared" si="14"/>
        <v>3</v>
      </c>
      <c r="AF149" s="1">
        <f t="shared" si="12"/>
        <v>232.66666666666666</v>
      </c>
      <c r="AG149" s="11" t="str">
        <f t="shared" si="13"/>
        <v>APROVADO</v>
      </c>
    </row>
    <row r="150" spans="2:33" ht="25.5" x14ac:dyDescent="0.25">
      <c r="B150" s="5">
        <v>146</v>
      </c>
      <c r="C150" s="6" t="s">
        <v>779</v>
      </c>
      <c r="D150" s="5" t="s">
        <v>33</v>
      </c>
      <c r="E150" s="7" t="s">
        <v>780</v>
      </c>
      <c r="F150" s="7" t="s">
        <v>781</v>
      </c>
      <c r="G150" s="7" t="s">
        <v>107</v>
      </c>
      <c r="H150" s="8">
        <v>0</v>
      </c>
      <c r="I150" s="7" t="s">
        <v>73</v>
      </c>
      <c r="J150" s="7" t="s">
        <v>74</v>
      </c>
      <c r="K150" s="7" t="s">
        <v>782</v>
      </c>
      <c r="L150" s="9" t="s">
        <v>783</v>
      </c>
      <c r="M150" s="10">
        <v>45308</v>
      </c>
      <c r="N150" s="7" t="s">
        <v>67</v>
      </c>
      <c r="O150" s="7" t="s">
        <v>375</v>
      </c>
      <c r="P150" s="7" t="s">
        <v>784</v>
      </c>
      <c r="Q150" s="1">
        <v>269</v>
      </c>
      <c r="R150" s="1">
        <v>86</v>
      </c>
      <c r="S150" s="1"/>
      <c r="T150" s="1"/>
      <c r="U150" s="1"/>
      <c r="V150" s="1"/>
      <c r="W150" s="1"/>
      <c r="X150" s="1"/>
      <c r="Y150" s="1">
        <v>285</v>
      </c>
      <c r="Z150" s="1"/>
      <c r="AA150" s="1"/>
      <c r="AB150" s="1"/>
      <c r="AC150" s="1"/>
      <c r="AD150" s="1"/>
      <c r="AE150" s="1">
        <f t="shared" si="14"/>
        <v>3</v>
      </c>
      <c r="AF150" s="1">
        <f t="shared" si="12"/>
        <v>213.33333333333334</v>
      </c>
      <c r="AG150" s="11" t="str">
        <f t="shared" si="13"/>
        <v>APROVADO</v>
      </c>
    </row>
    <row r="151" spans="2:33" ht="25.5" x14ac:dyDescent="0.25">
      <c r="B151" s="5">
        <v>147</v>
      </c>
      <c r="C151" s="6" t="s">
        <v>785</v>
      </c>
      <c r="D151" s="5" t="s">
        <v>33</v>
      </c>
      <c r="E151" s="7" t="s">
        <v>786</v>
      </c>
      <c r="F151" s="7" t="s">
        <v>787</v>
      </c>
      <c r="G151" s="7" t="s">
        <v>107</v>
      </c>
      <c r="H151" s="8">
        <v>698651</v>
      </c>
      <c r="I151" s="7" t="s">
        <v>73</v>
      </c>
      <c r="J151" s="7" t="s">
        <v>74</v>
      </c>
      <c r="K151" s="7" t="s">
        <v>788</v>
      </c>
      <c r="L151" s="9" t="s">
        <v>789</v>
      </c>
      <c r="M151" s="10">
        <v>45308</v>
      </c>
      <c r="N151" s="7" t="s">
        <v>67</v>
      </c>
      <c r="O151" s="7" t="s">
        <v>68</v>
      </c>
      <c r="P151" s="7"/>
      <c r="Q151" s="1"/>
      <c r="R151" s="1">
        <v>82</v>
      </c>
      <c r="S151" s="1"/>
      <c r="T151" s="1"/>
      <c r="U151" s="1"/>
      <c r="V151" s="1">
        <v>296</v>
      </c>
      <c r="W151" s="1">
        <v>237</v>
      </c>
      <c r="X151" s="1"/>
      <c r="Y151" s="1"/>
      <c r="Z151" s="1"/>
      <c r="AA151" s="1"/>
      <c r="AB151" s="1"/>
      <c r="AC151" s="1"/>
      <c r="AD151" s="1"/>
      <c r="AE151" s="1">
        <f t="shared" si="14"/>
        <v>3</v>
      </c>
      <c r="AF151" s="1">
        <f t="shared" si="12"/>
        <v>205</v>
      </c>
      <c r="AG151" s="11" t="str">
        <f t="shared" si="13"/>
        <v>APROVADO</v>
      </c>
    </row>
    <row r="152" spans="2:33" ht="25.5" x14ac:dyDescent="0.25">
      <c r="B152" s="5">
        <v>148</v>
      </c>
      <c r="C152" s="6" t="s">
        <v>790</v>
      </c>
      <c r="D152" s="5" t="s">
        <v>33</v>
      </c>
      <c r="E152" s="7" t="s">
        <v>791</v>
      </c>
      <c r="F152" s="7" t="s">
        <v>792</v>
      </c>
      <c r="G152" s="7" t="s">
        <v>793</v>
      </c>
      <c r="H152" s="8">
        <v>3027360</v>
      </c>
      <c r="I152" s="7" t="s">
        <v>794</v>
      </c>
      <c r="J152" s="7" t="s">
        <v>795</v>
      </c>
      <c r="K152" s="7" t="s">
        <v>796</v>
      </c>
      <c r="L152" s="9" t="s">
        <v>797</v>
      </c>
      <c r="M152" s="10">
        <v>45308</v>
      </c>
      <c r="N152" s="7" t="s">
        <v>41</v>
      </c>
      <c r="O152" s="7"/>
      <c r="P152" s="7"/>
      <c r="Q152" s="1">
        <v>179</v>
      </c>
      <c r="R152" s="1"/>
      <c r="S152" s="1"/>
      <c r="T152" s="1"/>
      <c r="U152" s="1"/>
      <c r="V152" s="1"/>
      <c r="W152" s="1"/>
      <c r="X152" s="1"/>
      <c r="Y152" s="1"/>
      <c r="Z152" s="1">
        <v>174</v>
      </c>
      <c r="AA152" s="1">
        <v>217</v>
      </c>
      <c r="AB152" s="1"/>
      <c r="AC152" s="1"/>
      <c r="AD152" s="1"/>
      <c r="AE152" s="1">
        <f t="shared" si="14"/>
        <v>3</v>
      </c>
      <c r="AF152" s="1">
        <f t="shared" si="12"/>
        <v>190</v>
      </c>
      <c r="AG152" s="11" t="str">
        <f t="shared" si="13"/>
        <v>REPROVADO</v>
      </c>
    </row>
    <row r="153" spans="2:33" ht="25.5" x14ac:dyDescent="0.25">
      <c r="B153" s="5">
        <v>149</v>
      </c>
      <c r="C153" s="27" t="s">
        <v>798</v>
      </c>
      <c r="D153" s="5" t="s">
        <v>33</v>
      </c>
      <c r="E153" s="7" t="s">
        <v>799</v>
      </c>
      <c r="F153" s="7" t="s">
        <v>800</v>
      </c>
      <c r="G153" s="7" t="s">
        <v>36</v>
      </c>
      <c r="H153" s="8">
        <v>212001.12</v>
      </c>
      <c r="I153" s="7" t="s">
        <v>73</v>
      </c>
      <c r="J153" s="7" t="s">
        <v>74</v>
      </c>
      <c r="K153" s="7" t="s">
        <v>801</v>
      </c>
      <c r="L153" s="9" t="s">
        <v>802</v>
      </c>
      <c r="M153" s="10">
        <v>45308</v>
      </c>
      <c r="N153" s="7" t="s">
        <v>41</v>
      </c>
      <c r="O153" s="7"/>
      <c r="P153" s="7"/>
      <c r="Q153" s="1">
        <v>322</v>
      </c>
      <c r="R153" s="1">
        <v>174</v>
      </c>
      <c r="S153" s="1"/>
      <c r="T153" s="1"/>
      <c r="U153" s="1">
        <v>164</v>
      </c>
      <c r="V153" s="1"/>
      <c r="W153" s="1"/>
      <c r="X153" s="1"/>
      <c r="Y153" s="1"/>
      <c r="Z153" s="1"/>
      <c r="AA153" s="1"/>
      <c r="AB153" s="1"/>
      <c r="AC153" s="1"/>
      <c r="AD153" s="1"/>
      <c r="AE153" s="1">
        <f t="shared" si="14"/>
        <v>3</v>
      </c>
      <c r="AF153" s="1">
        <f t="shared" si="12"/>
        <v>220</v>
      </c>
      <c r="AG153" s="11" t="str">
        <f t="shared" si="13"/>
        <v>APROVADO</v>
      </c>
    </row>
    <row r="154" spans="2:33" ht="25.5" x14ac:dyDescent="0.25">
      <c r="B154" s="5">
        <v>150</v>
      </c>
      <c r="C154" s="27" t="s">
        <v>803</v>
      </c>
      <c r="D154" s="5" t="s">
        <v>33</v>
      </c>
      <c r="E154" s="7" t="s">
        <v>799</v>
      </c>
      <c r="F154" s="7" t="s">
        <v>804</v>
      </c>
      <c r="G154" s="7" t="s">
        <v>300</v>
      </c>
      <c r="H154" s="8">
        <v>997772.88</v>
      </c>
      <c r="I154" s="7" t="s">
        <v>73</v>
      </c>
      <c r="J154" s="7" t="s">
        <v>74</v>
      </c>
      <c r="K154" s="7" t="s">
        <v>801</v>
      </c>
      <c r="L154" s="9" t="s">
        <v>802</v>
      </c>
      <c r="M154" s="10">
        <v>45308</v>
      </c>
      <c r="N154" s="7" t="s">
        <v>41</v>
      </c>
      <c r="O154" s="7"/>
      <c r="P154" s="7"/>
      <c r="Q154" s="1">
        <v>286</v>
      </c>
      <c r="R154" s="1">
        <v>255</v>
      </c>
      <c r="S154" s="1"/>
      <c r="T154" s="1"/>
      <c r="U154" s="1">
        <v>231</v>
      </c>
      <c r="V154" s="1"/>
      <c r="W154" s="1"/>
      <c r="X154" s="1"/>
      <c r="Y154" s="1"/>
      <c r="Z154" s="1"/>
      <c r="AA154" s="1"/>
      <c r="AB154" s="1"/>
      <c r="AC154" s="1"/>
      <c r="AD154" s="1"/>
      <c r="AE154" s="1">
        <f t="shared" si="14"/>
        <v>3</v>
      </c>
      <c r="AF154" s="1">
        <f t="shared" si="12"/>
        <v>257.33333333333331</v>
      </c>
      <c r="AG154" s="11" t="str">
        <f t="shared" si="13"/>
        <v>APROVADO</v>
      </c>
    </row>
    <row r="155" spans="2:33" ht="25.5" x14ac:dyDescent="0.25">
      <c r="B155" s="5">
        <v>151</v>
      </c>
      <c r="C155" s="27" t="s">
        <v>805</v>
      </c>
      <c r="D155" s="5" t="s">
        <v>33</v>
      </c>
      <c r="E155" s="7" t="s">
        <v>799</v>
      </c>
      <c r="F155" s="7" t="s">
        <v>806</v>
      </c>
      <c r="G155" s="7" t="s">
        <v>36</v>
      </c>
      <c r="H155" s="8">
        <v>482556.27</v>
      </c>
      <c r="I155" s="7" t="s">
        <v>73</v>
      </c>
      <c r="J155" s="7" t="s">
        <v>74</v>
      </c>
      <c r="K155" s="7" t="s">
        <v>801</v>
      </c>
      <c r="L155" s="9" t="s">
        <v>802</v>
      </c>
      <c r="M155" s="10">
        <v>45308</v>
      </c>
      <c r="N155" s="7" t="s">
        <v>41</v>
      </c>
      <c r="O155" s="7"/>
      <c r="P155" s="7"/>
      <c r="Q155" s="1">
        <v>327</v>
      </c>
      <c r="R155" s="1">
        <v>152</v>
      </c>
      <c r="S155" s="1"/>
      <c r="T155" s="1"/>
      <c r="U155" s="1"/>
      <c r="V155" s="1"/>
      <c r="W155" s="1"/>
      <c r="X155" s="1"/>
      <c r="Y155" s="1"/>
      <c r="Z155" s="1">
        <v>173</v>
      </c>
      <c r="AA155" s="1"/>
      <c r="AB155" s="1"/>
      <c r="AC155" s="1"/>
      <c r="AD155" s="1"/>
      <c r="AE155" s="1">
        <f t="shared" si="14"/>
        <v>3</v>
      </c>
      <c r="AF155" s="1">
        <f t="shared" si="12"/>
        <v>217.33333333333334</v>
      </c>
      <c r="AG155" s="11" t="str">
        <f t="shared" si="13"/>
        <v>APROVADO</v>
      </c>
    </row>
    <row r="156" spans="2:33" ht="38.25" x14ac:dyDescent="0.25">
      <c r="B156" s="5">
        <v>152</v>
      </c>
      <c r="C156" s="22" t="s">
        <v>807</v>
      </c>
      <c r="D156" s="5" t="s">
        <v>51</v>
      </c>
      <c r="E156" s="13" t="s">
        <v>808</v>
      </c>
      <c r="F156" s="13" t="s">
        <v>809</v>
      </c>
      <c r="G156" s="14" t="s">
        <v>36</v>
      </c>
      <c r="H156" s="28">
        <v>72659.16</v>
      </c>
      <c r="I156" s="29" t="s">
        <v>810</v>
      </c>
      <c r="J156" s="11" t="s">
        <v>95</v>
      </c>
      <c r="K156" s="13" t="s">
        <v>811</v>
      </c>
      <c r="L156" s="13" t="s">
        <v>812</v>
      </c>
      <c r="M156" s="26">
        <v>45308</v>
      </c>
      <c r="N156" s="7" t="s">
        <v>41</v>
      </c>
      <c r="O156" s="14" t="s">
        <v>813</v>
      </c>
      <c r="P156" s="13" t="s">
        <v>814</v>
      </c>
      <c r="Q156" s="1">
        <v>322</v>
      </c>
      <c r="R156" s="1"/>
      <c r="S156" s="1">
        <v>216</v>
      </c>
      <c r="T156" s="1"/>
      <c r="U156" s="1"/>
      <c r="V156" s="1"/>
      <c r="W156" s="1"/>
      <c r="X156" s="1"/>
      <c r="Y156" s="1"/>
      <c r="Z156" s="1"/>
      <c r="AA156" s="1"/>
      <c r="AB156" s="1">
        <v>222</v>
      </c>
      <c r="AC156" s="1"/>
      <c r="AD156" s="1"/>
      <c r="AE156" s="1">
        <f t="shared" si="14"/>
        <v>3</v>
      </c>
      <c r="AF156" s="1">
        <f t="shared" si="12"/>
        <v>253.33333333333334</v>
      </c>
      <c r="AG156" s="11" t="str">
        <f t="shared" si="13"/>
        <v>APROVADO</v>
      </c>
    </row>
    <row r="157" spans="2:33" ht="38.25" x14ac:dyDescent="0.25">
      <c r="B157" s="5">
        <v>153</v>
      </c>
      <c r="C157" s="22" t="s">
        <v>815</v>
      </c>
      <c r="D157" s="5" t="s">
        <v>51</v>
      </c>
      <c r="E157" s="13" t="s">
        <v>808</v>
      </c>
      <c r="F157" s="14" t="s">
        <v>816</v>
      </c>
      <c r="G157" s="14" t="s">
        <v>36</v>
      </c>
      <c r="H157" s="28">
        <v>360000</v>
      </c>
      <c r="I157" s="29" t="s">
        <v>810</v>
      </c>
      <c r="J157" s="11" t="s">
        <v>95</v>
      </c>
      <c r="K157" s="13" t="s">
        <v>811</v>
      </c>
      <c r="L157" s="13" t="s">
        <v>777</v>
      </c>
      <c r="M157" s="26">
        <v>45308</v>
      </c>
      <c r="N157" s="7" t="s">
        <v>41</v>
      </c>
      <c r="O157" s="14" t="s">
        <v>813</v>
      </c>
      <c r="P157" s="13" t="s">
        <v>817</v>
      </c>
      <c r="Q157" s="1">
        <v>224</v>
      </c>
      <c r="R157" s="1"/>
      <c r="S157" s="1">
        <v>223</v>
      </c>
      <c r="T157" s="1"/>
      <c r="U157" s="1"/>
      <c r="V157" s="1"/>
      <c r="W157" s="1"/>
      <c r="X157" s="1"/>
      <c r="Y157" s="1"/>
      <c r="Z157" s="1"/>
      <c r="AA157" s="1"/>
      <c r="AB157" s="1">
        <v>217</v>
      </c>
      <c r="AC157" s="1"/>
      <c r="AD157" s="1"/>
      <c r="AE157" s="1">
        <f t="shared" si="14"/>
        <v>3</v>
      </c>
      <c r="AF157" s="1">
        <f t="shared" si="12"/>
        <v>221.33333333333334</v>
      </c>
      <c r="AG157" s="11" t="str">
        <f t="shared" si="13"/>
        <v>APROVADO</v>
      </c>
    </row>
    <row r="158" spans="2:33" x14ac:dyDescent="0.25">
      <c r="B158" s="5">
        <v>154</v>
      </c>
      <c r="C158" s="16" t="s">
        <v>818</v>
      </c>
      <c r="D158" s="5" t="s">
        <v>33</v>
      </c>
      <c r="E158" s="7" t="s">
        <v>819</v>
      </c>
      <c r="F158" s="7" t="s">
        <v>820</v>
      </c>
      <c r="G158" s="7" t="s">
        <v>36</v>
      </c>
      <c r="H158" s="8">
        <v>629084.76</v>
      </c>
      <c r="I158" s="7" t="s">
        <v>37</v>
      </c>
      <c r="J158" s="7" t="s">
        <v>38</v>
      </c>
      <c r="K158" s="7" t="s">
        <v>821</v>
      </c>
      <c r="L158" s="9" t="s">
        <v>822</v>
      </c>
      <c r="M158" s="10">
        <v>45308</v>
      </c>
      <c r="N158" s="7" t="s">
        <v>82</v>
      </c>
      <c r="O158" s="7" t="s">
        <v>419</v>
      </c>
      <c r="P158" s="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 t="e">
        <f t="shared" si="12"/>
        <v>#DIV/0!</v>
      </c>
      <c r="AG158" s="11" t="e">
        <f t="shared" si="13"/>
        <v>#DIV/0!</v>
      </c>
    </row>
    <row r="159" spans="2:33" ht="38.25" x14ac:dyDescent="0.25">
      <c r="B159" s="5">
        <v>155</v>
      </c>
      <c r="C159" s="6" t="s">
        <v>823</v>
      </c>
      <c r="D159" s="5" t="s">
        <v>33</v>
      </c>
      <c r="E159" s="7" t="s">
        <v>824</v>
      </c>
      <c r="F159" s="7" t="s">
        <v>825</v>
      </c>
      <c r="G159" s="7" t="s">
        <v>36</v>
      </c>
      <c r="H159" s="8">
        <v>54100</v>
      </c>
      <c r="I159" s="7" t="s">
        <v>469</v>
      </c>
      <c r="J159" s="7" t="s">
        <v>95</v>
      </c>
      <c r="K159" s="7" t="s">
        <v>826</v>
      </c>
      <c r="L159" s="9" t="s">
        <v>827</v>
      </c>
      <c r="M159" s="10">
        <v>45308</v>
      </c>
      <c r="N159" s="7" t="s">
        <v>67</v>
      </c>
      <c r="O159" s="7" t="s">
        <v>68</v>
      </c>
      <c r="P159" s="7"/>
      <c r="Q159" s="1"/>
      <c r="R159" s="1">
        <v>155</v>
      </c>
      <c r="S159" s="1"/>
      <c r="T159" s="1"/>
      <c r="U159" s="1"/>
      <c r="V159" s="1"/>
      <c r="W159" s="1"/>
      <c r="X159" s="1">
        <v>299</v>
      </c>
      <c r="Y159" s="1">
        <v>272</v>
      </c>
      <c r="Z159" s="1"/>
      <c r="AA159" s="1"/>
      <c r="AB159" s="1"/>
      <c r="AC159" s="1"/>
      <c r="AD159" s="1"/>
      <c r="AE159" s="1">
        <f>COUNT(Q159:AD159)</f>
        <v>3</v>
      </c>
      <c r="AF159" s="1">
        <f t="shared" si="12"/>
        <v>242</v>
      </c>
      <c r="AG159" s="11" t="str">
        <f t="shared" si="13"/>
        <v>APROVADO</v>
      </c>
    </row>
    <row r="160" spans="2:33" ht="38.25" x14ac:dyDescent="0.25">
      <c r="B160" s="5">
        <v>156</v>
      </c>
      <c r="C160" s="6" t="s">
        <v>828</v>
      </c>
      <c r="D160" s="5" t="s">
        <v>33</v>
      </c>
      <c r="E160" s="7" t="s">
        <v>824</v>
      </c>
      <c r="F160" s="7" t="s">
        <v>829</v>
      </c>
      <c r="G160" s="7" t="s">
        <v>36</v>
      </c>
      <c r="H160" s="8">
        <v>105800</v>
      </c>
      <c r="I160" s="7" t="s">
        <v>469</v>
      </c>
      <c r="J160" s="7" t="s">
        <v>95</v>
      </c>
      <c r="K160" s="7" t="s">
        <v>826</v>
      </c>
      <c r="L160" s="9" t="s">
        <v>827</v>
      </c>
      <c r="M160" s="10">
        <v>45308</v>
      </c>
      <c r="N160" s="7" t="s">
        <v>67</v>
      </c>
      <c r="O160" s="7" t="s">
        <v>68</v>
      </c>
      <c r="P160" s="7"/>
      <c r="Q160" s="1">
        <v>314</v>
      </c>
      <c r="R160" s="1">
        <v>159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>
        <v>238</v>
      </c>
      <c r="AE160" s="1">
        <f>COUNT(Q160:AD160)</f>
        <v>3</v>
      </c>
      <c r="AF160" s="1">
        <f t="shared" si="12"/>
        <v>237</v>
      </c>
      <c r="AG160" s="11" t="str">
        <f t="shared" si="13"/>
        <v>APROVADO</v>
      </c>
    </row>
    <row r="161" spans="2:33" ht="38.25" x14ac:dyDescent="0.25">
      <c r="B161" s="5">
        <v>157</v>
      </c>
      <c r="C161" s="6" t="s">
        <v>830</v>
      </c>
      <c r="D161" s="5" t="s">
        <v>33</v>
      </c>
      <c r="E161" s="5" t="s">
        <v>831</v>
      </c>
      <c r="F161" s="5" t="s">
        <v>832</v>
      </c>
      <c r="G161" s="7" t="s">
        <v>36</v>
      </c>
      <c r="H161" s="8">
        <v>293034.33</v>
      </c>
      <c r="I161" s="7" t="s">
        <v>833</v>
      </c>
      <c r="J161" s="7" t="s">
        <v>254</v>
      </c>
      <c r="K161" s="7" t="s">
        <v>834</v>
      </c>
      <c r="L161" s="9" t="s">
        <v>835</v>
      </c>
      <c r="M161" s="10">
        <v>45308</v>
      </c>
      <c r="N161" s="5" t="s">
        <v>67</v>
      </c>
      <c r="O161" s="7" t="s">
        <v>157</v>
      </c>
      <c r="P161" s="7" t="s">
        <v>836</v>
      </c>
      <c r="Q161" s="1">
        <v>270</v>
      </c>
      <c r="R161" s="1">
        <v>222</v>
      </c>
      <c r="S161" s="1">
        <v>234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>
        <f>COUNT(Q161:AD161)</f>
        <v>3</v>
      </c>
      <c r="AF161" s="1">
        <f t="shared" si="12"/>
        <v>242</v>
      </c>
      <c r="AG161" s="11" t="str">
        <f t="shared" si="13"/>
        <v>APROVADO</v>
      </c>
    </row>
    <row r="162" spans="2:33" ht="38.25" x14ac:dyDescent="0.25">
      <c r="B162" s="5">
        <v>158</v>
      </c>
      <c r="C162" s="6" t="s">
        <v>837</v>
      </c>
      <c r="D162" s="5" t="s">
        <v>33</v>
      </c>
      <c r="E162" s="7" t="s">
        <v>831</v>
      </c>
      <c r="F162" s="7" t="s">
        <v>838</v>
      </c>
      <c r="G162" s="7" t="s">
        <v>36</v>
      </c>
      <c r="H162" s="8">
        <v>455848.37</v>
      </c>
      <c r="I162" s="7" t="s">
        <v>833</v>
      </c>
      <c r="J162" s="7" t="s">
        <v>254</v>
      </c>
      <c r="K162" s="7" t="s">
        <v>839</v>
      </c>
      <c r="L162" s="9" t="s">
        <v>840</v>
      </c>
      <c r="M162" s="10">
        <v>45308</v>
      </c>
      <c r="N162" s="7" t="s">
        <v>67</v>
      </c>
      <c r="O162" s="7" t="s">
        <v>157</v>
      </c>
      <c r="P162" s="7"/>
      <c r="Q162" s="1"/>
      <c r="R162" s="1">
        <v>174</v>
      </c>
      <c r="S162" s="1"/>
      <c r="T162" s="1"/>
      <c r="U162" s="1"/>
      <c r="V162" s="1">
        <v>275</v>
      </c>
      <c r="W162" s="1">
        <v>250</v>
      </c>
      <c r="X162" s="1"/>
      <c r="Y162" s="1"/>
      <c r="Z162" s="1"/>
      <c r="AA162" s="1"/>
      <c r="AB162" s="1"/>
      <c r="AC162" s="1"/>
      <c r="AD162" s="1"/>
      <c r="AE162" s="1">
        <f>COUNT(Q162:AD162)</f>
        <v>3</v>
      </c>
      <c r="AF162" s="1">
        <f t="shared" si="12"/>
        <v>233</v>
      </c>
      <c r="AG162" s="11" t="str">
        <f t="shared" si="13"/>
        <v>APROVADO</v>
      </c>
    </row>
    <row r="163" spans="2:33" ht="25.5" x14ac:dyDescent="0.25">
      <c r="B163" s="5">
        <v>159</v>
      </c>
      <c r="C163" s="16" t="s">
        <v>841</v>
      </c>
      <c r="D163" s="5" t="s">
        <v>33</v>
      </c>
      <c r="E163" s="7" t="s">
        <v>842</v>
      </c>
      <c r="F163" s="7" t="s">
        <v>843</v>
      </c>
      <c r="G163" s="7" t="s">
        <v>45</v>
      </c>
      <c r="H163" s="8">
        <v>908000</v>
      </c>
      <c r="I163" s="7" t="s">
        <v>73</v>
      </c>
      <c r="J163" s="7" t="s">
        <v>74</v>
      </c>
      <c r="K163" s="7" t="s">
        <v>844</v>
      </c>
      <c r="L163" s="37" t="s">
        <v>45</v>
      </c>
      <c r="M163" s="10">
        <v>45308</v>
      </c>
      <c r="N163" s="7" t="s">
        <v>82</v>
      </c>
      <c r="O163" s="7" t="s">
        <v>845</v>
      </c>
      <c r="P163" s="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 t="e">
        <f t="shared" si="12"/>
        <v>#DIV/0!</v>
      </c>
      <c r="AG163" s="11" t="e">
        <f t="shared" si="13"/>
        <v>#DIV/0!</v>
      </c>
    </row>
    <row r="164" spans="2:33" ht="38.25" x14ac:dyDescent="0.25">
      <c r="B164" s="5">
        <v>160</v>
      </c>
      <c r="C164" s="27" t="s">
        <v>846</v>
      </c>
      <c r="D164" s="5" t="s">
        <v>33</v>
      </c>
      <c r="E164" s="7" t="s">
        <v>847</v>
      </c>
      <c r="F164" s="7" t="s">
        <v>848</v>
      </c>
      <c r="G164" s="7" t="s">
        <v>107</v>
      </c>
      <c r="H164" s="8">
        <v>745455.43</v>
      </c>
      <c r="I164" s="7" t="s">
        <v>73</v>
      </c>
      <c r="J164" s="7" t="s">
        <v>74</v>
      </c>
      <c r="K164" s="7" t="s">
        <v>849</v>
      </c>
      <c r="L164" s="9" t="s">
        <v>850</v>
      </c>
      <c r="M164" s="10">
        <v>45308</v>
      </c>
      <c r="N164" s="7" t="s">
        <v>41</v>
      </c>
      <c r="O164" s="7"/>
      <c r="P164" s="7"/>
      <c r="Q164" s="1">
        <v>331</v>
      </c>
      <c r="R164" s="1">
        <v>257</v>
      </c>
      <c r="S164" s="1"/>
      <c r="T164" s="1"/>
      <c r="U164" s="1"/>
      <c r="V164" s="1"/>
      <c r="W164" s="1"/>
      <c r="X164" s="1"/>
      <c r="Y164" s="1"/>
      <c r="Z164" s="1"/>
      <c r="AA164" s="1">
        <v>281</v>
      </c>
      <c r="AB164" s="1"/>
      <c r="AC164" s="1"/>
      <c r="AD164" s="1"/>
      <c r="AE164" s="1">
        <f>COUNT(Q164:AD164)</f>
        <v>3</v>
      </c>
      <c r="AF164" s="1">
        <f t="shared" si="12"/>
        <v>289.66666666666669</v>
      </c>
      <c r="AG164" s="11" t="str">
        <f t="shared" si="13"/>
        <v>APROVADO</v>
      </c>
    </row>
    <row r="165" spans="2:33" ht="25.5" x14ac:dyDescent="0.25">
      <c r="B165" s="5">
        <v>161</v>
      </c>
      <c r="C165" s="27" t="s">
        <v>851</v>
      </c>
      <c r="D165" s="5" t="s">
        <v>33</v>
      </c>
      <c r="E165" s="7" t="s">
        <v>852</v>
      </c>
      <c r="F165" s="7" t="s">
        <v>853</v>
      </c>
      <c r="G165" s="7" t="s">
        <v>300</v>
      </c>
      <c r="H165" s="8">
        <v>197375.06</v>
      </c>
      <c r="I165" s="7" t="s">
        <v>73</v>
      </c>
      <c r="J165" s="7" t="s">
        <v>74</v>
      </c>
      <c r="K165" s="7" t="s">
        <v>854</v>
      </c>
      <c r="L165" s="9" t="s">
        <v>855</v>
      </c>
      <c r="M165" s="10">
        <v>45308</v>
      </c>
      <c r="N165" s="7" t="s">
        <v>41</v>
      </c>
      <c r="O165" s="7"/>
      <c r="P165" s="7"/>
      <c r="Q165" s="1">
        <v>283</v>
      </c>
      <c r="R165" s="1">
        <v>236</v>
      </c>
      <c r="S165" s="1"/>
      <c r="T165" s="1"/>
      <c r="U165" s="1"/>
      <c r="V165" s="1"/>
      <c r="W165" s="1"/>
      <c r="X165" s="1"/>
      <c r="Y165" s="1"/>
      <c r="Z165" s="1">
        <v>267</v>
      </c>
      <c r="AA165" s="1"/>
      <c r="AB165" s="1"/>
      <c r="AC165" s="1"/>
      <c r="AD165" s="1"/>
      <c r="AE165" s="1">
        <f>COUNT(Q165:AD165)</f>
        <v>3</v>
      </c>
      <c r="AF165" s="1">
        <f t="shared" si="12"/>
        <v>262</v>
      </c>
      <c r="AG165" s="11" t="str">
        <f t="shared" si="13"/>
        <v>APROVADO</v>
      </c>
    </row>
    <row r="166" spans="2:33" ht="25.5" x14ac:dyDescent="0.25">
      <c r="B166" s="5">
        <v>162</v>
      </c>
      <c r="C166" s="16" t="s">
        <v>856</v>
      </c>
      <c r="D166" s="5" t="s">
        <v>33</v>
      </c>
      <c r="E166" s="7" t="s">
        <v>857</v>
      </c>
      <c r="F166" s="7" t="s">
        <v>858</v>
      </c>
      <c r="G166" s="7" t="s">
        <v>36</v>
      </c>
      <c r="H166" s="8">
        <v>328228.65999999997</v>
      </c>
      <c r="I166" s="7" t="s">
        <v>859</v>
      </c>
      <c r="J166" s="7" t="s">
        <v>181</v>
      </c>
      <c r="K166" s="7" t="s">
        <v>860</v>
      </c>
      <c r="L166" s="9" t="s">
        <v>861</v>
      </c>
      <c r="M166" s="10">
        <v>45309</v>
      </c>
      <c r="N166" s="7" t="s">
        <v>226</v>
      </c>
      <c r="O166" s="7" t="s">
        <v>227</v>
      </c>
      <c r="P166" s="7" t="s">
        <v>157</v>
      </c>
      <c r="Q166" s="1">
        <v>0</v>
      </c>
      <c r="R166" s="1">
        <v>53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>
        <f t="shared" si="12"/>
        <v>26.5</v>
      </c>
      <c r="AG166" s="11" t="str">
        <f t="shared" si="13"/>
        <v>REPROVADO</v>
      </c>
    </row>
    <row r="167" spans="2:33" ht="25.5" x14ac:dyDescent="0.25">
      <c r="B167" s="5">
        <v>163</v>
      </c>
      <c r="C167" s="6" t="s">
        <v>862</v>
      </c>
      <c r="D167" s="5" t="s">
        <v>33</v>
      </c>
      <c r="E167" s="7" t="s">
        <v>857</v>
      </c>
      <c r="F167" s="7" t="s">
        <v>863</v>
      </c>
      <c r="G167" s="7" t="s">
        <v>36</v>
      </c>
      <c r="H167" s="8">
        <v>309808.38</v>
      </c>
      <c r="I167" s="7" t="s">
        <v>859</v>
      </c>
      <c r="J167" s="7" t="s">
        <v>181</v>
      </c>
      <c r="K167" s="7" t="s">
        <v>860</v>
      </c>
      <c r="L167" s="9" t="s">
        <v>861</v>
      </c>
      <c r="M167" s="10">
        <v>45309</v>
      </c>
      <c r="N167" s="7" t="s">
        <v>67</v>
      </c>
      <c r="O167" s="7" t="s">
        <v>157</v>
      </c>
      <c r="P167" s="7"/>
      <c r="Q167" s="1"/>
      <c r="R167" s="1">
        <v>105</v>
      </c>
      <c r="S167" s="1"/>
      <c r="T167" s="1"/>
      <c r="U167" s="1"/>
      <c r="V167" s="1"/>
      <c r="W167" s="1"/>
      <c r="X167" s="1">
        <v>335</v>
      </c>
      <c r="Y167" s="1">
        <v>318</v>
      </c>
      <c r="Z167" s="1"/>
      <c r="AA167" s="1"/>
      <c r="AB167" s="1"/>
      <c r="AC167" s="1"/>
      <c r="AD167" s="1"/>
      <c r="AE167" s="1">
        <f>COUNT(Q167:AD167)</f>
        <v>3</v>
      </c>
      <c r="AF167" s="1">
        <f t="shared" si="12"/>
        <v>252.66666666666666</v>
      </c>
      <c r="AG167" s="11" t="str">
        <f t="shared" si="13"/>
        <v>APROVADO</v>
      </c>
    </row>
    <row r="168" spans="2:33" ht="38.25" x14ac:dyDescent="0.25">
      <c r="B168" s="5">
        <v>164</v>
      </c>
      <c r="C168" s="6" t="s">
        <v>864</v>
      </c>
      <c r="D168" s="5" t="s">
        <v>33</v>
      </c>
      <c r="E168" s="7" t="s">
        <v>865</v>
      </c>
      <c r="F168" s="7" t="s">
        <v>866</v>
      </c>
      <c r="G168" s="7" t="s">
        <v>45</v>
      </c>
      <c r="H168" s="38">
        <v>90060.26</v>
      </c>
      <c r="I168" s="7" t="s">
        <v>867</v>
      </c>
      <c r="J168" s="9" t="s">
        <v>115</v>
      </c>
      <c r="K168" s="11" t="s">
        <v>868</v>
      </c>
      <c r="L168" s="9" t="s">
        <v>869</v>
      </c>
      <c r="M168" s="10">
        <v>45310</v>
      </c>
      <c r="N168" s="7" t="s">
        <v>41</v>
      </c>
      <c r="O168" s="7"/>
      <c r="P168" s="7"/>
      <c r="Q168" s="1">
        <v>340</v>
      </c>
      <c r="R168" s="1"/>
      <c r="S168" s="1"/>
      <c r="T168" s="1"/>
      <c r="U168" s="1"/>
      <c r="V168" s="1"/>
      <c r="W168" s="1"/>
      <c r="X168" s="1"/>
      <c r="Y168" s="1"/>
      <c r="Z168" s="1">
        <v>340</v>
      </c>
      <c r="AA168" s="1"/>
      <c r="AB168" s="1"/>
      <c r="AC168" s="1">
        <v>328</v>
      </c>
      <c r="AD168" s="1"/>
      <c r="AE168" s="1">
        <f>COUNT(Q168:AD168)</f>
        <v>3</v>
      </c>
      <c r="AF168" s="1">
        <f t="shared" si="12"/>
        <v>336</v>
      </c>
      <c r="AG168" s="11" t="str">
        <f t="shared" si="13"/>
        <v>APROVADO</v>
      </c>
    </row>
    <row r="169" spans="2:33" ht="25.5" x14ac:dyDescent="0.25">
      <c r="B169" s="5">
        <v>165</v>
      </c>
      <c r="C169" s="22" t="s">
        <v>870</v>
      </c>
      <c r="D169" s="5" t="s">
        <v>51</v>
      </c>
      <c r="E169" s="13" t="s">
        <v>871</v>
      </c>
      <c r="F169" s="13" t="s">
        <v>872</v>
      </c>
      <c r="G169" s="14" t="s">
        <v>36</v>
      </c>
      <c r="H169" s="33">
        <v>569175.64</v>
      </c>
      <c r="I169" s="29" t="s">
        <v>873</v>
      </c>
      <c r="J169" s="11" t="s">
        <v>453</v>
      </c>
      <c r="K169" s="13" t="s">
        <v>874</v>
      </c>
      <c r="L169" s="25" t="s">
        <v>812</v>
      </c>
      <c r="M169" s="26">
        <v>45310</v>
      </c>
      <c r="N169" s="13" t="s">
        <v>57</v>
      </c>
      <c r="O169" s="14" t="s">
        <v>89</v>
      </c>
      <c r="P169" s="14"/>
      <c r="Q169" s="1">
        <v>327</v>
      </c>
      <c r="R169" s="1"/>
      <c r="S169" s="1"/>
      <c r="T169" s="1"/>
      <c r="U169" s="1"/>
      <c r="V169" s="1">
        <v>340</v>
      </c>
      <c r="W169" s="1">
        <v>335</v>
      </c>
      <c r="X169" s="1"/>
      <c r="Y169" s="1"/>
      <c r="Z169" s="1"/>
      <c r="AA169" s="1"/>
      <c r="AB169" s="1"/>
      <c r="AC169" s="1"/>
      <c r="AD169" s="1"/>
      <c r="AE169" s="1">
        <f>COUNT(Q169:AD169)</f>
        <v>3</v>
      </c>
      <c r="AF169" s="1">
        <f>AVERAGE(Q169:AD169)</f>
        <v>334</v>
      </c>
      <c r="AG169" s="11" t="str">
        <f t="shared" si="13"/>
        <v>APROVADO</v>
      </c>
    </row>
    <row r="170" spans="2:33" ht="26.25" x14ac:dyDescent="0.25">
      <c r="B170" s="5">
        <v>166</v>
      </c>
      <c r="C170" s="24" t="s">
        <v>875</v>
      </c>
      <c r="D170" s="5" t="s">
        <v>51</v>
      </c>
      <c r="E170" s="13" t="s">
        <v>876</v>
      </c>
      <c r="F170" s="14" t="s">
        <v>877</v>
      </c>
      <c r="G170" s="7" t="s">
        <v>36</v>
      </c>
      <c r="H170" s="28">
        <v>123093.54</v>
      </c>
      <c r="I170" s="29" t="s">
        <v>878</v>
      </c>
      <c r="J170" s="11" t="s">
        <v>123</v>
      </c>
      <c r="K170" s="13" t="s">
        <v>879</v>
      </c>
      <c r="L170" s="30" t="s">
        <v>880</v>
      </c>
      <c r="M170" s="26">
        <v>45310</v>
      </c>
      <c r="N170" s="13" t="s">
        <v>57</v>
      </c>
      <c r="O170" s="14" t="s">
        <v>118</v>
      </c>
      <c r="P170" s="13"/>
      <c r="Q170" s="1">
        <v>337</v>
      </c>
      <c r="R170" s="1"/>
      <c r="S170" s="1"/>
      <c r="T170" s="1"/>
      <c r="U170" s="1"/>
      <c r="V170" s="1"/>
      <c r="W170" s="1"/>
      <c r="X170" s="1"/>
      <c r="Y170" s="1"/>
      <c r="Z170" s="1">
        <v>333</v>
      </c>
      <c r="AA170" s="1"/>
      <c r="AB170" s="1"/>
      <c r="AC170" s="1">
        <v>336</v>
      </c>
      <c r="AD170" s="1"/>
      <c r="AE170" s="1">
        <f>COUNT(Q170:AD170)</f>
        <v>3</v>
      </c>
      <c r="AF170" s="1">
        <f t="shared" si="12"/>
        <v>335.33333333333331</v>
      </c>
      <c r="AG170" s="11" t="str">
        <f t="shared" si="13"/>
        <v>APROVADO</v>
      </c>
    </row>
    <row r="171" spans="2:33" x14ac:dyDescent="0.25">
      <c r="B171" s="5">
        <v>167</v>
      </c>
      <c r="C171" s="6" t="s">
        <v>881</v>
      </c>
      <c r="D171" s="5" t="s">
        <v>33</v>
      </c>
      <c r="E171" s="5" t="s">
        <v>882</v>
      </c>
      <c r="F171" s="5" t="s">
        <v>883</v>
      </c>
      <c r="G171" s="7" t="s">
        <v>107</v>
      </c>
      <c r="H171" s="8">
        <v>234836</v>
      </c>
      <c r="I171" s="7" t="s">
        <v>884</v>
      </c>
      <c r="J171" s="7" t="s">
        <v>254</v>
      </c>
      <c r="K171" s="7" t="s">
        <v>885</v>
      </c>
      <c r="L171" s="7" t="s">
        <v>886</v>
      </c>
      <c r="M171" s="10">
        <v>45310</v>
      </c>
      <c r="N171" s="5" t="s">
        <v>67</v>
      </c>
      <c r="O171" s="7" t="s">
        <v>89</v>
      </c>
      <c r="P171" s="7" t="s">
        <v>90</v>
      </c>
      <c r="Q171" s="1">
        <v>302</v>
      </c>
      <c r="R171" s="1">
        <v>181</v>
      </c>
      <c r="S171" s="1">
        <v>232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>
        <f>COUNT(Q171:AD171)</f>
        <v>3</v>
      </c>
      <c r="AF171" s="1">
        <f t="shared" si="12"/>
        <v>238.33333333333334</v>
      </c>
      <c r="AG171" s="11" t="str">
        <f t="shared" si="13"/>
        <v>APROVADO</v>
      </c>
    </row>
    <row r="172" spans="2:33" ht="26.25" x14ac:dyDescent="0.25">
      <c r="B172" s="5">
        <v>168</v>
      </c>
      <c r="C172" s="32" t="s">
        <v>887</v>
      </c>
      <c r="D172" s="5" t="s">
        <v>51</v>
      </c>
      <c r="E172" s="13" t="s">
        <v>888</v>
      </c>
      <c r="F172" s="14" t="s">
        <v>889</v>
      </c>
      <c r="G172" s="14" t="s">
        <v>36</v>
      </c>
      <c r="H172" s="33">
        <v>431920.31</v>
      </c>
      <c r="I172" s="29" t="s">
        <v>890</v>
      </c>
      <c r="J172" s="11" t="s">
        <v>270</v>
      </c>
      <c r="K172" s="13" t="s">
        <v>891</v>
      </c>
      <c r="L172" s="13" t="s">
        <v>898</v>
      </c>
      <c r="M172" s="26">
        <v>45310</v>
      </c>
      <c r="N172" s="13" t="s">
        <v>226</v>
      </c>
      <c r="O172" s="13" t="s">
        <v>600</v>
      </c>
      <c r="P172" s="20"/>
      <c r="Q172" s="1">
        <v>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>
        <f t="shared" si="12"/>
        <v>0</v>
      </c>
      <c r="AG172" s="11" t="str">
        <f t="shared" si="13"/>
        <v>REPROVADO</v>
      </c>
    </row>
    <row r="173" spans="2:33" x14ac:dyDescent="0.25">
      <c r="B173" s="5">
        <v>169</v>
      </c>
      <c r="C173" s="24" t="s">
        <v>893</v>
      </c>
      <c r="D173" s="5" t="s">
        <v>51</v>
      </c>
      <c r="E173" s="13" t="s">
        <v>894</v>
      </c>
      <c r="F173" s="13" t="s">
        <v>895</v>
      </c>
      <c r="G173" s="14" t="s">
        <v>36</v>
      </c>
      <c r="H173" s="28">
        <v>188750</v>
      </c>
      <c r="I173" s="12" t="s">
        <v>896</v>
      </c>
      <c r="J173" s="7" t="s">
        <v>123</v>
      </c>
      <c r="K173" s="7" t="s">
        <v>897</v>
      </c>
      <c r="L173" s="13" t="s">
        <v>892</v>
      </c>
      <c r="M173" s="26">
        <v>45310</v>
      </c>
      <c r="N173" s="13" t="s">
        <v>57</v>
      </c>
      <c r="O173" s="13"/>
      <c r="P173" s="20"/>
      <c r="Q173" s="1">
        <v>334</v>
      </c>
      <c r="R173" s="1"/>
      <c r="S173" s="1"/>
      <c r="T173" s="1"/>
      <c r="U173" s="1"/>
      <c r="V173" s="1">
        <v>335</v>
      </c>
      <c r="W173" s="1"/>
      <c r="X173" s="1"/>
      <c r="Y173" s="1"/>
      <c r="Z173" s="1"/>
      <c r="AA173" s="1"/>
      <c r="AB173" s="1"/>
      <c r="AC173" s="1">
        <v>330</v>
      </c>
      <c r="AD173" s="1"/>
      <c r="AE173" s="1">
        <f t="shared" ref="AE173:AE178" si="15">COUNT(Q173:AD173)</f>
        <v>3</v>
      </c>
      <c r="AF173" s="1">
        <f t="shared" si="12"/>
        <v>333</v>
      </c>
      <c r="AG173" s="11" t="str">
        <f t="shared" si="13"/>
        <v>APROVADO</v>
      </c>
    </row>
    <row r="174" spans="2:33" x14ac:dyDescent="0.25">
      <c r="B174" s="5">
        <v>170</v>
      </c>
      <c r="C174" s="24" t="s">
        <v>899</v>
      </c>
      <c r="D174" s="5" t="s">
        <v>51</v>
      </c>
      <c r="E174" s="13" t="s">
        <v>894</v>
      </c>
      <c r="F174" s="14" t="s">
        <v>900</v>
      </c>
      <c r="G174" s="14" t="s">
        <v>107</v>
      </c>
      <c r="H174" s="28">
        <v>200000</v>
      </c>
      <c r="I174" s="12" t="s">
        <v>896</v>
      </c>
      <c r="J174" s="7" t="s">
        <v>123</v>
      </c>
      <c r="K174" s="13" t="s">
        <v>901</v>
      </c>
      <c r="L174" s="13" t="s">
        <v>902</v>
      </c>
      <c r="M174" s="26">
        <v>45310</v>
      </c>
      <c r="N174" s="13" t="s">
        <v>41</v>
      </c>
      <c r="O174" s="13"/>
      <c r="P174" s="20"/>
      <c r="Q174" s="1">
        <v>330</v>
      </c>
      <c r="R174" s="1">
        <v>232</v>
      </c>
      <c r="S174" s="1"/>
      <c r="T174" s="1"/>
      <c r="U174" s="1"/>
      <c r="V174" s="1"/>
      <c r="W174" s="1"/>
      <c r="X174" s="1"/>
      <c r="Y174" s="1"/>
      <c r="Z174" s="1">
        <v>305</v>
      </c>
      <c r="AA174" s="1"/>
      <c r="AB174" s="1"/>
      <c r="AC174" s="1"/>
      <c r="AD174" s="1"/>
      <c r="AE174" s="1">
        <f t="shared" si="15"/>
        <v>3</v>
      </c>
      <c r="AF174" s="1">
        <f t="shared" si="12"/>
        <v>289</v>
      </c>
      <c r="AG174" s="11" t="str">
        <f t="shared" si="13"/>
        <v>APROVADO</v>
      </c>
    </row>
    <row r="175" spans="2:33" x14ac:dyDescent="0.25">
      <c r="B175" s="5">
        <v>171</v>
      </c>
      <c r="C175" s="6" t="s">
        <v>903</v>
      </c>
      <c r="D175" s="5" t="s">
        <v>33</v>
      </c>
      <c r="E175" s="7" t="s">
        <v>904</v>
      </c>
      <c r="F175" s="7" t="s">
        <v>905</v>
      </c>
      <c r="G175" s="7" t="s">
        <v>36</v>
      </c>
      <c r="H175" s="8">
        <v>11850.05</v>
      </c>
      <c r="I175" s="7" t="s">
        <v>896</v>
      </c>
      <c r="J175" s="7" t="s">
        <v>123</v>
      </c>
      <c r="K175" s="7" t="s">
        <v>906</v>
      </c>
      <c r="L175" s="9" t="s">
        <v>907</v>
      </c>
      <c r="M175" s="10">
        <v>45554</v>
      </c>
      <c r="N175" s="7" t="s">
        <v>67</v>
      </c>
      <c r="O175" s="7"/>
      <c r="P175" s="20"/>
      <c r="Q175" s="1"/>
      <c r="R175" s="1">
        <v>229</v>
      </c>
      <c r="S175" s="1"/>
      <c r="T175" s="1"/>
      <c r="U175" s="1"/>
      <c r="V175" s="1">
        <v>340</v>
      </c>
      <c r="W175" s="1">
        <v>316</v>
      </c>
      <c r="X175" s="1"/>
      <c r="Y175" s="1"/>
      <c r="Z175" s="1"/>
      <c r="AA175" s="1"/>
      <c r="AB175" s="1"/>
      <c r="AC175" s="1"/>
      <c r="AD175" s="1"/>
      <c r="AE175" s="1">
        <f t="shared" si="15"/>
        <v>3</v>
      </c>
      <c r="AF175" s="1">
        <f t="shared" si="12"/>
        <v>295</v>
      </c>
      <c r="AG175" s="11" t="str">
        <f t="shared" si="13"/>
        <v>APROVADO</v>
      </c>
    </row>
    <row r="176" spans="2:33" ht="25.5" x14ac:dyDescent="0.25">
      <c r="B176" s="5">
        <v>172</v>
      </c>
      <c r="C176" s="6" t="s">
        <v>908</v>
      </c>
      <c r="D176" s="5" t="s">
        <v>33</v>
      </c>
      <c r="E176" s="7" t="s">
        <v>909</v>
      </c>
      <c r="F176" s="7" t="s">
        <v>910</v>
      </c>
      <c r="G176" s="7" t="s">
        <v>36</v>
      </c>
      <c r="H176" s="8">
        <v>249590</v>
      </c>
      <c r="I176" s="7" t="s">
        <v>73</v>
      </c>
      <c r="J176" s="7" t="s">
        <v>74</v>
      </c>
      <c r="K176" s="7" t="s">
        <v>911</v>
      </c>
      <c r="L176" s="9" t="s">
        <v>912</v>
      </c>
      <c r="M176" s="10">
        <v>45310</v>
      </c>
      <c r="N176" s="7" t="s">
        <v>67</v>
      </c>
      <c r="O176" s="7"/>
      <c r="P176" s="20"/>
      <c r="Q176" s="1"/>
      <c r="R176" s="1">
        <v>211</v>
      </c>
      <c r="S176" s="1"/>
      <c r="T176" s="1"/>
      <c r="U176" s="1"/>
      <c r="V176" s="1"/>
      <c r="W176" s="1"/>
      <c r="X176" s="1">
        <v>297</v>
      </c>
      <c r="Y176" s="1">
        <v>297</v>
      </c>
      <c r="Z176" s="1"/>
      <c r="AA176" s="1"/>
      <c r="AB176" s="1"/>
      <c r="AC176" s="1"/>
      <c r="AD176" s="1"/>
      <c r="AE176" s="1">
        <f t="shared" si="15"/>
        <v>3</v>
      </c>
      <c r="AF176" s="1">
        <f t="shared" si="12"/>
        <v>268.33333333333331</v>
      </c>
      <c r="AG176" s="11" t="str">
        <f t="shared" si="13"/>
        <v>APROVADO</v>
      </c>
    </row>
    <row r="177" spans="2:33" ht="25.5" x14ac:dyDescent="0.25">
      <c r="B177" s="5">
        <v>173</v>
      </c>
      <c r="C177" s="6" t="s">
        <v>913</v>
      </c>
      <c r="D177" s="5" t="s">
        <v>33</v>
      </c>
      <c r="E177" s="7" t="s">
        <v>914</v>
      </c>
      <c r="F177" s="7" t="s">
        <v>915</v>
      </c>
      <c r="G177" s="7" t="s">
        <v>45</v>
      </c>
      <c r="H177" s="8">
        <v>25860.29</v>
      </c>
      <c r="I177" s="7" t="s">
        <v>73</v>
      </c>
      <c r="J177" s="7" t="s">
        <v>74</v>
      </c>
      <c r="K177" s="7" t="s">
        <v>916</v>
      </c>
      <c r="L177" s="31" t="s">
        <v>917</v>
      </c>
      <c r="M177" s="10">
        <v>45310</v>
      </c>
      <c r="N177" s="7" t="s">
        <v>67</v>
      </c>
      <c r="O177" s="7"/>
      <c r="P177" s="20"/>
      <c r="Q177" s="1">
        <v>340</v>
      </c>
      <c r="R177" s="1">
        <v>254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>
        <v>340</v>
      </c>
      <c r="AE177" s="1">
        <f t="shared" si="15"/>
        <v>3</v>
      </c>
      <c r="AF177" s="1">
        <f t="shared" si="12"/>
        <v>311.33333333333331</v>
      </c>
      <c r="AG177" s="11" t="str">
        <f t="shared" si="13"/>
        <v>APROVADO</v>
      </c>
    </row>
    <row r="178" spans="2:33" ht="25.5" x14ac:dyDescent="0.25">
      <c r="B178" s="5">
        <v>174</v>
      </c>
      <c r="C178" s="6" t="s">
        <v>918</v>
      </c>
      <c r="D178" s="5" t="s">
        <v>33</v>
      </c>
      <c r="E178" s="7" t="s">
        <v>919</v>
      </c>
      <c r="F178" s="7" t="s">
        <v>920</v>
      </c>
      <c r="G178" s="7" t="s">
        <v>107</v>
      </c>
      <c r="H178" s="8">
        <v>200000</v>
      </c>
      <c r="I178" s="7" t="s">
        <v>921</v>
      </c>
      <c r="J178" s="7" t="s">
        <v>162</v>
      </c>
      <c r="K178" s="7" t="s">
        <v>922</v>
      </c>
      <c r="L178" s="9" t="s">
        <v>923</v>
      </c>
      <c r="M178" s="10">
        <v>45554</v>
      </c>
      <c r="N178" s="7" t="s">
        <v>67</v>
      </c>
      <c r="O178" s="7"/>
      <c r="P178" s="20"/>
      <c r="Q178" s="1"/>
      <c r="R178" s="1">
        <v>228</v>
      </c>
      <c r="S178" s="1"/>
      <c r="T178" s="1"/>
      <c r="U178" s="1"/>
      <c r="V178" s="1"/>
      <c r="W178" s="1"/>
      <c r="X178" s="1">
        <v>297</v>
      </c>
      <c r="Y178" s="1">
        <v>292</v>
      </c>
      <c r="Z178" s="1"/>
      <c r="AA178" s="1"/>
      <c r="AB178" s="1"/>
      <c r="AC178" s="1"/>
      <c r="AD178" s="1"/>
      <c r="AE178" s="1">
        <f t="shared" si="15"/>
        <v>3</v>
      </c>
      <c r="AF178" s="1">
        <f t="shared" si="12"/>
        <v>272.33333333333331</v>
      </c>
      <c r="AG178" s="11" t="str">
        <f t="shared" si="13"/>
        <v>APROVADO</v>
      </c>
    </row>
    <row r="179" spans="2:33" x14ac:dyDescent="0.25">
      <c r="B179" s="5">
        <v>175</v>
      </c>
      <c r="C179" s="16" t="s">
        <v>924</v>
      </c>
      <c r="D179" s="5" t="s">
        <v>33</v>
      </c>
      <c r="E179" s="5" t="s">
        <v>172</v>
      </c>
      <c r="F179" s="5" t="s">
        <v>925</v>
      </c>
      <c r="G179" s="5" t="s">
        <v>36</v>
      </c>
      <c r="H179" s="17">
        <v>1211418</v>
      </c>
      <c r="I179" s="7" t="s">
        <v>926</v>
      </c>
      <c r="J179" s="7" t="s">
        <v>123</v>
      </c>
      <c r="K179" s="7" t="s">
        <v>927</v>
      </c>
      <c r="L179" s="9" t="s">
        <v>928</v>
      </c>
      <c r="M179" s="10">
        <v>45310</v>
      </c>
      <c r="N179" s="13" t="s">
        <v>226</v>
      </c>
      <c r="O179" s="5" t="s">
        <v>600</v>
      </c>
      <c r="P179" s="20"/>
      <c r="Q179" s="1">
        <v>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>
        <f t="shared" si="12"/>
        <v>0</v>
      </c>
      <c r="AG179" s="11" t="str">
        <f t="shared" si="13"/>
        <v>REPROVADO</v>
      </c>
    </row>
    <row r="180" spans="2:33" ht="25.5" x14ac:dyDescent="0.25">
      <c r="B180" s="5">
        <v>176</v>
      </c>
      <c r="C180" s="27" t="s">
        <v>929</v>
      </c>
      <c r="D180" s="5" t="s">
        <v>33</v>
      </c>
      <c r="E180" s="5" t="s">
        <v>930</v>
      </c>
      <c r="F180" s="5" t="s">
        <v>931</v>
      </c>
      <c r="G180" s="5" t="s">
        <v>36</v>
      </c>
      <c r="H180" s="17">
        <v>300000</v>
      </c>
      <c r="I180" s="5" t="s">
        <v>932</v>
      </c>
      <c r="J180" s="5" t="s">
        <v>453</v>
      </c>
      <c r="K180" s="5" t="s">
        <v>933</v>
      </c>
      <c r="L180" s="9" t="s">
        <v>934</v>
      </c>
      <c r="M180" s="10">
        <v>45313</v>
      </c>
      <c r="N180" s="5" t="s">
        <v>41</v>
      </c>
      <c r="O180" s="5"/>
      <c r="P180" s="5" t="s">
        <v>600</v>
      </c>
      <c r="Q180" s="1">
        <v>338</v>
      </c>
      <c r="R180" s="1">
        <v>269</v>
      </c>
      <c r="S180" s="1"/>
      <c r="T180" s="1"/>
      <c r="U180" s="1"/>
      <c r="V180" s="1"/>
      <c r="W180" s="1"/>
      <c r="X180" s="1"/>
      <c r="Y180" s="1"/>
      <c r="Z180" s="1"/>
      <c r="AA180" s="1"/>
      <c r="AB180" s="1">
        <v>333</v>
      </c>
      <c r="AC180" s="1"/>
      <c r="AD180" s="1"/>
      <c r="AE180" s="1">
        <f>COUNT(Q180:AD180)</f>
        <v>3</v>
      </c>
      <c r="AF180" s="1">
        <f t="shared" si="12"/>
        <v>313.33333333333331</v>
      </c>
      <c r="AG180" s="11" t="str">
        <f t="shared" si="13"/>
        <v>APROVADO</v>
      </c>
    </row>
    <row r="181" spans="2:33" x14ac:dyDescent="0.25">
      <c r="B181" s="5">
        <v>177</v>
      </c>
      <c r="C181" s="27" t="s">
        <v>935</v>
      </c>
      <c r="D181" s="5" t="s">
        <v>33</v>
      </c>
      <c r="E181" s="7" t="s">
        <v>936</v>
      </c>
      <c r="F181" s="7" t="s">
        <v>937</v>
      </c>
      <c r="G181" s="7" t="s">
        <v>36</v>
      </c>
      <c r="H181" s="8">
        <v>74967.12</v>
      </c>
      <c r="I181" s="7" t="s">
        <v>938</v>
      </c>
      <c r="J181" s="7" t="s">
        <v>115</v>
      </c>
      <c r="K181" s="7" t="s">
        <v>939</v>
      </c>
      <c r="L181" s="9" t="s">
        <v>940</v>
      </c>
      <c r="M181" s="10">
        <v>45314</v>
      </c>
      <c r="N181" s="7" t="s">
        <v>41</v>
      </c>
      <c r="O181" s="7"/>
      <c r="P181" s="7"/>
      <c r="Q181" s="1">
        <v>332</v>
      </c>
      <c r="R181" s="1">
        <v>153</v>
      </c>
      <c r="S181" s="1"/>
      <c r="T181" s="1"/>
      <c r="U181" s="1"/>
      <c r="V181" s="1"/>
      <c r="W181" s="1"/>
      <c r="X181" s="1"/>
      <c r="Y181" s="1"/>
      <c r="Z181" s="1"/>
      <c r="AA181" s="1"/>
      <c r="AB181" s="1">
        <v>330</v>
      </c>
      <c r="AC181" s="1"/>
      <c r="AD181" s="1"/>
      <c r="AE181" s="1">
        <f>COUNT(Q181:AD181)</f>
        <v>3</v>
      </c>
      <c r="AF181" s="1">
        <f t="shared" si="12"/>
        <v>271.66666666666669</v>
      </c>
      <c r="AG181" s="11" t="str">
        <f t="shared" si="13"/>
        <v>APROVADO</v>
      </c>
    </row>
    <row r="182" spans="2:33" ht="39" x14ac:dyDescent="0.25">
      <c r="B182" s="5">
        <v>178</v>
      </c>
      <c r="C182" s="35" t="s">
        <v>941</v>
      </c>
      <c r="D182" s="5" t="s">
        <v>51</v>
      </c>
      <c r="E182" s="7" t="s">
        <v>942</v>
      </c>
      <c r="F182" s="12" t="s">
        <v>943</v>
      </c>
      <c r="G182" s="12" t="s">
        <v>107</v>
      </c>
      <c r="H182" s="28">
        <v>164270</v>
      </c>
      <c r="I182" s="12" t="s">
        <v>944</v>
      </c>
      <c r="J182" s="7" t="s">
        <v>115</v>
      </c>
      <c r="K182" s="13" t="s">
        <v>945</v>
      </c>
      <c r="L182" s="13" t="s">
        <v>946</v>
      </c>
      <c r="M182" s="26">
        <v>45314</v>
      </c>
      <c r="N182" s="13" t="s">
        <v>226</v>
      </c>
      <c r="O182" s="14" t="s">
        <v>947</v>
      </c>
      <c r="P182" s="13"/>
      <c r="Q182" s="1">
        <v>0</v>
      </c>
      <c r="R182" s="1">
        <v>153</v>
      </c>
      <c r="S182" s="1"/>
      <c r="T182" s="1"/>
      <c r="U182" s="1"/>
      <c r="V182" s="1"/>
      <c r="W182" s="1"/>
      <c r="X182" s="1"/>
      <c r="Y182" s="1"/>
      <c r="Z182" s="1"/>
      <c r="AA182" s="1"/>
      <c r="AB182" s="1">
        <v>0</v>
      </c>
      <c r="AC182" s="1"/>
      <c r="AD182" s="1"/>
      <c r="AE182" s="1"/>
      <c r="AF182" s="1">
        <f t="shared" si="12"/>
        <v>51</v>
      </c>
      <c r="AG182" s="11" t="str">
        <f t="shared" si="13"/>
        <v>REPROVADO</v>
      </c>
    </row>
    <row r="183" spans="2:33" ht="25.5" x14ac:dyDescent="0.25">
      <c r="B183" s="5">
        <v>179</v>
      </c>
      <c r="C183" s="36" t="s">
        <v>948</v>
      </c>
      <c r="D183" s="5" t="s">
        <v>33</v>
      </c>
      <c r="E183" s="7" t="s">
        <v>949</v>
      </c>
      <c r="F183" s="5" t="s">
        <v>950</v>
      </c>
      <c r="G183" s="5" t="s">
        <v>107</v>
      </c>
      <c r="H183" s="17">
        <v>0</v>
      </c>
      <c r="I183" s="7" t="s">
        <v>944</v>
      </c>
      <c r="J183" s="7" t="s">
        <v>115</v>
      </c>
      <c r="K183" s="7" t="s">
        <v>951</v>
      </c>
      <c r="L183" s="9" t="s">
        <v>952</v>
      </c>
      <c r="M183" s="10">
        <v>45314</v>
      </c>
      <c r="N183" s="13" t="s">
        <v>226</v>
      </c>
      <c r="O183" s="7" t="s">
        <v>953</v>
      </c>
      <c r="P183" s="20"/>
      <c r="Q183" s="1">
        <v>0</v>
      </c>
      <c r="R183" s="1">
        <v>153</v>
      </c>
      <c r="S183" s="1"/>
      <c r="T183" s="1"/>
      <c r="U183" s="1"/>
      <c r="V183" s="1"/>
      <c r="W183" s="1"/>
      <c r="X183" s="1"/>
      <c r="Y183" s="1"/>
      <c r="Z183" s="1"/>
      <c r="AA183" s="1"/>
      <c r="AB183" s="1">
        <v>0</v>
      </c>
      <c r="AC183" s="1"/>
      <c r="AD183" s="1"/>
      <c r="AE183" s="1"/>
      <c r="AF183" s="1">
        <f t="shared" si="12"/>
        <v>51</v>
      </c>
      <c r="AG183" s="11" t="str">
        <f t="shared" si="13"/>
        <v>REPROVADO</v>
      </c>
    </row>
    <row r="184" spans="2:33" ht="25.5" x14ac:dyDescent="0.25">
      <c r="B184" s="5">
        <v>180</v>
      </c>
      <c r="C184" s="24" t="s">
        <v>954</v>
      </c>
      <c r="D184" s="5" t="s">
        <v>51</v>
      </c>
      <c r="E184" s="13" t="s">
        <v>955</v>
      </c>
      <c r="F184" s="13" t="s">
        <v>956</v>
      </c>
      <c r="G184" s="14" t="s">
        <v>107</v>
      </c>
      <c r="H184" s="28">
        <v>60000</v>
      </c>
      <c r="I184" s="29" t="s">
        <v>957</v>
      </c>
      <c r="J184" s="11" t="s">
        <v>189</v>
      </c>
      <c r="K184" s="13" t="s">
        <v>958</v>
      </c>
      <c r="L184" s="13" t="s">
        <v>959</v>
      </c>
      <c r="M184" s="26">
        <v>45314</v>
      </c>
      <c r="N184" s="13" t="s">
        <v>41</v>
      </c>
      <c r="O184" s="13"/>
      <c r="P184" s="13"/>
      <c r="Q184" s="1">
        <v>340</v>
      </c>
      <c r="R184" s="1">
        <v>139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>
        <v>291</v>
      </c>
      <c r="AD184" s="1"/>
      <c r="AE184" s="1">
        <f t="shared" ref="AE184:AE196" si="16">COUNT(Q184:AD184)</f>
        <v>3</v>
      </c>
      <c r="AF184" s="1">
        <f t="shared" si="12"/>
        <v>256.66666666666669</v>
      </c>
      <c r="AG184" s="11" t="str">
        <f t="shared" si="13"/>
        <v>APROVADO</v>
      </c>
    </row>
    <row r="185" spans="2:33" ht="25.5" x14ac:dyDescent="0.25">
      <c r="B185" s="5">
        <v>181</v>
      </c>
      <c r="C185" s="24" t="s">
        <v>960</v>
      </c>
      <c r="D185" s="5" t="s">
        <v>51</v>
      </c>
      <c r="E185" s="13" t="s">
        <v>961</v>
      </c>
      <c r="F185" s="13" t="s">
        <v>962</v>
      </c>
      <c r="G185" s="14" t="s">
        <v>36</v>
      </c>
      <c r="H185" s="28">
        <v>79666.17</v>
      </c>
      <c r="I185" s="29" t="s">
        <v>963</v>
      </c>
      <c r="J185" s="11" t="s">
        <v>189</v>
      </c>
      <c r="K185" s="13" t="s">
        <v>964</v>
      </c>
      <c r="L185" s="25" t="s">
        <v>965</v>
      </c>
      <c r="M185" s="26">
        <v>45314</v>
      </c>
      <c r="N185" s="13" t="s">
        <v>57</v>
      </c>
      <c r="O185" s="14" t="s">
        <v>966</v>
      </c>
      <c r="P185" s="20"/>
      <c r="Q185" s="1">
        <v>340</v>
      </c>
      <c r="R185" s="1"/>
      <c r="S185" s="1"/>
      <c r="T185" s="1"/>
      <c r="U185" s="1"/>
      <c r="V185" s="1">
        <v>340</v>
      </c>
      <c r="W185" s="1">
        <v>340</v>
      </c>
      <c r="X185" s="1"/>
      <c r="Y185" s="1"/>
      <c r="Z185" s="1"/>
      <c r="AA185" s="1"/>
      <c r="AB185" s="1"/>
      <c r="AC185" s="1"/>
      <c r="AD185" s="1"/>
      <c r="AE185" s="1">
        <f t="shared" si="16"/>
        <v>3</v>
      </c>
      <c r="AF185" s="1">
        <f t="shared" si="12"/>
        <v>340</v>
      </c>
      <c r="AG185" s="11" t="str">
        <f t="shared" si="13"/>
        <v>APROVADO</v>
      </c>
    </row>
    <row r="186" spans="2:33" ht="25.5" x14ac:dyDescent="0.25">
      <c r="B186" s="5"/>
      <c r="C186" s="24" t="s">
        <v>967</v>
      </c>
      <c r="D186" s="5" t="s">
        <v>51</v>
      </c>
      <c r="E186" s="13" t="s">
        <v>968</v>
      </c>
      <c r="F186" s="12" t="s">
        <v>969</v>
      </c>
      <c r="G186" s="14"/>
      <c r="H186" s="28">
        <v>578902.54</v>
      </c>
      <c r="I186" s="9" t="s">
        <v>970</v>
      </c>
      <c r="J186" s="9" t="s">
        <v>223</v>
      </c>
      <c r="K186" s="13" t="s">
        <v>971</v>
      </c>
      <c r="L186" s="25" t="s">
        <v>972</v>
      </c>
      <c r="M186" s="26"/>
      <c r="N186" s="13" t="s">
        <v>41</v>
      </c>
      <c r="O186" s="14"/>
      <c r="P186" s="20"/>
      <c r="Q186" s="1">
        <v>324</v>
      </c>
      <c r="R186" s="1"/>
      <c r="S186" s="1"/>
      <c r="T186" s="1"/>
      <c r="U186" s="1"/>
      <c r="V186" s="1"/>
      <c r="W186" s="1"/>
      <c r="X186" s="1"/>
      <c r="Y186" s="1"/>
      <c r="Z186" s="1"/>
      <c r="AA186" s="1">
        <v>312</v>
      </c>
      <c r="AB186" s="1"/>
      <c r="AC186" s="1">
        <v>333</v>
      </c>
      <c r="AD186" s="1"/>
      <c r="AE186" s="1">
        <f t="shared" si="16"/>
        <v>3</v>
      </c>
      <c r="AF186" s="1">
        <f t="shared" si="12"/>
        <v>323</v>
      </c>
      <c r="AG186" s="11" t="str">
        <f t="shared" si="13"/>
        <v>APROVADO</v>
      </c>
    </row>
    <row r="187" spans="2:33" ht="25.5" x14ac:dyDescent="0.25">
      <c r="B187" s="5">
        <v>182</v>
      </c>
      <c r="C187" s="6" t="s">
        <v>973</v>
      </c>
      <c r="D187" s="5" t="s">
        <v>33</v>
      </c>
      <c r="E187" s="5" t="s">
        <v>974</v>
      </c>
      <c r="F187" s="5" t="s">
        <v>975</v>
      </c>
      <c r="G187" s="7" t="s">
        <v>45</v>
      </c>
      <c r="H187" s="8">
        <v>117517.32</v>
      </c>
      <c r="I187" s="7" t="s">
        <v>976</v>
      </c>
      <c r="J187" s="7" t="s">
        <v>445</v>
      </c>
      <c r="K187" s="7" t="s">
        <v>977</v>
      </c>
      <c r="L187" s="37" t="s">
        <v>978</v>
      </c>
      <c r="M187" s="10">
        <v>45315</v>
      </c>
      <c r="N187" s="5" t="s">
        <v>67</v>
      </c>
      <c r="O187" s="7" t="s">
        <v>89</v>
      </c>
      <c r="P187" s="7" t="s">
        <v>979</v>
      </c>
      <c r="Q187" s="39">
        <v>340</v>
      </c>
      <c r="R187" s="1">
        <v>148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>
        <v>338</v>
      </c>
      <c r="AD187" s="1"/>
      <c r="AE187" s="1">
        <f t="shared" si="16"/>
        <v>3</v>
      </c>
      <c r="AF187" s="1">
        <f t="shared" si="12"/>
        <v>275.33333333333331</v>
      </c>
      <c r="AG187" s="11" t="str">
        <f t="shared" si="13"/>
        <v>APROVADO</v>
      </c>
    </row>
    <row r="188" spans="2:33" ht="25.5" x14ac:dyDescent="0.25">
      <c r="B188" s="5">
        <v>183</v>
      </c>
      <c r="C188" s="6" t="s">
        <v>980</v>
      </c>
      <c r="D188" s="5" t="s">
        <v>33</v>
      </c>
      <c r="E188" s="5" t="s">
        <v>981</v>
      </c>
      <c r="F188" s="5" t="s">
        <v>45</v>
      </c>
      <c r="G188" s="7" t="s">
        <v>45</v>
      </c>
      <c r="H188" s="8">
        <v>130000</v>
      </c>
      <c r="I188" s="7" t="s">
        <v>976</v>
      </c>
      <c r="J188" s="7" t="s">
        <v>445</v>
      </c>
      <c r="K188" s="7" t="s">
        <v>982</v>
      </c>
      <c r="L188" s="9" t="s">
        <v>983</v>
      </c>
      <c r="M188" s="10">
        <v>45315</v>
      </c>
      <c r="N188" s="5" t="s">
        <v>67</v>
      </c>
      <c r="O188" s="7" t="s">
        <v>89</v>
      </c>
      <c r="P188" s="7" t="s">
        <v>984</v>
      </c>
      <c r="Q188" s="39">
        <v>340</v>
      </c>
      <c r="R188" s="1">
        <v>160</v>
      </c>
      <c r="S188" s="1">
        <v>234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>
        <f t="shared" si="16"/>
        <v>3</v>
      </c>
      <c r="AF188" s="1">
        <f t="shared" si="12"/>
        <v>244.66666666666666</v>
      </c>
      <c r="AG188" s="11" t="str">
        <f t="shared" si="13"/>
        <v>APROVADO</v>
      </c>
    </row>
    <row r="189" spans="2:33" ht="25.5" x14ac:dyDescent="0.25">
      <c r="B189" s="5">
        <v>184</v>
      </c>
      <c r="C189" s="6" t="s">
        <v>985</v>
      </c>
      <c r="D189" s="5" t="s">
        <v>33</v>
      </c>
      <c r="E189" s="5" t="s">
        <v>986</v>
      </c>
      <c r="F189" s="5" t="s">
        <v>987</v>
      </c>
      <c r="G189" s="7" t="s">
        <v>107</v>
      </c>
      <c r="H189" s="8">
        <v>1347817.58</v>
      </c>
      <c r="I189" s="7" t="s">
        <v>73</v>
      </c>
      <c r="J189" s="5" t="s">
        <v>74</v>
      </c>
      <c r="K189" s="7" t="s">
        <v>988</v>
      </c>
      <c r="L189" s="9" t="s">
        <v>989</v>
      </c>
      <c r="M189" s="10">
        <v>45315</v>
      </c>
      <c r="N189" s="5" t="s">
        <v>67</v>
      </c>
      <c r="O189" s="7" t="s">
        <v>375</v>
      </c>
      <c r="P189" s="7"/>
      <c r="Q189" s="39">
        <v>322</v>
      </c>
      <c r="R189" s="1">
        <v>157</v>
      </c>
      <c r="S189" s="1">
        <v>249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>
        <f t="shared" si="16"/>
        <v>3</v>
      </c>
      <c r="AF189" s="1">
        <f t="shared" si="12"/>
        <v>242.66666666666666</v>
      </c>
      <c r="AG189" s="11" t="str">
        <f t="shared" si="13"/>
        <v>APROVADO</v>
      </c>
    </row>
    <row r="190" spans="2:33" ht="25.5" x14ac:dyDescent="0.25">
      <c r="B190" s="5">
        <v>185</v>
      </c>
      <c r="C190" s="24" t="s">
        <v>990</v>
      </c>
      <c r="D190" s="5" t="s">
        <v>51</v>
      </c>
      <c r="E190" s="14" t="s">
        <v>991</v>
      </c>
      <c r="F190" s="14" t="s">
        <v>992</v>
      </c>
      <c r="G190" s="14" t="s">
        <v>107</v>
      </c>
      <c r="H190" s="28">
        <v>515262.2</v>
      </c>
      <c r="I190" s="29" t="s">
        <v>993</v>
      </c>
      <c r="J190" s="11" t="s">
        <v>235</v>
      </c>
      <c r="K190" s="13" t="s">
        <v>994</v>
      </c>
      <c r="L190" s="13" t="s">
        <v>995</v>
      </c>
      <c r="M190" s="26">
        <v>45315</v>
      </c>
      <c r="N190" s="13" t="s">
        <v>57</v>
      </c>
      <c r="O190" s="14" t="s">
        <v>518</v>
      </c>
      <c r="P190" s="13"/>
      <c r="Q190" s="1">
        <v>338</v>
      </c>
      <c r="R190" s="1"/>
      <c r="S190" s="1"/>
      <c r="T190" s="1"/>
      <c r="U190" s="1"/>
      <c r="V190" s="1">
        <v>340</v>
      </c>
      <c r="W190" s="1">
        <v>335</v>
      </c>
      <c r="X190" s="1"/>
      <c r="Y190" s="1"/>
      <c r="Z190" s="1"/>
      <c r="AA190" s="1"/>
      <c r="AB190" s="1"/>
      <c r="AC190" s="20"/>
      <c r="AD190" s="20"/>
      <c r="AE190" s="1">
        <f t="shared" si="16"/>
        <v>3</v>
      </c>
      <c r="AF190" s="1">
        <f t="shared" si="12"/>
        <v>337.66666666666669</v>
      </c>
      <c r="AG190" s="11" t="str">
        <f t="shared" si="13"/>
        <v>APROVADO</v>
      </c>
    </row>
    <row r="191" spans="2:33" ht="25.5" x14ac:dyDescent="0.25">
      <c r="B191" s="5">
        <v>186</v>
      </c>
      <c r="C191" s="24" t="s">
        <v>996</v>
      </c>
      <c r="D191" s="5" t="s">
        <v>51</v>
      </c>
      <c r="E191" s="13" t="s">
        <v>997</v>
      </c>
      <c r="F191" s="13" t="s">
        <v>998</v>
      </c>
      <c r="G191" s="14" t="s">
        <v>107</v>
      </c>
      <c r="H191" s="28">
        <v>270680</v>
      </c>
      <c r="I191" s="29" t="s">
        <v>999</v>
      </c>
      <c r="J191" s="11" t="s">
        <v>189</v>
      </c>
      <c r="K191" s="13" t="s">
        <v>1000</v>
      </c>
      <c r="L191" s="13" t="s">
        <v>1001</v>
      </c>
      <c r="M191" s="26">
        <v>45315</v>
      </c>
      <c r="N191" s="13" t="s">
        <v>41</v>
      </c>
      <c r="O191" s="14"/>
      <c r="P191" s="13"/>
      <c r="Q191" s="1">
        <v>291</v>
      </c>
      <c r="R191" s="1">
        <v>180</v>
      </c>
      <c r="S191" s="1"/>
      <c r="T191" s="1"/>
      <c r="U191" s="1"/>
      <c r="V191" s="1"/>
      <c r="W191" s="1"/>
      <c r="X191" s="1"/>
      <c r="Y191" s="1"/>
      <c r="Z191" s="1">
        <v>242</v>
      </c>
      <c r="AA191" s="1"/>
      <c r="AB191" s="1"/>
      <c r="AC191" s="20"/>
      <c r="AD191" s="20"/>
      <c r="AE191" s="1">
        <f t="shared" si="16"/>
        <v>3</v>
      </c>
      <c r="AF191" s="1">
        <f t="shared" si="12"/>
        <v>237.66666666666666</v>
      </c>
      <c r="AG191" s="11" t="str">
        <f t="shared" si="13"/>
        <v>APROVADO</v>
      </c>
    </row>
    <row r="192" spans="2:33" ht="25.5" x14ac:dyDescent="0.25">
      <c r="B192" s="5">
        <v>187</v>
      </c>
      <c r="C192" s="6" t="s">
        <v>1002</v>
      </c>
      <c r="D192" s="5" t="s">
        <v>33</v>
      </c>
      <c r="E192" s="7" t="s">
        <v>1003</v>
      </c>
      <c r="F192" s="7" t="s">
        <v>1004</v>
      </c>
      <c r="G192" s="7" t="s">
        <v>36</v>
      </c>
      <c r="H192" s="8">
        <v>278842.44</v>
      </c>
      <c r="I192" s="7" t="s">
        <v>1005</v>
      </c>
      <c r="J192" s="7" t="s">
        <v>391</v>
      </c>
      <c r="K192" s="7" t="s">
        <v>1006</v>
      </c>
      <c r="L192" s="23" t="s">
        <v>1007</v>
      </c>
      <c r="M192" s="10">
        <v>45315</v>
      </c>
      <c r="N192" s="7" t="s">
        <v>67</v>
      </c>
      <c r="O192" s="7" t="s">
        <v>89</v>
      </c>
      <c r="P192" s="7"/>
      <c r="Q192" s="40">
        <v>304</v>
      </c>
      <c r="R192" s="1">
        <v>279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>
        <v>306</v>
      </c>
      <c r="AE192" s="1">
        <f t="shared" si="16"/>
        <v>3</v>
      </c>
      <c r="AF192" s="1">
        <f t="shared" si="12"/>
        <v>296.33333333333331</v>
      </c>
      <c r="AG192" s="11" t="str">
        <f t="shared" si="13"/>
        <v>APROVADO</v>
      </c>
    </row>
    <row r="193" spans="2:33" ht="38.25" x14ac:dyDescent="0.25">
      <c r="B193" s="5">
        <v>188</v>
      </c>
      <c r="C193" s="6" t="s">
        <v>1008</v>
      </c>
      <c r="D193" s="5" t="s">
        <v>33</v>
      </c>
      <c r="E193" s="5" t="s">
        <v>1009</v>
      </c>
      <c r="F193" s="5" t="s">
        <v>1010</v>
      </c>
      <c r="G193" s="5" t="s">
        <v>62</v>
      </c>
      <c r="H193" s="8">
        <v>322800</v>
      </c>
      <c r="I193" s="7" t="s">
        <v>342</v>
      </c>
      <c r="J193" s="7" t="s">
        <v>235</v>
      </c>
      <c r="K193" s="7" t="s">
        <v>1011</v>
      </c>
      <c r="L193" s="9" t="s">
        <v>1012</v>
      </c>
      <c r="M193" s="10">
        <v>45315</v>
      </c>
      <c r="N193" s="5" t="s">
        <v>67</v>
      </c>
      <c r="O193" s="7" t="s">
        <v>68</v>
      </c>
      <c r="P193" s="9"/>
      <c r="Q193" s="39">
        <v>340</v>
      </c>
      <c r="R193" s="1">
        <v>282</v>
      </c>
      <c r="S193" s="1">
        <v>262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f t="shared" si="16"/>
        <v>3</v>
      </c>
      <c r="AF193" s="1">
        <f t="shared" si="12"/>
        <v>294.66666666666669</v>
      </c>
      <c r="AG193" s="11" t="str">
        <f t="shared" si="13"/>
        <v>APROVADO</v>
      </c>
    </row>
    <row r="194" spans="2:33" ht="38.25" x14ac:dyDescent="0.25">
      <c r="B194" s="5">
        <v>189</v>
      </c>
      <c r="C194" s="27" t="s">
        <v>1013</v>
      </c>
      <c r="D194" s="5" t="s">
        <v>33</v>
      </c>
      <c r="E194" s="7" t="s">
        <v>1014</v>
      </c>
      <c r="F194" s="7" t="s">
        <v>1015</v>
      </c>
      <c r="G194" s="7" t="s">
        <v>36</v>
      </c>
      <c r="H194" s="8">
        <v>2389959.12</v>
      </c>
      <c r="I194" s="7" t="s">
        <v>108</v>
      </c>
      <c r="J194" s="7" t="s">
        <v>95</v>
      </c>
      <c r="K194" s="7" t="s">
        <v>1016</v>
      </c>
      <c r="L194" s="9" t="s">
        <v>1017</v>
      </c>
      <c r="M194" s="10">
        <v>45315</v>
      </c>
      <c r="N194" s="7" t="s">
        <v>41</v>
      </c>
      <c r="O194" s="7"/>
      <c r="P194" s="9"/>
      <c r="Q194" s="40">
        <v>246</v>
      </c>
      <c r="R194" s="1"/>
      <c r="S194" s="1"/>
      <c r="T194" s="1"/>
      <c r="U194" s="1"/>
      <c r="V194" s="1"/>
      <c r="W194" s="1"/>
      <c r="X194" s="1"/>
      <c r="Y194" s="1"/>
      <c r="Z194" s="1">
        <v>246</v>
      </c>
      <c r="AA194" s="1">
        <v>244</v>
      </c>
      <c r="AB194" s="1"/>
      <c r="AC194" s="1"/>
      <c r="AD194" s="1"/>
      <c r="AE194" s="1">
        <f t="shared" si="16"/>
        <v>3</v>
      </c>
      <c r="AF194" s="1">
        <f t="shared" si="12"/>
        <v>245.33333333333334</v>
      </c>
      <c r="AG194" s="11" t="str">
        <f t="shared" si="13"/>
        <v>APROVADO</v>
      </c>
    </row>
    <row r="195" spans="2:33" ht="38.25" x14ac:dyDescent="0.25">
      <c r="B195" s="5">
        <v>190</v>
      </c>
      <c r="C195" s="27" t="s">
        <v>1018</v>
      </c>
      <c r="D195" s="5" t="s">
        <v>33</v>
      </c>
      <c r="E195" s="7" t="s">
        <v>1014</v>
      </c>
      <c r="F195" s="7" t="s">
        <v>1019</v>
      </c>
      <c r="G195" s="7" t="s">
        <v>72</v>
      </c>
      <c r="H195" s="8">
        <v>1784430</v>
      </c>
      <c r="I195" s="7" t="s">
        <v>108</v>
      </c>
      <c r="J195" s="7" t="s">
        <v>95</v>
      </c>
      <c r="K195" s="7" t="s">
        <v>1016</v>
      </c>
      <c r="L195" s="9" t="s">
        <v>1017</v>
      </c>
      <c r="M195" s="10">
        <v>45315</v>
      </c>
      <c r="N195" s="7" t="s">
        <v>41</v>
      </c>
      <c r="O195" s="7"/>
      <c r="P195" s="9"/>
      <c r="Q195" s="40">
        <v>267</v>
      </c>
      <c r="R195" s="1">
        <v>169</v>
      </c>
      <c r="S195" s="1"/>
      <c r="T195" s="1"/>
      <c r="U195" s="1"/>
      <c r="V195" s="1"/>
      <c r="W195" s="1"/>
      <c r="X195" s="1"/>
      <c r="Y195" s="1"/>
      <c r="Z195" s="1">
        <v>241</v>
      </c>
      <c r="AA195" s="1"/>
      <c r="AB195" s="1"/>
      <c r="AC195" s="1"/>
      <c r="AD195" s="1"/>
      <c r="AE195" s="1">
        <f t="shared" si="16"/>
        <v>3</v>
      </c>
      <c r="AF195" s="1">
        <f t="shared" si="12"/>
        <v>225.66666666666666</v>
      </c>
      <c r="AG195" s="11" t="str">
        <f t="shared" si="13"/>
        <v>APROVADO</v>
      </c>
    </row>
    <row r="196" spans="2:33" ht="38.25" x14ac:dyDescent="0.25">
      <c r="B196" s="5">
        <v>191</v>
      </c>
      <c r="C196" s="27" t="s">
        <v>1020</v>
      </c>
      <c r="D196" s="5" t="s">
        <v>33</v>
      </c>
      <c r="E196" s="7" t="s">
        <v>1021</v>
      </c>
      <c r="F196" s="7" t="s">
        <v>1022</v>
      </c>
      <c r="G196" s="7" t="s">
        <v>36</v>
      </c>
      <c r="H196" s="8">
        <v>609818.75</v>
      </c>
      <c r="I196" s="7" t="s">
        <v>1023</v>
      </c>
      <c r="J196" s="7" t="s">
        <v>445</v>
      </c>
      <c r="K196" s="7" t="s">
        <v>1024</v>
      </c>
      <c r="L196" s="9" t="s">
        <v>1025</v>
      </c>
      <c r="M196" s="10">
        <v>45315</v>
      </c>
      <c r="N196" s="7" t="s">
        <v>41</v>
      </c>
      <c r="O196" s="7"/>
      <c r="P196" s="9"/>
      <c r="Q196" s="40">
        <v>326</v>
      </c>
      <c r="R196" s="1">
        <v>171</v>
      </c>
      <c r="S196" s="1"/>
      <c r="T196" s="1"/>
      <c r="U196" s="1"/>
      <c r="V196" s="1"/>
      <c r="W196" s="1"/>
      <c r="X196" s="1"/>
      <c r="Y196" s="1"/>
      <c r="Z196" s="1">
        <v>302</v>
      </c>
      <c r="AA196" s="1"/>
      <c r="AB196" s="1"/>
      <c r="AC196" s="1"/>
      <c r="AD196" s="1"/>
      <c r="AE196" s="1">
        <f t="shared" si="16"/>
        <v>3</v>
      </c>
      <c r="AF196" s="1">
        <f t="shared" si="12"/>
        <v>266.33333333333331</v>
      </c>
      <c r="AG196" s="11" t="str">
        <f t="shared" si="13"/>
        <v>APROVADO</v>
      </c>
    </row>
    <row r="197" spans="2:33" ht="25.5" x14ac:dyDescent="0.25">
      <c r="B197" s="5">
        <v>192</v>
      </c>
      <c r="C197" s="16" t="s">
        <v>1026</v>
      </c>
      <c r="D197" s="5" t="s">
        <v>33</v>
      </c>
      <c r="E197" s="5" t="s">
        <v>1021</v>
      </c>
      <c r="F197" s="5" t="s">
        <v>1027</v>
      </c>
      <c r="G197" s="5" t="s">
        <v>107</v>
      </c>
      <c r="H197" s="17">
        <v>984524.16</v>
      </c>
      <c r="I197" s="5" t="s">
        <v>1023</v>
      </c>
      <c r="J197" s="5" t="s">
        <v>445</v>
      </c>
      <c r="K197" s="5" t="s">
        <v>1024</v>
      </c>
      <c r="L197" s="9" t="s">
        <v>1025</v>
      </c>
      <c r="M197" s="10">
        <v>45315</v>
      </c>
      <c r="N197" s="13" t="s">
        <v>226</v>
      </c>
      <c r="O197" s="9" t="s">
        <v>227</v>
      </c>
      <c r="P197" s="20"/>
      <c r="Q197" s="39">
        <v>0</v>
      </c>
      <c r="R197" s="1">
        <v>145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>
        <f t="shared" ref="AF197:AF260" si="17">AVERAGE(Q197:AD197)</f>
        <v>72.5</v>
      </c>
      <c r="AG197" s="11" t="str">
        <f t="shared" ref="AG197:AG260" si="18">IF(AF197&gt;=$AG$1,"APROVADO","REPROVADO")</f>
        <v>REPROVADO</v>
      </c>
    </row>
    <row r="198" spans="2:33" ht="38.25" x14ac:dyDescent="0.25">
      <c r="B198" s="5">
        <v>193</v>
      </c>
      <c r="C198" s="27" t="s">
        <v>1028</v>
      </c>
      <c r="D198" s="5" t="s">
        <v>33</v>
      </c>
      <c r="E198" s="7" t="s">
        <v>1021</v>
      </c>
      <c r="F198" s="7" t="s">
        <v>1029</v>
      </c>
      <c r="G198" s="7" t="s">
        <v>72</v>
      </c>
      <c r="H198" s="8">
        <v>800870.83</v>
      </c>
      <c r="I198" s="7" t="s">
        <v>1023</v>
      </c>
      <c r="J198" s="7" t="s">
        <v>445</v>
      </c>
      <c r="K198" s="7" t="s">
        <v>1024</v>
      </c>
      <c r="L198" s="9" t="s">
        <v>1025</v>
      </c>
      <c r="M198" s="10">
        <v>45315</v>
      </c>
      <c r="N198" s="7" t="s">
        <v>41</v>
      </c>
      <c r="O198" s="9"/>
      <c r="P198" s="20"/>
      <c r="Q198" s="40">
        <v>315</v>
      </c>
      <c r="R198" s="1">
        <v>145</v>
      </c>
      <c r="S198" s="1"/>
      <c r="T198" s="1"/>
      <c r="U198" s="1"/>
      <c r="V198" s="1"/>
      <c r="W198" s="1"/>
      <c r="X198" s="1"/>
      <c r="Y198" s="1"/>
      <c r="Z198" s="1">
        <v>276</v>
      </c>
      <c r="AA198" s="1"/>
      <c r="AB198" s="1"/>
      <c r="AC198" s="1"/>
      <c r="AD198" s="1"/>
      <c r="AE198" s="1">
        <f>COUNT(Q198:AD198)</f>
        <v>3</v>
      </c>
      <c r="AF198" s="1">
        <f t="shared" si="17"/>
        <v>245.33333333333334</v>
      </c>
      <c r="AG198" s="11" t="str">
        <f t="shared" si="18"/>
        <v>APROVADO</v>
      </c>
    </row>
    <row r="199" spans="2:33" ht="25.5" x14ac:dyDescent="0.25">
      <c r="B199" s="5">
        <v>194</v>
      </c>
      <c r="C199" s="6" t="s">
        <v>1030</v>
      </c>
      <c r="D199" s="5" t="s">
        <v>33</v>
      </c>
      <c r="E199" s="7" t="s">
        <v>1031</v>
      </c>
      <c r="F199" s="7" t="s">
        <v>1032</v>
      </c>
      <c r="G199" s="7" t="s">
        <v>36</v>
      </c>
      <c r="H199" s="8">
        <v>442500</v>
      </c>
      <c r="I199" s="7" t="s">
        <v>1033</v>
      </c>
      <c r="J199" s="7" t="s">
        <v>445</v>
      </c>
      <c r="K199" s="7" t="s">
        <v>1034</v>
      </c>
      <c r="L199" s="9" t="s">
        <v>1035</v>
      </c>
      <c r="M199" s="10">
        <v>45315</v>
      </c>
      <c r="N199" s="7" t="s">
        <v>67</v>
      </c>
      <c r="O199" s="9"/>
      <c r="P199" s="20"/>
      <c r="Q199" s="40">
        <v>281</v>
      </c>
      <c r="R199" s="1">
        <v>183</v>
      </c>
      <c r="S199" s="1"/>
      <c r="T199" s="1"/>
      <c r="U199" s="1"/>
      <c r="V199" s="1">
        <v>340</v>
      </c>
      <c r="W199" s="1"/>
      <c r="X199" s="1"/>
      <c r="Y199" s="1"/>
      <c r="Z199" s="1"/>
      <c r="AA199" s="1"/>
      <c r="AB199" s="1"/>
      <c r="AC199" s="1"/>
      <c r="AD199" s="1"/>
      <c r="AE199" s="1">
        <f>COUNT(Q199:AD199)</f>
        <v>3</v>
      </c>
      <c r="AF199" s="1">
        <f t="shared" si="17"/>
        <v>268</v>
      </c>
      <c r="AG199" s="11" t="str">
        <f t="shared" si="18"/>
        <v>APROVADO</v>
      </c>
    </row>
    <row r="200" spans="2:33" ht="25.5" x14ac:dyDescent="0.25">
      <c r="B200" s="5">
        <v>195</v>
      </c>
      <c r="C200" s="6" t="s">
        <v>1036</v>
      </c>
      <c r="D200" s="5" t="s">
        <v>33</v>
      </c>
      <c r="E200" s="7" t="s">
        <v>1037</v>
      </c>
      <c r="F200" s="7" t="s">
        <v>1038</v>
      </c>
      <c r="G200" s="7" t="s">
        <v>36</v>
      </c>
      <c r="H200" s="8">
        <v>54500</v>
      </c>
      <c r="I200" s="7" t="s">
        <v>1033</v>
      </c>
      <c r="J200" s="7" t="s">
        <v>154</v>
      </c>
      <c r="K200" s="7" t="s">
        <v>2911</v>
      </c>
      <c r="L200" s="31" t="s">
        <v>1035</v>
      </c>
      <c r="M200" s="10">
        <v>45320</v>
      </c>
      <c r="N200" s="7" t="s">
        <v>67</v>
      </c>
      <c r="O200" s="7"/>
      <c r="P200" s="20"/>
      <c r="Q200" s="40">
        <v>340</v>
      </c>
      <c r="R200" s="1">
        <v>260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>
        <v>340</v>
      </c>
      <c r="AE200" s="1">
        <f>COUNT(Q200:AD200)</f>
        <v>3</v>
      </c>
      <c r="AF200" s="1">
        <f t="shared" si="17"/>
        <v>313.33333333333331</v>
      </c>
      <c r="AG200" s="11" t="str">
        <f t="shared" si="18"/>
        <v>APROVADO</v>
      </c>
    </row>
    <row r="201" spans="2:33" ht="25.5" x14ac:dyDescent="0.25">
      <c r="B201" s="5">
        <v>196</v>
      </c>
      <c r="C201" s="16" t="s">
        <v>1041</v>
      </c>
      <c r="D201" s="5" t="s">
        <v>33</v>
      </c>
      <c r="E201" s="7" t="s">
        <v>1042</v>
      </c>
      <c r="F201" s="7" t="s">
        <v>1043</v>
      </c>
      <c r="G201" s="7" t="s">
        <v>36</v>
      </c>
      <c r="H201" s="8">
        <v>69600</v>
      </c>
      <c r="I201" s="7" t="s">
        <v>1044</v>
      </c>
      <c r="J201" s="7" t="s">
        <v>445</v>
      </c>
      <c r="K201" s="7" t="s">
        <v>1045</v>
      </c>
      <c r="L201" s="9" t="s">
        <v>1046</v>
      </c>
      <c r="M201" s="10">
        <v>45315</v>
      </c>
      <c r="N201" s="7" t="s">
        <v>82</v>
      </c>
      <c r="O201" s="7" t="s">
        <v>845</v>
      </c>
      <c r="P201" s="20"/>
      <c r="Q201" s="40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 t="e">
        <f t="shared" si="17"/>
        <v>#DIV/0!</v>
      </c>
      <c r="AG201" s="11" t="e">
        <f t="shared" si="18"/>
        <v>#DIV/0!</v>
      </c>
    </row>
    <row r="202" spans="2:33" ht="25.5" x14ac:dyDescent="0.25">
      <c r="B202" s="5">
        <v>197</v>
      </c>
      <c r="C202" s="27" t="s">
        <v>1047</v>
      </c>
      <c r="D202" s="5" t="s">
        <v>33</v>
      </c>
      <c r="E202" s="7" t="s">
        <v>1048</v>
      </c>
      <c r="F202" s="7" t="s">
        <v>1049</v>
      </c>
      <c r="G202" s="7" t="s">
        <v>107</v>
      </c>
      <c r="H202" s="8">
        <v>382990.71</v>
      </c>
      <c r="I202" s="7" t="s">
        <v>390</v>
      </c>
      <c r="J202" s="7" t="s">
        <v>391</v>
      </c>
      <c r="K202" s="7" t="s">
        <v>1050</v>
      </c>
      <c r="L202" s="9" t="s">
        <v>1051</v>
      </c>
      <c r="M202" s="10">
        <v>45315</v>
      </c>
      <c r="N202" s="9" t="s">
        <v>41</v>
      </c>
      <c r="O202" s="9"/>
      <c r="P202" s="20"/>
      <c r="Q202" s="40">
        <v>269</v>
      </c>
      <c r="R202" s="1">
        <v>154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>
        <v>330</v>
      </c>
      <c r="AD202" s="1"/>
      <c r="AE202" s="1">
        <f t="shared" ref="AE202:AE208" si="19">COUNT(Q202:AD202)</f>
        <v>3</v>
      </c>
      <c r="AF202" s="1">
        <f t="shared" si="17"/>
        <v>251</v>
      </c>
      <c r="AG202" s="11" t="str">
        <f t="shared" si="18"/>
        <v>APROVADO</v>
      </c>
    </row>
    <row r="203" spans="2:33" ht="25.5" x14ac:dyDescent="0.25">
      <c r="B203" s="5">
        <v>198</v>
      </c>
      <c r="C203" s="6" t="s">
        <v>1052</v>
      </c>
      <c r="D203" s="5" t="s">
        <v>33</v>
      </c>
      <c r="E203" s="7" t="s">
        <v>1048</v>
      </c>
      <c r="F203" s="7" t="s">
        <v>1053</v>
      </c>
      <c r="G203" s="7" t="s">
        <v>107</v>
      </c>
      <c r="H203" s="8">
        <v>377065.43</v>
      </c>
      <c r="I203" s="7" t="s">
        <v>390</v>
      </c>
      <c r="J203" s="7" t="s">
        <v>391</v>
      </c>
      <c r="K203" s="7" t="s">
        <v>1050</v>
      </c>
      <c r="L203" s="9" t="s">
        <v>1051</v>
      </c>
      <c r="M203" s="10">
        <v>45315</v>
      </c>
      <c r="N203" s="9" t="s">
        <v>41</v>
      </c>
      <c r="O203" s="7"/>
      <c r="P203" s="20"/>
      <c r="Q203" s="40">
        <v>268</v>
      </c>
      <c r="R203" s="1"/>
      <c r="S203" s="1"/>
      <c r="T203" s="1"/>
      <c r="U203" s="1">
        <v>151</v>
      </c>
      <c r="V203" s="1"/>
      <c r="W203" s="1"/>
      <c r="X203" s="1"/>
      <c r="Y203" s="1"/>
      <c r="Z203" s="1">
        <v>238</v>
      </c>
      <c r="AA203" s="1"/>
      <c r="AB203" s="1"/>
      <c r="AC203" s="1"/>
      <c r="AD203" s="1"/>
      <c r="AE203" s="1">
        <f t="shared" si="19"/>
        <v>3</v>
      </c>
      <c r="AF203" s="1">
        <f t="shared" si="17"/>
        <v>219</v>
      </c>
      <c r="AG203" s="11" t="str">
        <f t="shared" si="18"/>
        <v>APROVADO</v>
      </c>
    </row>
    <row r="204" spans="2:33" ht="25.5" x14ac:dyDescent="0.25">
      <c r="B204" s="5">
        <v>199</v>
      </c>
      <c r="C204" s="6" t="s">
        <v>1054</v>
      </c>
      <c r="D204" s="5" t="s">
        <v>51</v>
      </c>
      <c r="E204" s="7" t="s">
        <v>1055</v>
      </c>
      <c r="F204" s="7" t="s">
        <v>1056</v>
      </c>
      <c r="G204" s="7" t="s">
        <v>36</v>
      </c>
      <c r="H204" s="28">
        <v>70311.8</v>
      </c>
      <c r="I204" s="13" t="s">
        <v>1057</v>
      </c>
      <c r="J204" s="11" t="s">
        <v>189</v>
      </c>
      <c r="K204" s="7" t="s">
        <v>1058</v>
      </c>
      <c r="L204" s="7" t="s">
        <v>1059</v>
      </c>
      <c r="M204" s="26">
        <v>45315</v>
      </c>
      <c r="N204" s="13" t="s">
        <v>57</v>
      </c>
      <c r="O204" s="13"/>
      <c r="P204" s="20"/>
      <c r="Q204" s="1">
        <v>340</v>
      </c>
      <c r="R204" s="1"/>
      <c r="S204" s="1"/>
      <c r="T204" s="1"/>
      <c r="U204" s="1"/>
      <c r="V204" s="1">
        <v>340</v>
      </c>
      <c r="W204" s="1">
        <v>340</v>
      </c>
      <c r="X204" s="1"/>
      <c r="Y204" s="1"/>
      <c r="Z204" s="1"/>
      <c r="AA204" s="1"/>
      <c r="AB204" s="1"/>
      <c r="AC204" s="20"/>
      <c r="AD204" s="20"/>
      <c r="AE204" s="1">
        <f t="shared" si="19"/>
        <v>3</v>
      </c>
      <c r="AF204" s="1">
        <f t="shared" si="17"/>
        <v>340</v>
      </c>
      <c r="AG204" s="11" t="str">
        <f t="shared" si="18"/>
        <v>APROVADO</v>
      </c>
    </row>
    <row r="205" spans="2:33" ht="38.25" x14ac:dyDescent="0.25">
      <c r="B205" s="5">
        <v>200</v>
      </c>
      <c r="C205" s="27" t="s">
        <v>1060</v>
      </c>
      <c r="D205" s="5" t="s">
        <v>33</v>
      </c>
      <c r="E205" s="7" t="s">
        <v>1061</v>
      </c>
      <c r="F205" s="7" t="s">
        <v>1062</v>
      </c>
      <c r="G205" s="7" t="s">
        <v>107</v>
      </c>
      <c r="H205" s="8">
        <v>54058</v>
      </c>
      <c r="I205" s="7" t="s">
        <v>63</v>
      </c>
      <c r="J205" s="7" t="s">
        <v>64</v>
      </c>
      <c r="K205" s="7" t="s">
        <v>1063</v>
      </c>
      <c r="L205" s="9" t="s">
        <v>1064</v>
      </c>
      <c r="M205" s="10">
        <v>45320</v>
      </c>
      <c r="N205" s="7" t="s">
        <v>41</v>
      </c>
      <c r="O205" s="7"/>
      <c r="P205" s="20"/>
      <c r="Q205" s="40">
        <v>326</v>
      </c>
      <c r="R205" s="1">
        <v>173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>
        <v>338</v>
      </c>
      <c r="AD205" s="1"/>
      <c r="AE205" s="1">
        <f t="shared" si="19"/>
        <v>3</v>
      </c>
      <c r="AF205" s="1">
        <f t="shared" si="17"/>
        <v>279</v>
      </c>
      <c r="AG205" s="11" t="str">
        <f t="shared" si="18"/>
        <v>APROVADO</v>
      </c>
    </row>
    <row r="206" spans="2:33" ht="38.25" x14ac:dyDescent="0.25">
      <c r="B206" s="5">
        <v>201</v>
      </c>
      <c r="C206" s="24" t="s">
        <v>1065</v>
      </c>
      <c r="D206" s="5" t="s">
        <v>51</v>
      </c>
      <c r="E206" s="13" t="s">
        <v>1066</v>
      </c>
      <c r="F206" s="13" t="s">
        <v>1067</v>
      </c>
      <c r="G206" s="14" t="s">
        <v>36</v>
      </c>
      <c r="H206" s="28">
        <v>245000</v>
      </c>
      <c r="I206" s="29" t="s">
        <v>63</v>
      </c>
      <c r="J206" s="11" t="s">
        <v>64</v>
      </c>
      <c r="K206" s="13" t="s">
        <v>1068</v>
      </c>
      <c r="L206" s="30" t="s">
        <v>1069</v>
      </c>
      <c r="M206" s="26">
        <v>45320</v>
      </c>
      <c r="N206" s="13" t="s">
        <v>41</v>
      </c>
      <c r="O206" s="13"/>
      <c r="P206" s="20"/>
      <c r="Q206" s="1">
        <v>283</v>
      </c>
      <c r="R206" s="1">
        <v>228</v>
      </c>
      <c r="S206" s="1"/>
      <c r="T206" s="1"/>
      <c r="U206" s="1"/>
      <c r="V206" s="1"/>
      <c r="W206" s="1"/>
      <c r="X206" s="1"/>
      <c r="Y206" s="1"/>
      <c r="Z206" s="1">
        <v>238</v>
      </c>
      <c r="AA206" s="1"/>
      <c r="AB206" s="1"/>
      <c r="AC206" s="20"/>
      <c r="AD206" s="20"/>
      <c r="AE206" s="1">
        <f t="shared" si="19"/>
        <v>3</v>
      </c>
      <c r="AF206" s="1">
        <f t="shared" si="17"/>
        <v>249.66666666666666</v>
      </c>
      <c r="AG206" s="11" t="str">
        <f t="shared" si="18"/>
        <v>APROVADO</v>
      </c>
    </row>
    <row r="207" spans="2:33" ht="38.25" x14ac:dyDescent="0.25">
      <c r="B207" s="5">
        <v>202</v>
      </c>
      <c r="C207" s="27" t="s">
        <v>1070</v>
      </c>
      <c r="D207" s="5" t="s">
        <v>33</v>
      </c>
      <c r="E207" s="7" t="s">
        <v>1071</v>
      </c>
      <c r="F207" s="7" t="s">
        <v>1072</v>
      </c>
      <c r="G207" s="7" t="s">
        <v>107</v>
      </c>
      <c r="H207" s="8">
        <v>39554</v>
      </c>
      <c r="I207" s="7" t="s">
        <v>63</v>
      </c>
      <c r="J207" s="5" t="s">
        <v>64</v>
      </c>
      <c r="K207" s="7" t="s">
        <v>1073</v>
      </c>
      <c r="L207" s="9" t="s">
        <v>1074</v>
      </c>
      <c r="M207" s="10">
        <v>45320</v>
      </c>
      <c r="N207" s="7" t="s">
        <v>41</v>
      </c>
      <c r="O207" s="7"/>
      <c r="P207" s="20"/>
      <c r="Q207" s="40">
        <v>340</v>
      </c>
      <c r="R207" s="1">
        <v>243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>
        <v>340</v>
      </c>
      <c r="AD207" s="1"/>
      <c r="AE207" s="1">
        <f t="shared" si="19"/>
        <v>3</v>
      </c>
      <c r="AF207" s="1">
        <f t="shared" si="17"/>
        <v>307.66666666666669</v>
      </c>
      <c r="AG207" s="11" t="str">
        <f t="shared" si="18"/>
        <v>APROVADO</v>
      </c>
    </row>
    <row r="208" spans="2:33" ht="38.25" x14ac:dyDescent="0.25">
      <c r="B208" s="5">
        <v>203</v>
      </c>
      <c r="C208" s="6" t="s">
        <v>1075</v>
      </c>
      <c r="D208" s="5" t="s">
        <v>33</v>
      </c>
      <c r="E208" s="7" t="s">
        <v>1076</v>
      </c>
      <c r="F208" s="7" t="s">
        <v>1077</v>
      </c>
      <c r="G208" s="7" t="s">
        <v>36</v>
      </c>
      <c r="H208" s="8">
        <v>162300</v>
      </c>
      <c r="I208" s="7" t="s">
        <v>63</v>
      </c>
      <c r="J208" s="5" t="s">
        <v>64</v>
      </c>
      <c r="K208" s="7" t="s">
        <v>1078</v>
      </c>
      <c r="L208" s="9" t="s">
        <v>1079</v>
      </c>
      <c r="M208" s="10">
        <v>45320</v>
      </c>
      <c r="N208" s="7" t="s">
        <v>67</v>
      </c>
      <c r="O208" s="7"/>
      <c r="P208" s="20"/>
      <c r="Q208" s="40"/>
      <c r="R208" s="1">
        <v>195</v>
      </c>
      <c r="S208" s="1"/>
      <c r="T208" s="1"/>
      <c r="U208" s="1"/>
      <c r="V208" s="1"/>
      <c r="W208" s="1"/>
      <c r="X208" s="1">
        <v>290</v>
      </c>
      <c r="Y208" s="1">
        <v>315</v>
      </c>
      <c r="Z208" s="1"/>
      <c r="AA208" s="1"/>
      <c r="AB208" s="1"/>
      <c r="AC208" s="1"/>
      <c r="AD208" s="1"/>
      <c r="AE208" s="1">
        <f t="shared" si="19"/>
        <v>3</v>
      </c>
      <c r="AF208" s="1">
        <f t="shared" si="17"/>
        <v>266.66666666666669</v>
      </c>
      <c r="AG208" s="11" t="str">
        <f t="shared" si="18"/>
        <v>APROVADO</v>
      </c>
    </row>
    <row r="209" spans="2:33" ht="38.25" x14ac:dyDescent="0.25">
      <c r="B209" s="5">
        <v>204</v>
      </c>
      <c r="C209" s="16" t="s">
        <v>1080</v>
      </c>
      <c r="D209" s="5" t="s">
        <v>33</v>
      </c>
      <c r="E209" s="7" t="s">
        <v>1081</v>
      </c>
      <c r="F209" s="7" t="s">
        <v>1082</v>
      </c>
      <c r="G209" s="7" t="s">
        <v>36</v>
      </c>
      <c r="H209" s="8">
        <v>83615</v>
      </c>
      <c r="I209" s="7" t="s">
        <v>63</v>
      </c>
      <c r="J209" s="5" t="s">
        <v>64</v>
      </c>
      <c r="K209" s="7" t="s">
        <v>1083</v>
      </c>
      <c r="L209" s="9" t="s">
        <v>1084</v>
      </c>
      <c r="M209" s="10">
        <v>45320</v>
      </c>
      <c r="N209" s="7" t="s">
        <v>82</v>
      </c>
      <c r="O209" s="7" t="s">
        <v>845</v>
      </c>
      <c r="P209" s="20"/>
      <c r="Q209" s="40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 t="e">
        <f t="shared" si="17"/>
        <v>#DIV/0!</v>
      </c>
      <c r="AG209" s="11" t="e">
        <f t="shared" si="18"/>
        <v>#DIV/0!</v>
      </c>
    </row>
    <row r="210" spans="2:33" ht="38.25" x14ac:dyDescent="0.25">
      <c r="B210" s="5">
        <v>205</v>
      </c>
      <c r="C210" s="16" t="s">
        <v>1085</v>
      </c>
      <c r="D210" s="5" t="s">
        <v>33</v>
      </c>
      <c r="E210" s="7" t="s">
        <v>1081</v>
      </c>
      <c r="F210" s="7" t="s">
        <v>1086</v>
      </c>
      <c r="G210" s="7" t="s">
        <v>36</v>
      </c>
      <c r="H210" s="8">
        <v>81020</v>
      </c>
      <c r="I210" s="7" t="s">
        <v>63</v>
      </c>
      <c r="J210" s="5" t="s">
        <v>64</v>
      </c>
      <c r="K210" s="7" t="s">
        <v>1083</v>
      </c>
      <c r="L210" s="9" t="s">
        <v>1084</v>
      </c>
      <c r="M210" s="10">
        <v>45320</v>
      </c>
      <c r="N210" s="7" t="s">
        <v>82</v>
      </c>
      <c r="O210" s="7" t="s">
        <v>845</v>
      </c>
      <c r="P210" s="20"/>
      <c r="Q210" s="40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 t="e">
        <f t="shared" si="17"/>
        <v>#DIV/0!</v>
      </c>
      <c r="AG210" s="11" t="e">
        <f t="shared" si="18"/>
        <v>#DIV/0!</v>
      </c>
    </row>
    <row r="211" spans="2:33" ht="38.25" x14ac:dyDescent="0.25">
      <c r="B211" s="5">
        <v>206</v>
      </c>
      <c r="C211" s="16" t="s">
        <v>1087</v>
      </c>
      <c r="D211" s="5" t="s">
        <v>33</v>
      </c>
      <c r="E211" s="7" t="s">
        <v>1081</v>
      </c>
      <c r="F211" s="7" t="s">
        <v>1088</v>
      </c>
      <c r="G211" s="7" t="s">
        <v>36</v>
      </c>
      <c r="H211" s="8">
        <v>95840.6</v>
      </c>
      <c r="I211" s="7" t="s">
        <v>63</v>
      </c>
      <c r="J211" s="5" t="s">
        <v>64</v>
      </c>
      <c r="K211" s="7" t="s">
        <v>1083</v>
      </c>
      <c r="L211" s="9" t="s">
        <v>1084</v>
      </c>
      <c r="M211" s="10">
        <v>45320</v>
      </c>
      <c r="N211" s="7" t="s">
        <v>82</v>
      </c>
      <c r="O211" s="7" t="s">
        <v>845</v>
      </c>
      <c r="P211" s="20"/>
      <c r="Q211" s="40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 t="e">
        <f t="shared" si="17"/>
        <v>#DIV/0!</v>
      </c>
      <c r="AG211" s="11" t="e">
        <f t="shared" si="18"/>
        <v>#DIV/0!</v>
      </c>
    </row>
    <row r="212" spans="2:33" ht="25.5" x14ac:dyDescent="0.25">
      <c r="B212" s="5">
        <v>207</v>
      </c>
      <c r="C212" s="27" t="s">
        <v>1089</v>
      </c>
      <c r="D212" s="5" t="s">
        <v>33</v>
      </c>
      <c r="E212" s="5" t="s">
        <v>1090</v>
      </c>
      <c r="F212" s="5" t="s">
        <v>1091</v>
      </c>
      <c r="G212" s="7" t="s">
        <v>36</v>
      </c>
      <c r="H212" s="8">
        <v>192000</v>
      </c>
      <c r="I212" s="7" t="s">
        <v>728</v>
      </c>
      <c r="J212" s="7" t="s">
        <v>123</v>
      </c>
      <c r="K212" s="7" t="s">
        <v>1092</v>
      </c>
      <c r="L212" s="9" t="s">
        <v>1093</v>
      </c>
      <c r="M212" s="10">
        <v>45320</v>
      </c>
      <c r="N212" s="5" t="s">
        <v>41</v>
      </c>
      <c r="O212" s="7"/>
      <c r="P212" s="20"/>
      <c r="Q212" s="39">
        <v>340</v>
      </c>
      <c r="R212" s="1">
        <v>180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>
        <v>314</v>
      </c>
      <c r="AD212" s="1"/>
      <c r="AE212" s="1">
        <f t="shared" ref="AE212:AE217" si="20">COUNT(Q212:AD212)</f>
        <v>3</v>
      </c>
      <c r="AF212" s="1">
        <f t="shared" si="17"/>
        <v>278</v>
      </c>
      <c r="AG212" s="11" t="str">
        <f t="shared" si="18"/>
        <v>APROVADO</v>
      </c>
    </row>
    <row r="213" spans="2:33" ht="25.5" x14ac:dyDescent="0.25">
      <c r="B213" s="5">
        <v>208</v>
      </c>
      <c r="C213" s="27" t="s">
        <v>1094</v>
      </c>
      <c r="D213" s="5" t="s">
        <v>33</v>
      </c>
      <c r="E213" s="7" t="s">
        <v>1090</v>
      </c>
      <c r="F213" s="7" t="s">
        <v>1095</v>
      </c>
      <c r="G213" s="7" t="s">
        <v>72</v>
      </c>
      <c r="H213" s="8">
        <v>280900</v>
      </c>
      <c r="I213" s="7" t="s">
        <v>728</v>
      </c>
      <c r="J213" s="7" t="s">
        <v>123</v>
      </c>
      <c r="K213" s="7" t="s">
        <v>1092</v>
      </c>
      <c r="L213" s="9" t="s">
        <v>1093</v>
      </c>
      <c r="M213" s="10">
        <v>45320</v>
      </c>
      <c r="N213" s="7" t="s">
        <v>41</v>
      </c>
      <c r="O213" s="7"/>
      <c r="P213" s="20"/>
      <c r="Q213" s="40">
        <v>292</v>
      </c>
      <c r="R213" s="1">
        <v>198</v>
      </c>
      <c r="S213" s="1">
        <v>262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>
        <f t="shared" si="20"/>
        <v>3</v>
      </c>
      <c r="AF213" s="1">
        <f t="shared" si="17"/>
        <v>250.66666666666666</v>
      </c>
      <c r="AG213" s="11" t="str">
        <f t="shared" si="18"/>
        <v>APROVADO</v>
      </c>
    </row>
    <row r="214" spans="2:33" ht="25.5" x14ac:dyDescent="0.25">
      <c r="B214" s="5">
        <v>209</v>
      </c>
      <c r="C214" s="27" t="s">
        <v>1096</v>
      </c>
      <c r="D214" s="5" t="s">
        <v>33</v>
      </c>
      <c r="E214" s="7" t="s">
        <v>1090</v>
      </c>
      <c r="F214" s="7" t="s">
        <v>1097</v>
      </c>
      <c r="G214" s="5" t="s">
        <v>62</v>
      </c>
      <c r="H214" s="8">
        <v>698600</v>
      </c>
      <c r="I214" s="7" t="s">
        <v>728</v>
      </c>
      <c r="J214" s="7" t="s">
        <v>123</v>
      </c>
      <c r="K214" s="7" t="s">
        <v>1098</v>
      </c>
      <c r="L214" s="9" t="s">
        <v>1093</v>
      </c>
      <c r="M214" s="10">
        <v>45320</v>
      </c>
      <c r="N214" s="7" t="s">
        <v>41</v>
      </c>
      <c r="O214" s="7"/>
      <c r="P214" s="20"/>
      <c r="Q214" s="40">
        <v>333</v>
      </c>
      <c r="R214" s="1">
        <v>168</v>
      </c>
      <c r="S214" s="1"/>
      <c r="T214" s="1"/>
      <c r="U214" s="1"/>
      <c r="V214" s="1"/>
      <c r="W214" s="1"/>
      <c r="X214" s="1"/>
      <c r="Y214" s="1"/>
      <c r="Z214" s="1"/>
      <c r="AA214" s="1"/>
      <c r="AB214" s="1">
        <v>240</v>
      </c>
      <c r="AC214" s="1"/>
      <c r="AD214" s="1"/>
      <c r="AE214" s="1">
        <f t="shared" si="20"/>
        <v>3</v>
      </c>
      <c r="AF214" s="1">
        <f t="shared" si="17"/>
        <v>247</v>
      </c>
      <c r="AG214" s="11" t="str">
        <f t="shared" si="18"/>
        <v>APROVADO</v>
      </c>
    </row>
    <row r="215" spans="2:33" ht="25.5" x14ac:dyDescent="0.25">
      <c r="B215" s="5">
        <v>210</v>
      </c>
      <c r="C215" s="6" t="s">
        <v>1099</v>
      </c>
      <c r="D215" s="5" t="s">
        <v>33</v>
      </c>
      <c r="E215" s="7" t="s">
        <v>1100</v>
      </c>
      <c r="F215" s="7" t="s">
        <v>1101</v>
      </c>
      <c r="G215" s="7" t="s">
        <v>107</v>
      </c>
      <c r="H215" s="8">
        <v>704000</v>
      </c>
      <c r="I215" s="7" t="s">
        <v>728</v>
      </c>
      <c r="J215" s="7" t="s">
        <v>123</v>
      </c>
      <c r="K215" s="7" t="s">
        <v>1102</v>
      </c>
      <c r="L215" s="9" t="s">
        <v>1103</v>
      </c>
      <c r="M215" s="10">
        <v>45320</v>
      </c>
      <c r="N215" s="7" t="s">
        <v>67</v>
      </c>
      <c r="O215" s="7"/>
      <c r="P215" s="20"/>
      <c r="Q215" s="40"/>
      <c r="R215" s="1">
        <v>146</v>
      </c>
      <c r="S215" s="1"/>
      <c r="T215" s="1"/>
      <c r="U215" s="1"/>
      <c r="V215" s="1">
        <v>303</v>
      </c>
      <c r="W215" s="1">
        <v>303</v>
      </c>
      <c r="X215" s="1"/>
      <c r="Y215" s="1"/>
      <c r="Z215" s="1"/>
      <c r="AA215" s="1"/>
      <c r="AB215" s="1"/>
      <c r="AC215" s="1"/>
      <c r="AD215" s="1"/>
      <c r="AE215" s="1">
        <f t="shared" si="20"/>
        <v>3</v>
      </c>
      <c r="AF215" s="1">
        <f t="shared" si="17"/>
        <v>250.66666666666666</v>
      </c>
      <c r="AG215" s="11" t="str">
        <f t="shared" si="18"/>
        <v>APROVADO</v>
      </c>
    </row>
    <row r="216" spans="2:33" x14ac:dyDescent="0.25">
      <c r="B216" s="5">
        <v>211</v>
      </c>
      <c r="C216" s="6" t="s">
        <v>1104</v>
      </c>
      <c r="D216" s="5" t="s">
        <v>33</v>
      </c>
      <c r="E216" s="7" t="s">
        <v>1105</v>
      </c>
      <c r="F216" s="7" t="s">
        <v>1106</v>
      </c>
      <c r="G216" s="7" t="s">
        <v>36</v>
      </c>
      <c r="H216" s="17">
        <v>135744</v>
      </c>
      <c r="I216" s="7" t="s">
        <v>1107</v>
      </c>
      <c r="J216" s="5" t="s">
        <v>123</v>
      </c>
      <c r="K216" s="5" t="s">
        <v>1108</v>
      </c>
      <c r="L216" s="31" t="s">
        <v>1109</v>
      </c>
      <c r="M216" s="10">
        <v>45320</v>
      </c>
      <c r="N216" s="7" t="s">
        <v>67</v>
      </c>
      <c r="O216" s="7"/>
      <c r="P216" s="20"/>
      <c r="Q216" s="40">
        <v>330</v>
      </c>
      <c r="R216" s="1">
        <v>215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>
        <v>340</v>
      </c>
      <c r="AE216" s="1">
        <f t="shared" si="20"/>
        <v>3</v>
      </c>
      <c r="AF216" s="1">
        <f t="shared" si="17"/>
        <v>295</v>
      </c>
      <c r="AG216" s="11" t="str">
        <f t="shared" si="18"/>
        <v>APROVADO</v>
      </c>
    </row>
    <row r="217" spans="2:33" ht="25.5" x14ac:dyDescent="0.25">
      <c r="B217" s="5">
        <v>212</v>
      </c>
      <c r="C217" s="6" t="s">
        <v>1110</v>
      </c>
      <c r="D217" s="5" t="s">
        <v>33</v>
      </c>
      <c r="E217" s="7" t="s">
        <v>1111</v>
      </c>
      <c r="F217" s="7" t="s">
        <v>1112</v>
      </c>
      <c r="G217" s="5" t="s">
        <v>107</v>
      </c>
      <c r="H217" s="17">
        <v>150000</v>
      </c>
      <c r="I217" s="7" t="s">
        <v>1107</v>
      </c>
      <c r="J217" s="5" t="s">
        <v>123</v>
      </c>
      <c r="K217" s="5" t="s">
        <v>1113</v>
      </c>
      <c r="L217" s="31" t="s">
        <v>1114</v>
      </c>
      <c r="M217" s="10">
        <v>45320</v>
      </c>
      <c r="N217" s="7" t="s">
        <v>67</v>
      </c>
      <c r="O217" s="7"/>
      <c r="P217" s="20"/>
      <c r="Q217" s="40">
        <v>276</v>
      </c>
      <c r="R217" s="1">
        <v>200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>
        <v>272</v>
      </c>
      <c r="AE217" s="1">
        <f t="shared" si="20"/>
        <v>3</v>
      </c>
      <c r="AF217" s="1">
        <f t="shared" si="17"/>
        <v>249.33333333333334</v>
      </c>
      <c r="AG217" s="11" t="str">
        <f t="shared" si="18"/>
        <v>APROVADO</v>
      </c>
    </row>
    <row r="218" spans="2:33" ht="38.25" x14ac:dyDescent="0.25">
      <c r="B218" s="5">
        <v>213</v>
      </c>
      <c r="C218" s="16" t="s">
        <v>1115</v>
      </c>
      <c r="D218" s="5" t="s">
        <v>33</v>
      </c>
      <c r="E218" s="7" t="s">
        <v>1116</v>
      </c>
      <c r="F218" s="7" t="s">
        <v>1117</v>
      </c>
      <c r="G218" s="7" t="s">
        <v>36</v>
      </c>
      <c r="H218" s="8">
        <v>300000</v>
      </c>
      <c r="I218" s="7" t="s">
        <v>1118</v>
      </c>
      <c r="J218" s="7" t="s">
        <v>64</v>
      </c>
      <c r="K218" s="7" t="s">
        <v>1119</v>
      </c>
      <c r="L218" s="9" t="s">
        <v>1120</v>
      </c>
      <c r="M218" s="10">
        <v>45320</v>
      </c>
      <c r="N218" s="7" t="s">
        <v>226</v>
      </c>
      <c r="O218" s="7" t="s">
        <v>600</v>
      </c>
      <c r="P218" s="20"/>
      <c r="Q218" s="40">
        <v>0</v>
      </c>
      <c r="R218" s="1">
        <v>121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>
        <f t="shared" si="17"/>
        <v>60.5</v>
      </c>
      <c r="AG218" s="11" t="str">
        <f t="shared" si="18"/>
        <v>REPROVADO</v>
      </c>
    </row>
    <row r="219" spans="2:33" ht="25.5" x14ac:dyDescent="0.25">
      <c r="B219" s="5">
        <v>214</v>
      </c>
      <c r="C219" s="24" t="s">
        <v>1121</v>
      </c>
      <c r="D219" s="5" t="s">
        <v>51</v>
      </c>
      <c r="E219" s="13" t="s">
        <v>1122</v>
      </c>
      <c r="F219" s="13" t="s">
        <v>1123</v>
      </c>
      <c r="G219" s="14" t="s">
        <v>36</v>
      </c>
      <c r="H219" s="28">
        <v>63561</v>
      </c>
      <c r="I219" s="14" t="s">
        <v>1124</v>
      </c>
      <c r="J219" s="11" t="s">
        <v>189</v>
      </c>
      <c r="K219" s="13" t="s">
        <v>1125</v>
      </c>
      <c r="L219" s="30" t="s">
        <v>1126</v>
      </c>
      <c r="M219" s="26">
        <v>45320</v>
      </c>
      <c r="N219" s="13" t="s">
        <v>41</v>
      </c>
      <c r="O219" s="13"/>
      <c r="P219" s="20"/>
      <c r="Q219" s="1">
        <v>340</v>
      </c>
      <c r="R219" s="1">
        <v>220</v>
      </c>
      <c r="S219" s="1">
        <v>248</v>
      </c>
      <c r="T219" s="1"/>
      <c r="U219" s="1"/>
      <c r="V219" s="1"/>
      <c r="W219" s="1"/>
      <c r="X219" s="1"/>
      <c r="Y219" s="1"/>
      <c r="Z219" s="1"/>
      <c r="AA219" s="1"/>
      <c r="AB219" s="1"/>
      <c r="AC219" s="20"/>
      <c r="AD219" s="20"/>
      <c r="AE219" s="1">
        <f>COUNT(Q219:AD219)</f>
        <v>3</v>
      </c>
      <c r="AF219" s="1">
        <f t="shared" si="17"/>
        <v>269.33333333333331</v>
      </c>
      <c r="AG219" s="11" t="str">
        <f t="shared" si="18"/>
        <v>APROVADO</v>
      </c>
    </row>
    <row r="220" spans="2:33" ht="25.5" x14ac:dyDescent="0.25">
      <c r="B220" s="5">
        <v>215</v>
      </c>
      <c r="C220" s="27" t="s">
        <v>1127</v>
      </c>
      <c r="D220" s="5" t="s">
        <v>33</v>
      </c>
      <c r="E220" s="7" t="s">
        <v>1128</v>
      </c>
      <c r="F220" s="7" t="s">
        <v>1129</v>
      </c>
      <c r="G220" s="7" t="s">
        <v>36</v>
      </c>
      <c r="H220" s="8">
        <v>60367</v>
      </c>
      <c r="I220" s="7" t="s">
        <v>1130</v>
      </c>
      <c r="J220" s="7" t="s">
        <v>445</v>
      </c>
      <c r="K220" s="7" t="s">
        <v>1131</v>
      </c>
      <c r="L220" s="9" t="s">
        <v>1132</v>
      </c>
      <c r="M220" s="10">
        <v>45320</v>
      </c>
      <c r="N220" s="7" t="s">
        <v>41</v>
      </c>
      <c r="O220" s="7"/>
      <c r="P220" s="20"/>
      <c r="Q220" s="40">
        <v>340</v>
      </c>
      <c r="R220" s="1">
        <v>258</v>
      </c>
      <c r="S220" s="1">
        <v>280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>
        <f>COUNT(Q220:AD220)</f>
        <v>3</v>
      </c>
      <c r="AF220" s="1">
        <f t="shared" si="17"/>
        <v>292.66666666666669</v>
      </c>
      <c r="AG220" s="11" t="str">
        <f t="shared" si="18"/>
        <v>APROVADO</v>
      </c>
    </row>
    <row r="221" spans="2:33" x14ac:dyDescent="0.25">
      <c r="B221" s="5">
        <v>216</v>
      </c>
      <c r="C221" s="16" t="s">
        <v>1133</v>
      </c>
      <c r="D221" s="5" t="s">
        <v>33</v>
      </c>
      <c r="E221" s="7"/>
      <c r="F221" s="5" t="s">
        <v>1134</v>
      </c>
      <c r="G221" s="5" t="s">
        <v>36</v>
      </c>
      <c r="H221" s="17">
        <v>293916.67</v>
      </c>
      <c r="I221" s="7" t="s">
        <v>859</v>
      </c>
      <c r="J221" s="7" t="s">
        <v>181</v>
      </c>
      <c r="K221" s="7" t="s">
        <v>1135</v>
      </c>
      <c r="L221" s="9" t="s">
        <v>1136</v>
      </c>
      <c r="M221" s="10">
        <v>45320</v>
      </c>
      <c r="N221" s="13" t="s">
        <v>226</v>
      </c>
      <c r="O221" s="13" t="s">
        <v>227</v>
      </c>
      <c r="P221" s="20"/>
      <c r="Q221" s="40">
        <v>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>
        <f t="shared" si="17"/>
        <v>0</v>
      </c>
      <c r="AG221" s="11" t="str">
        <f t="shared" si="18"/>
        <v>REPROVADO</v>
      </c>
    </row>
    <row r="222" spans="2:33" ht="25.5" x14ac:dyDescent="0.25">
      <c r="B222" s="5">
        <v>217</v>
      </c>
      <c r="C222" s="6" t="s">
        <v>1137</v>
      </c>
      <c r="D222" s="5" t="s">
        <v>33</v>
      </c>
      <c r="E222" s="7" t="s">
        <v>1138</v>
      </c>
      <c r="F222" s="7" t="s">
        <v>1139</v>
      </c>
      <c r="G222" s="7" t="s">
        <v>36</v>
      </c>
      <c r="H222" s="8">
        <v>70000</v>
      </c>
      <c r="I222" s="7" t="s">
        <v>1140</v>
      </c>
      <c r="J222" s="7" t="s">
        <v>254</v>
      </c>
      <c r="K222" s="7" t="s">
        <v>1141</v>
      </c>
      <c r="L222" s="9" t="s">
        <v>1142</v>
      </c>
      <c r="M222" s="10">
        <v>45320</v>
      </c>
      <c r="N222" s="7" t="s">
        <v>67</v>
      </c>
      <c r="O222" s="7"/>
      <c r="P222" s="20"/>
      <c r="Q222" s="40"/>
      <c r="R222" s="1">
        <v>233</v>
      </c>
      <c r="S222" s="1"/>
      <c r="T222" s="1"/>
      <c r="U222" s="1"/>
      <c r="V222" s="1"/>
      <c r="W222" s="1"/>
      <c r="X222" s="1">
        <v>320</v>
      </c>
      <c r="Y222" s="1">
        <v>320</v>
      </c>
      <c r="Z222" s="1"/>
      <c r="AA222" s="1"/>
      <c r="AB222" s="1"/>
      <c r="AC222" s="1"/>
      <c r="AD222" s="1"/>
      <c r="AE222" s="1">
        <f>COUNT(Q222:AD222)</f>
        <v>3</v>
      </c>
      <c r="AF222" s="1">
        <f t="shared" si="17"/>
        <v>291</v>
      </c>
      <c r="AG222" s="11" t="str">
        <f t="shared" si="18"/>
        <v>APROVADO</v>
      </c>
    </row>
    <row r="223" spans="2:33" ht="25.5" x14ac:dyDescent="0.25">
      <c r="B223" s="5">
        <v>218</v>
      </c>
      <c r="C223" s="6" t="s">
        <v>1143</v>
      </c>
      <c r="D223" s="5" t="s">
        <v>33</v>
      </c>
      <c r="E223" s="7" t="s">
        <v>1144</v>
      </c>
      <c r="F223" s="7" t="s">
        <v>1145</v>
      </c>
      <c r="G223" s="7" t="s">
        <v>107</v>
      </c>
      <c r="H223" s="8">
        <v>214900</v>
      </c>
      <c r="I223" s="7" t="s">
        <v>1146</v>
      </c>
      <c r="J223" s="7" t="s">
        <v>123</v>
      </c>
      <c r="K223" s="7" t="s">
        <v>1147</v>
      </c>
      <c r="L223" s="9" t="s">
        <v>1148</v>
      </c>
      <c r="M223" s="10">
        <v>45320</v>
      </c>
      <c r="N223" s="7" t="s">
        <v>67</v>
      </c>
      <c r="O223" s="7"/>
      <c r="P223" s="20"/>
      <c r="Q223" s="40"/>
      <c r="R223" s="1">
        <v>133</v>
      </c>
      <c r="S223" s="1"/>
      <c r="T223" s="1"/>
      <c r="U223" s="1"/>
      <c r="V223" s="1">
        <v>288</v>
      </c>
      <c r="W223" s="1">
        <v>304</v>
      </c>
      <c r="X223" s="1"/>
      <c r="Y223" s="1"/>
      <c r="Z223" s="1"/>
      <c r="AA223" s="1"/>
      <c r="AB223" s="1"/>
      <c r="AC223" s="1"/>
      <c r="AD223" s="1"/>
      <c r="AE223" s="1">
        <f>COUNT(Q223:AD223)</f>
        <v>3</v>
      </c>
      <c r="AF223" s="1">
        <f t="shared" si="17"/>
        <v>241.66666666666666</v>
      </c>
      <c r="AG223" s="11" t="str">
        <f t="shared" si="18"/>
        <v>APROVADO</v>
      </c>
    </row>
    <row r="224" spans="2:33" ht="25.5" x14ac:dyDescent="0.25">
      <c r="B224" s="5">
        <v>219</v>
      </c>
      <c r="C224" s="6" t="s">
        <v>1149</v>
      </c>
      <c r="D224" s="5" t="s">
        <v>33</v>
      </c>
      <c r="E224" s="7" t="s">
        <v>1144</v>
      </c>
      <c r="F224" s="7" t="s">
        <v>1150</v>
      </c>
      <c r="G224" s="7" t="s">
        <v>36</v>
      </c>
      <c r="H224" s="8">
        <v>256800</v>
      </c>
      <c r="I224" s="7" t="s">
        <v>1146</v>
      </c>
      <c r="J224" s="7" t="s">
        <v>123</v>
      </c>
      <c r="K224" s="7" t="s">
        <v>1147</v>
      </c>
      <c r="L224" s="9" t="s">
        <v>1148</v>
      </c>
      <c r="M224" s="10">
        <v>45320</v>
      </c>
      <c r="N224" s="7" t="s">
        <v>67</v>
      </c>
      <c r="O224" s="7"/>
      <c r="P224" s="20"/>
      <c r="Q224" s="40"/>
      <c r="R224" s="1">
        <v>91</v>
      </c>
      <c r="S224" s="1"/>
      <c r="T224" s="1"/>
      <c r="U224" s="1"/>
      <c r="V224" s="1"/>
      <c r="W224" s="1"/>
      <c r="X224" s="1">
        <v>318</v>
      </c>
      <c r="Y224" s="1">
        <v>312</v>
      </c>
      <c r="Z224" s="1"/>
      <c r="AA224" s="1"/>
      <c r="AB224" s="1"/>
      <c r="AC224" s="1"/>
      <c r="AD224" s="1"/>
      <c r="AE224" s="1">
        <f>COUNT(Q224:AD224)</f>
        <v>3</v>
      </c>
      <c r="AF224" s="1">
        <f t="shared" si="17"/>
        <v>240.33333333333334</v>
      </c>
      <c r="AG224" s="11" t="str">
        <f t="shared" si="18"/>
        <v>APROVADO</v>
      </c>
    </row>
    <row r="225" spans="2:33" ht="25.5" x14ac:dyDescent="0.25">
      <c r="B225" s="5">
        <v>220</v>
      </c>
      <c r="C225" s="22" t="s">
        <v>1151</v>
      </c>
      <c r="D225" s="5" t="s">
        <v>51</v>
      </c>
      <c r="E225" s="9" t="s">
        <v>1152</v>
      </c>
      <c r="F225" s="11" t="s">
        <v>1153</v>
      </c>
      <c r="G225" s="11" t="s">
        <v>1154</v>
      </c>
      <c r="H225" s="41">
        <v>489440</v>
      </c>
      <c r="I225" s="9" t="s">
        <v>253</v>
      </c>
      <c r="J225" s="11" t="s">
        <v>254</v>
      </c>
      <c r="K225" s="9" t="s">
        <v>1155</v>
      </c>
      <c r="L225" s="9" t="s">
        <v>1156</v>
      </c>
      <c r="M225" s="34">
        <v>45320</v>
      </c>
      <c r="N225" s="7" t="s">
        <v>41</v>
      </c>
      <c r="O225" s="7" t="s">
        <v>845</v>
      </c>
      <c r="P225" s="20" t="s">
        <v>1157</v>
      </c>
      <c r="Q225" s="1">
        <v>318</v>
      </c>
      <c r="R225" s="1"/>
      <c r="S225" s="1">
        <v>250</v>
      </c>
      <c r="T225" s="1"/>
      <c r="U225" s="1"/>
      <c r="V225" s="1"/>
      <c r="W225" s="1"/>
      <c r="X225" s="1"/>
      <c r="Y225" s="1"/>
      <c r="Z225" s="1">
        <v>282</v>
      </c>
      <c r="AA225" s="1"/>
      <c r="AB225" s="1"/>
      <c r="AC225" s="20"/>
      <c r="AD225" s="20"/>
      <c r="AE225" s="1">
        <f>COUNT(Q225:AD225)</f>
        <v>3</v>
      </c>
      <c r="AF225" s="1">
        <f t="shared" si="17"/>
        <v>283.33333333333331</v>
      </c>
      <c r="AG225" s="11" t="str">
        <f t="shared" si="18"/>
        <v>APROVADO</v>
      </c>
    </row>
    <row r="226" spans="2:33" ht="38.25" x14ac:dyDescent="0.25">
      <c r="B226" s="5">
        <v>221</v>
      </c>
      <c r="C226" s="16" t="s">
        <v>1158</v>
      </c>
      <c r="D226" s="5" t="s">
        <v>33</v>
      </c>
      <c r="E226" s="7" t="s">
        <v>145</v>
      </c>
      <c r="F226" s="7" t="s">
        <v>1159</v>
      </c>
      <c r="G226" s="5" t="s">
        <v>36</v>
      </c>
      <c r="H226" s="8">
        <v>2142000</v>
      </c>
      <c r="I226" s="7" t="s">
        <v>147</v>
      </c>
      <c r="J226" s="5" t="s">
        <v>95</v>
      </c>
      <c r="K226" s="7" t="s">
        <v>1160</v>
      </c>
      <c r="L226" s="9" t="s">
        <v>149</v>
      </c>
      <c r="M226" s="10">
        <v>45320</v>
      </c>
      <c r="N226" s="7" t="s">
        <v>226</v>
      </c>
      <c r="O226" s="7" t="s">
        <v>600</v>
      </c>
      <c r="P226" s="20"/>
      <c r="Q226" s="40">
        <v>0</v>
      </c>
      <c r="R226" s="1">
        <v>34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>
        <f t="shared" si="17"/>
        <v>17</v>
      </c>
      <c r="AG226" s="11" t="str">
        <f t="shared" si="18"/>
        <v>REPROVADO</v>
      </c>
    </row>
    <row r="227" spans="2:33" ht="25.5" x14ac:dyDescent="0.25">
      <c r="B227" s="5">
        <v>222</v>
      </c>
      <c r="C227" s="6" t="s">
        <v>1161</v>
      </c>
      <c r="D227" s="5" t="s">
        <v>33</v>
      </c>
      <c r="E227" s="7" t="s">
        <v>1037</v>
      </c>
      <c r="F227" s="7" t="s">
        <v>1162</v>
      </c>
      <c r="G227" s="7" t="s">
        <v>107</v>
      </c>
      <c r="H227" s="8">
        <v>100000</v>
      </c>
      <c r="I227" s="7" t="s">
        <v>290</v>
      </c>
      <c r="J227" s="7" t="s">
        <v>154</v>
      </c>
      <c r="K227" s="7" t="s">
        <v>1039</v>
      </c>
      <c r="L227" s="9" t="s">
        <v>1040</v>
      </c>
      <c r="M227" s="10">
        <v>45320</v>
      </c>
      <c r="N227" s="9" t="s">
        <v>41</v>
      </c>
      <c r="O227" s="7"/>
      <c r="P227" s="20"/>
      <c r="Q227" s="40">
        <v>289</v>
      </c>
      <c r="R227" s="1"/>
      <c r="S227" s="1"/>
      <c r="T227" s="1"/>
      <c r="U227" s="1"/>
      <c r="V227" s="1"/>
      <c r="W227" s="1"/>
      <c r="X227" s="1"/>
      <c r="Y227" s="1"/>
      <c r="Z227" s="1">
        <v>323</v>
      </c>
      <c r="AA227" s="1">
        <v>216</v>
      </c>
      <c r="AB227" s="1"/>
      <c r="AC227" s="1"/>
      <c r="AD227" s="1"/>
      <c r="AE227" s="1">
        <f>COUNT(Q227:AD227)</f>
        <v>3</v>
      </c>
      <c r="AF227" s="1">
        <f t="shared" si="17"/>
        <v>276</v>
      </c>
      <c r="AG227" s="11" t="str">
        <f t="shared" si="18"/>
        <v>APROVADO</v>
      </c>
    </row>
    <row r="228" spans="2:33" ht="38.25" x14ac:dyDescent="0.25">
      <c r="B228" s="5">
        <v>223</v>
      </c>
      <c r="C228" s="16" t="s">
        <v>1163</v>
      </c>
      <c r="D228" s="5" t="s">
        <v>33</v>
      </c>
      <c r="E228" s="7" t="s">
        <v>1164</v>
      </c>
      <c r="F228" s="7" t="s">
        <v>1165</v>
      </c>
      <c r="G228" s="7" t="s">
        <v>36</v>
      </c>
      <c r="H228" s="8">
        <v>800000</v>
      </c>
      <c r="I228" s="7" t="s">
        <v>290</v>
      </c>
      <c r="J228" s="7" t="s">
        <v>154</v>
      </c>
      <c r="K228" s="7" t="s">
        <v>301</v>
      </c>
      <c r="L228" s="37" t="s">
        <v>1166</v>
      </c>
      <c r="M228" s="10">
        <v>45320</v>
      </c>
      <c r="N228" s="13" t="s">
        <v>226</v>
      </c>
      <c r="O228" s="7" t="s">
        <v>600</v>
      </c>
      <c r="P228" s="20"/>
      <c r="Q228" s="40">
        <v>0</v>
      </c>
      <c r="R228" s="1">
        <v>0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>
        <f t="shared" si="17"/>
        <v>0</v>
      </c>
      <c r="AG228" s="11" t="str">
        <f t="shared" si="18"/>
        <v>REPROVADO</v>
      </c>
    </row>
    <row r="229" spans="2:33" ht="38.25" x14ac:dyDescent="0.25">
      <c r="B229" s="5">
        <v>224</v>
      </c>
      <c r="C229" s="27" t="s">
        <v>1167</v>
      </c>
      <c r="D229" s="5" t="s">
        <v>33</v>
      </c>
      <c r="E229" s="7" t="s">
        <v>298</v>
      </c>
      <c r="F229" s="7" t="s">
        <v>304</v>
      </c>
      <c r="G229" s="7" t="s">
        <v>36</v>
      </c>
      <c r="H229" s="8">
        <v>500000</v>
      </c>
      <c r="I229" s="7" t="s">
        <v>290</v>
      </c>
      <c r="J229" s="7" t="s">
        <v>154</v>
      </c>
      <c r="K229" s="7" t="s">
        <v>301</v>
      </c>
      <c r="L229" s="37" t="s">
        <v>1166</v>
      </c>
      <c r="M229" s="10">
        <v>45320</v>
      </c>
      <c r="N229" s="7" t="s">
        <v>41</v>
      </c>
      <c r="O229" s="7" t="s">
        <v>305</v>
      </c>
      <c r="P229" s="20"/>
      <c r="Q229" s="40">
        <v>335</v>
      </c>
      <c r="R229" s="1">
        <v>253</v>
      </c>
      <c r="S229" s="1">
        <v>273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>
        <f>COUNT(Q229:AD229)</f>
        <v>3</v>
      </c>
      <c r="AF229" s="1">
        <f t="shared" si="17"/>
        <v>287</v>
      </c>
      <c r="AG229" s="11" t="str">
        <f t="shared" si="18"/>
        <v>APROVADO</v>
      </c>
    </row>
    <row r="230" spans="2:33" ht="38.25" x14ac:dyDescent="0.25">
      <c r="B230" s="5">
        <v>225</v>
      </c>
      <c r="C230" s="27" t="s">
        <v>1168</v>
      </c>
      <c r="D230" s="5" t="s">
        <v>33</v>
      </c>
      <c r="E230" s="7" t="s">
        <v>1169</v>
      </c>
      <c r="F230" s="7" t="s">
        <v>1170</v>
      </c>
      <c r="G230" s="7" t="s">
        <v>36</v>
      </c>
      <c r="H230" s="8">
        <v>371000</v>
      </c>
      <c r="I230" s="7" t="s">
        <v>1171</v>
      </c>
      <c r="J230" s="7" t="s">
        <v>95</v>
      </c>
      <c r="K230" s="7" t="s">
        <v>1172</v>
      </c>
      <c r="L230" s="9" t="s">
        <v>1173</v>
      </c>
      <c r="M230" s="10">
        <v>45320</v>
      </c>
      <c r="N230" s="7" t="s">
        <v>41</v>
      </c>
      <c r="O230" s="7"/>
      <c r="P230" s="20"/>
      <c r="Q230" s="40">
        <v>325</v>
      </c>
      <c r="R230" s="1">
        <v>230</v>
      </c>
      <c r="S230" s="1">
        <v>219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f>COUNT(Q230:AD230)</f>
        <v>3</v>
      </c>
      <c r="AF230" s="1">
        <f t="shared" si="17"/>
        <v>258</v>
      </c>
      <c r="AG230" s="11" t="str">
        <f t="shared" si="18"/>
        <v>APROVADO</v>
      </c>
    </row>
    <row r="231" spans="2:33" ht="38.25" x14ac:dyDescent="0.25">
      <c r="B231" s="5">
        <v>226</v>
      </c>
      <c r="C231" s="16" t="s">
        <v>1174</v>
      </c>
      <c r="D231" s="5" t="s">
        <v>33</v>
      </c>
      <c r="E231" s="7" t="s">
        <v>1169</v>
      </c>
      <c r="F231" s="7" t="s">
        <v>1175</v>
      </c>
      <c r="G231" s="7" t="s">
        <v>174</v>
      </c>
      <c r="H231" s="8">
        <v>2500000</v>
      </c>
      <c r="I231" s="7" t="s">
        <v>1171</v>
      </c>
      <c r="J231" s="7" t="s">
        <v>95</v>
      </c>
      <c r="K231" s="7" t="s">
        <v>1172</v>
      </c>
      <c r="L231" s="9" t="s">
        <v>1173</v>
      </c>
      <c r="M231" s="10">
        <v>45320</v>
      </c>
      <c r="N231" s="9" t="s">
        <v>226</v>
      </c>
      <c r="O231" s="7" t="s">
        <v>600</v>
      </c>
      <c r="P231" s="20"/>
      <c r="Q231" s="40">
        <v>0</v>
      </c>
      <c r="R231" s="1">
        <v>0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>
        <f t="shared" si="17"/>
        <v>0</v>
      </c>
      <c r="AG231" s="11" t="str">
        <f t="shared" si="18"/>
        <v>REPROVADO</v>
      </c>
    </row>
    <row r="232" spans="2:33" ht="38.25" x14ac:dyDescent="0.25">
      <c r="B232" s="5">
        <v>227</v>
      </c>
      <c r="C232" s="27" t="s">
        <v>1176</v>
      </c>
      <c r="D232" s="5" t="s">
        <v>33</v>
      </c>
      <c r="E232" s="7" t="s">
        <v>1169</v>
      </c>
      <c r="F232" s="7" t="s">
        <v>1177</v>
      </c>
      <c r="G232" s="7" t="s">
        <v>174</v>
      </c>
      <c r="H232" s="8">
        <v>2600000</v>
      </c>
      <c r="I232" s="7" t="s">
        <v>1171</v>
      </c>
      <c r="J232" s="7" t="s">
        <v>95</v>
      </c>
      <c r="K232" s="7" t="s">
        <v>1172</v>
      </c>
      <c r="L232" s="9" t="s">
        <v>1173</v>
      </c>
      <c r="M232" s="10">
        <v>45320</v>
      </c>
      <c r="N232" s="7" t="s">
        <v>41</v>
      </c>
      <c r="O232" s="7"/>
      <c r="P232" s="20"/>
      <c r="Q232" s="40">
        <v>318</v>
      </c>
      <c r="R232" s="1">
        <v>265</v>
      </c>
      <c r="S232" s="1">
        <v>245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>
        <f>COUNT(Q232:AD232)</f>
        <v>3</v>
      </c>
      <c r="AF232" s="1">
        <f t="shared" si="17"/>
        <v>276</v>
      </c>
      <c r="AG232" s="11" t="str">
        <f t="shared" si="18"/>
        <v>APROVADO</v>
      </c>
    </row>
    <row r="233" spans="2:33" ht="25.5" x14ac:dyDescent="0.25">
      <c r="B233" s="5">
        <v>228</v>
      </c>
      <c r="C233" s="6" t="s">
        <v>1178</v>
      </c>
      <c r="D233" s="5" t="s">
        <v>33</v>
      </c>
      <c r="E233" s="5" t="s">
        <v>1179</v>
      </c>
      <c r="F233" s="5" t="s">
        <v>1180</v>
      </c>
      <c r="G233" s="7" t="s">
        <v>36</v>
      </c>
      <c r="H233" s="8">
        <v>600000</v>
      </c>
      <c r="I233" s="7" t="s">
        <v>201</v>
      </c>
      <c r="J233" s="7" t="s">
        <v>202</v>
      </c>
      <c r="K233" s="7" t="s">
        <v>1181</v>
      </c>
      <c r="L233" s="9" t="s">
        <v>1182</v>
      </c>
      <c r="M233" s="10">
        <v>45320</v>
      </c>
      <c r="N233" s="5" t="s">
        <v>67</v>
      </c>
      <c r="O233" s="7"/>
      <c r="P233" s="20"/>
      <c r="Q233" s="39">
        <v>327</v>
      </c>
      <c r="R233" s="1">
        <v>150</v>
      </c>
      <c r="S233" s="1">
        <v>239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>
        <f>COUNT(Q233:AD233)</f>
        <v>3</v>
      </c>
      <c r="AF233" s="1">
        <f t="shared" si="17"/>
        <v>238.66666666666666</v>
      </c>
      <c r="AG233" s="11" t="str">
        <f t="shared" si="18"/>
        <v>APROVADO</v>
      </c>
    </row>
    <row r="234" spans="2:33" ht="25.5" x14ac:dyDescent="0.25">
      <c r="B234" s="5">
        <v>229</v>
      </c>
      <c r="C234" s="16" t="s">
        <v>1183</v>
      </c>
      <c r="D234" s="5" t="s">
        <v>33</v>
      </c>
      <c r="E234" s="7" t="s">
        <v>1184</v>
      </c>
      <c r="F234" s="7" t="s">
        <v>1185</v>
      </c>
      <c r="G234" s="7" t="s">
        <v>107</v>
      </c>
      <c r="H234" s="8">
        <v>35000</v>
      </c>
      <c r="I234" s="7" t="s">
        <v>1186</v>
      </c>
      <c r="J234" s="7" t="s">
        <v>445</v>
      </c>
      <c r="K234" s="7" t="s">
        <v>1187</v>
      </c>
      <c r="L234" s="9" t="s">
        <v>1188</v>
      </c>
      <c r="M234" s="10">
        <v>45320</v>
      </c>
      <c r="N234" s="7" t="s">
        <v>82</v>
      </c>
      <c r="O234" s="7" t="s">
        <v>419</v>
      </c>
      <c r="P234" s="20"/>
      <c r="Q234" s="40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 t="e">
        <f t="shared" si="17"/>
        <v>#DIV/0!</v>
      </c>
      <c r="AG234" s="11" t="e">
        <f t="shared" si="18"/>
        <v>#DIV/0!</v>
      </c>
    </row>
    <row r="235" spans="2:33" ht="25.5" x14ac:dyDescent="0.25">
      <c r="B235" s="5">
        <v>230</v>
      </c>
      <c r="C235" s="16" t="s">
        <v>1189</v>
      </c>
      <c r="D235" s="5" t="s">
        <v>33</v>
      </c>
      <c r="E235" s="7" t="s">
        <v>1184</v>
      </c>
      <c r="F235" s="7" t="s">
        <v>1190</v>
      </c>
      <c r="G235" s="7" t="s">
        <v>107</v>
      </c>
      <c r="H235" s="8">
        <v>110000</v>
      </c>
      <c r="I235" s="7" t="s">
        <v>1186</v>
      </c>
      <c r="J235" s="7" t="s">
        <v>445</v>
      </c>
      <c r="K235" s="7" t="s">
        <v>1187</v>
      </c>
      <c r="L235" s="9" t="s">
        <v>1188</v>
      </c>
      <c r="M235" s="10">
        <v>45320</v>
      </c>
      <c r="N235" s="7" t="s">
        <v>82</v>
      </c>
      <c r="O235" s="7" t="s">
        <v>419</v>
      </c>
      <c r="P235" s="20"/>
      <c r="Q235" s="40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 t="e">
        <f t="shared" si="17"/>
        <v>#DIV/0!</v>
      </c>
      <c r="AG235" s="11" t="e">
        <f t="shared" si="18"/>
        <v>#DIV/0!</v>
      </c>
    </row>
    <row r="236" spans="2:33" ht="25.5" x14ac:dyDescent="0.25">
      <c r="B236" s="5">
        <v>231</v>
      </c>
      <c r="C236" s="27" t="s">
        <v>1191</v>
      </c>
      <c r="D236" s="5" t="s">
        <v>33</v>
      </c>
      <c r="E236" s="7" t="s">
        <v>1192</v>
      </c>
      <c r="F236" s="7" t="s">
        <v>1193</v>
      </c>
      <c r="G236" s="7" t="s">
        <v>36</v>
      </c>
      <c r="H236" s="8">
        <v>77700</v>
      </c>
      <c r="I236" s="7" t="s">
        <v>1194</v>
      </c>
      <c r="J236" s="7" t="s">
        <v>1195</v>
      </c>
      <c r="K236" s="7" t="s">
        <v>1196</v>
      </c>
      <c r="L236" s="9" t="s">
        <v>1197</v>
      </c>
      <c r="M236" s="10">
        <v>45320</v>
      </c>
      <c r="N236" s="7" t="s">
        <v>41</v>
      </c>
      <c r="O236" s="7"/>
      <c r="P236" s="20"/>
      <c r="Q236" s="40">
        <v>335</v>
      </c>
      <c r="R236" s="1">
        <v>212</v>
      </c>
      <c r="S236" s="1">
        <v>281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>
        <f>COUNT(Q236:AD236)</f>
        <v>3</v>
      </c>
      <c r="AF236" s="1">
        <f t="shared" si="17"/>
        <v>276</v>
      </c>
      <c r="AG236" s="11" t="str">
        <f t="shared" si="18"/>
        <v>APROVADO</v>
      </c>
    </row>
    <row r="237" spans="2:33" x14ac:dyDescent="0.25">
      <c r="B237" s="5">
        <v>232</v>
      </c>
      <c r="C237" s="24" t="s">
        <v>1198</v>
      </c>
      <c r="D237" s="5" t="s">
        <v>51</v>
      </c>
      <c r="E237" s="13" t="s">
        <v>1199</v>
      </c>
      <c r="F237" s="13" t="s">
        <v>1200</v>
      </c>
      <c r="G237" s="14" t="s">
        <v>107</v>
      </c>
      <c r="H237" s="28">
        <v>348000</v>
      </c>
      <c r="I237" s="13" t="s">
        <v>1201</v>
      </c>
      <c r="J237" s="11" t="s">
        <v>115</v>
      </c>
      <c r="K237" s="13" t="s">
        <v>1202</v>
      </c>
      <c r="L237" s="13" t="s">
        <v>1203</v>
      </c>
      <c r="M237" s="26">
        <v>45320</v>
      </c>
      <c r="N237" s="13" t="s">
        <v>57</v>
      </c>
      <c r="O237" s="13"/>
      <c r="P237" s="20"/>
      <c r="Q237" s="1">
        <v>269</v>
      </c>
      <c r="R237" s="1">
        <v>153</v>
      </c>
      <c r="S237" s="1"/>
      <c r="T237" s="1"/>
      <c r="U237" s="1"/>
      <c r="V237" s="1"/>
      <c r="W237" s="1">
        <v>308</v>
      </c>
      <c r="X237" s="1"/>
      <c r="Y237" s="1"/>
      <c r="Z237" s="1"/>
      <c r="AA237" s="1"/>
      <c r="AB237" s="1"/>
      <c r="AC237" s="20"/>
      <c r="AD237" s="20"/>
      <c r="AE237" s="1">
        <f>COUNT(Q237:AD237)</f>
        <v>3</v>
      </c>
      <c r="AF237" s="1">
        <f t="shared" si="17"/>
        <v>243.33333333333334</v>
      </c>
      <c r="AG237" s="11" t="str">
        <f t="shared" si="18"/>
        <v>APROVADO</v>
      </c>
    </row>
    <row r="238" spans="2:33" ht="25.5" x14ac:dyDescent="0.25">
      <c r="B238" s="5">
        <v>233</v>
      </c>
      <c r="C238" s="6" t="s">
        <v>1204</v>
      </c>
      <c r="D238" s="5" t="s">
        <v>33</v>
      </c>
      <c r="E238" s="7" t="s">
        <v>1205</v>
      </c>
      <c r="F238" s="7" t="s">
        <v>1206</v>
      </c>
      <c r="G238" s="7" t="s">
        <v>107</v>
      </c>
      <c r="H238" s="8">
        <v>1146800</v>
      </c>
      <c r="I238" s="7" t="s">
        <v>73</v>
      </c>
      <c r="J238" s="5" t="s">
        <v>74</v>
      </c>
      <c r="K238" s="7" t="s">
        <v>1207</v>
      </c>
      <c r="L238" s="9" t="s">
        <v>1208</v>
      </c>
      <c r="M238" s="10">
        <v>45320</v>
      </c>
      <c r="N238" s="7" t="s">
        <v>67</v>
      </c>
      <c r="O238" s="7"/>
      <c r="P238" s="20"/>
      <c r="Q238" s="40"/>
      <c r="R238" s="1">
        <v>149</v>
      </c>
      <c r="S238" s="1"/>
      <c r="T238" s="1"/>
      <c r="U238" s="1"/>
      <c r="V238" s="1"/>
      <c r="W238" s="1"/>
      <c r="X238" s="1">
        <v>340</v>
      </c>
      <c r="Y238" s="1">
        <v>340</v>
      </c>
      <c r="Z238" s="1"/>
      <c r="AA238" s="1"/>
      <c r="AB238" s="1"/>
      <c r="AC238" s="1"/>
      <c r="AD238" s="1"/>
      <c r="AE238" s="1">
        <f>COUNT(Q238:AD238)</f>
        <v>3</v>
      </c>
      <c r="AF238" s="1">
        <f t="shared" si="17"/>
        <v>276.33333333333331</v>
      </c>
      <c r="AG238" s="11" t="str">
        <f t="shared" si="18"/>
        <v>APROVADO</v>
      </c>
    </row>
    <row r="239" spans="2:33" ht="25.5" x14ac:dyDescent="0.25">
      <c r="B239" s="5">
        <v>234</v>
      </c>
      <c r="C239" s="6" t="s">
        <v>1209</v>
      </c>
      <c r="D239" s="5" t="s">
        <v>33</v>
      </c>
      <c r="E239" s="7" t="s">
        <v>1205</v>
      </c>
      <c r="F239" s="7" t="s">
        <v>1210</v>
      </c>
      <c r="G239" s="7" t="s">
        <v>336</v>
      </c>
      <c r="H239" s="8">
        <v>1476814</v>
      </c>
      <c r="I239" s="7" t="s">
        <v>73</v>
      </c>
      <c r="J239" s="5" t="s">
        <v>74</v>
      </c>
      <c r="K239" s="7" t="s">
        <v>1207</v>
      </c>
      <c r="L239" s="9" t="s">
        <v>1208</v>
      </c>
      <c r="M239" s="10">
        <v>45320</v>
      </c>
      <c r="N239" s="7" t="s">
        <v>67</v>
      </c>
      <c r="O239" s="7"/>
      <c r="P239" s="20"/>
      <c r="Q239" s="40">
        <v>330</v>
      </c>
      <c r="R239" s="1">
        <v>149</v>
      </c>
      <c r="S239" s="1"/>
      <c r="T239" s="1"/>
      <c r="U239" s="1"/>
      <c r="V239" s="1">
        <v>340</v>
      </c>
      <c r="W239" s="1"/>
      <c r="X239" s="1"/>
      <c r="Y239" s="1"/>
      <c r="Z239" s="1"/>
      <c r="AA239" s="1"/>
      <c r="AB239" s="1"/>
      <c r="AC239" s="1"/>
      <c r="AD239" s="1"/>
      <c r="AE239" s="1">
        <f>COUNT(Q239:AD239)</f>
        <v>3</v>
      </c>
      <c r="AF239" s="1">
        <f t="shared" si="17"/>
        <v>273</v>
      </c>
      <c r="AG239" s="11" t="str">
        <f t="shared" si="18"/>
        <v>APROVADO</v>
      </c>
    </row>
    <row r="240" spans="2:33" x14ac:dyDescent="0.25">
      <c r="B240" s="5">
        <v>235</v>
      </c>
      <c r="C240" s="6" t="s">
        <v>1211</v>
      </c>
      <c r="D240" s="5" t="s">
        <v>33</v>
      </c>
      <c r="E240" s="5" t="s">
        <v>1212</v>
      </c>
      <c r="F240" s="5" t="s">
        <v>1213</v>
      </c>
      <c r="G240" s="7" t="s">
        <v>36</v>
      </c>
      <c r="H240" s="17">
        <v>115695.5</v>
      </c>
      <c r="I240" s="7" t="s">
        <v>1214</v>
      </c>
      <c r="J240" s="5" t="s">
        <v>181</v>
      </c>
      <c r="K240" s="5" t="s">
        <v>1215</v>
      </c>
      <c r="L240" s="9" t="s">
        <v>1216</v>
      </c>
      <c r="M240" s="10">
        <v>45320</v>
      </c>
      <c r="N240" s="5" t="s">
        <v>67</v>
      </c>
      <c r="O240" s="7" t="s">
        <v>68</v>
      </c>
      <c r="P240" s="20"/>
      <c r="Q240" s="39">
        <v>340</v>
      </c>
      <c r="R240" s="1">
        <v>244</v>
      </c>
      <c r="S240" s="1">
        <v>260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>
        <f>COUNT(Q240:AD240)</f>
        <v>3</v>
      </c>
      <c r="AF240" s="1">
        <f t="shared" si="17"/>
        <v>281.33333333333331</v>
      </c>
      <c r="AG240" s="11" t="str">
        <f t="shared" si="18"/>
        <v>APROVADO</v>
      </c>
    </row>
    <row r="241" spans="2:33" ht="26.25" x14ac:dyDescent="0.25">
      <c r="B241" s="5">
        <v>236</v>
      </c>
      <c r="C241" s="32" t="s">
        <v>1217</v>
      </c>
      <c r="D241" s="5" t="s">
        <v>51</v>
      </c>
      <c r="E241" s="13" t="s">
        <v>1218</v>
      </c>
      <c r="F241" s="14" t="s">
        <v>1219</v>
      </c>
      <c r="G241" s="14" t="s">
        <v>36</v>
      </c>
      <c r="H241" s="28">
        <v>500000</v>
      </c>
      <c r="I241" s="13" t="s">
        <v>1220</v>
      </c>
      <c r="J241" s="11" t="s">
        <v>162</v>
      </c>
      <c r="K241" s="13" t="s">
        <v>1221</v>
      </c>
      <c r="L241" s="42" t="s">
        <v>1222</v>
      </c>
      <c r="M241" s="26">
        <v>45320</v>
      </c>
      <c r="N241" s="13" t="s">
        <v>226</v>
      </c>
      <c r="O241" s="20" t="s">
        <v>227</v>
      </c>
      <c r="P241" s="20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0"/>
      <c r="AD241" s="20"/>
      <c r="AE241" s="20"/>
      <c r="AF241" s="1" t="e">
        <f t="shared" si="17"/>
        <v>#DIV/0!</v>
      </c>
      <c r="AG241" s="11" t="e">
        <f t="shared" si="18"/>
        <v>#DIV/0!</v>
      </c>
    </row>
    <row r="242" spans="2:33" x14ac:dyDescent="0.25">
      <c r="B242" s="5">
        <v>237</v>
      </c>
      <c r="C242" s="32" t="s">
        <v>1223</v>
      </c>
      <c r="D242" s="5" t="s">
        <v>51</v>
      </c>
      <c r="E242" s="13" t="s">
        <v>1218</v>
      </c>
      <c r="F242" s="13" t="s">
        <v>1224</v>
      </c>
      <c r="G242" s="14" t="s">
        <v>36</v>
      </c>
      <c r="H242" s="28">
        <v>900000</v>
      </c>
      <c r="I242" s="13" t="s">
        <v>1220</v>
      </c>
      <c r="J242" s="11" t="s">
        <v>162</v>
      </c>
      <c r="K242" s="13" t="s">
        <v>1221</v>
      </c>
      <c r="L242" s="30" t="s">
        <v>1222</v>
      </c>
      <c r="M242" s="26">
        <v>45320</v>
      </c>
      <c r="N242" s="13" t="s">
        <v>226</v>
      </c>
      <c r="O242" s="20" t="s">
        <v>600</v>
      </c>
      <c r="P242" s="20"/>
      <c r="Q242" s="1">
        <v>0</v>
      </c>
      <c r="R242" s="1">
        <v>40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0"/>
      <c r="AD242" s="20"/>
      <c r="AE242" s="20"/>
      <c r="AF242" s="1">
        <f t="shared" si="17"/>
        <v>20</v>
      </c>
      <c r="AG242" s="11" t="str">
        <f t="shared" si="18"/>
        <v>REPROVADO</v>
      </c>
    </row>
    <row r="243" spans="2:33" x14ac:dyDescent="0.25">
      <c r="B243" s="5">
        <v>238</v>
      </c>
      <c r="C243" s="6" t="s">
        <v>1225</v>
      </c>
      <c r="D243" s="5" t="s">
        <v>33</v>
      </c>
      <c r="E243" s="5" t="s">
        <v>1226</v>
      </c>
      <c r="F243" s="5" t="s">
        <v>1227</v>
      </c>
      <c r="G243" s="7" t="s">
        <v>45</v>
      </c>
      <c r="H243" s="8">
        <v>300000</v>
      </c>
      <c r="I243" s="7" t="s">
        <v>1220</v>
      </c>
      <c r="J243" s="9" t="s">
        <v>162</v>
      </c>
      <c r="K243" s="7" t="s">
        <v>1228</v>
      </c>
      <c r="L243" s="31" t="s">
        <v>1229</v>
      </c>
      <c r="M243" s="10">
        <v>45320</v>
      </c>
      <c r="N243" s="5" t="s">
        <v>67</v>
      </c>
      <c r="O243" s="7" t="s">
        <v>1230</v>
      </c>
      <c r="P243" s="20"/>
      <c r="Q243" s="39">
        <v>214</v>
      </c>
      <c r="R243" s="1">
        <v>173</v>
      </c>
      <c r="S243" s="1">
        <v>208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>
        <f t="shared" ref="AE243:AE251" si="21">COUNT(Q243:AD243)</f>
        <v>3</v>
      </c>
      <c r="AF243" s="1">
        <f t="shared" si="17"/>
        <v>198.33333333333334</v>
      </c>
      <c r="AG243" s="11" t="str">
        <f t="shared" si="18"/>
        <v>REPROVADO</v>
      </c>
    </row>
    <row r="244" spans="2:33" ht="26.25" x14ac:dyDescent="0.25">
      <c r="B244" s="5">
        <v>239</v>
      </c>
      <c r="C244" s="24" t="s">
        <v>1231</v>
      </c>
      <c r="D244" s="5" t="s">
        <v>51</v>
      </c>
      <c r="E244" s="14" t="s">
        <v>1232</v>
      </c>
      <c r="F244" s="14" t="s">
        <v>1233</v>
      </c>
      <c r="G244" s="14" t="s">
        <v>36</v>
      </c>
      <c r="H244" s="28">
        <v>183800</v>
      </c>
      <c r="I244" s="14" t="s">
        <v>503</v>
      </c>
      <c r="J244" s="11" t="s">
        <v>154</v>
      </c>
      <c r="K244" s="13" t="s">
        <v>1234</v>
      </c>
      <c r="L244" s="30" t="s">
        <v>1235</v>
      </c>
      <c r="M244" s="26">
        <v>45320</v>
      </c>
      <c r="N244" s="13" t="s">
        <v>41</v>
      </c>
      <c r="O244" s="14" t="s">
        <v>1236</v>
      </c>
      <c r="P244" s="20"/>
      <c r="Q244" s="1">
        <v>297</v>
      </c>
      <c r="R244" s="1">
        <v>124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0">
        <v>290</v>
      </c>
      <c r="AD244" s="20"/>
      <c r="AE244" s="1">
        <f t="shared" si="21"/>
        <v>3</v>
      </c>
      <c r="AF244" s="1">
        <f t="shared" si="17"/>
        <v>237</v>
      </c>
      <c r="AG244" s="11" t="str">
        <f t="shared" si="18"/>
        <v>APROVADO</v>
      </c>
    </row>
    <row r="245" spans="2:33" ht="26.25" x14ac:dyDescent="0.25">
      <c r="B245" s="5">
        <v>240</v>
      </c>
      <c r="C245" s="24" t="s">
        <v>1231</v>
      </c>
      <c r="D245" s="5" t="s">
        <v>51</v>
      </c>
      <c r="E245" s="14" t="s">
        <v>1232</v>
      </c>
      <c r="F245" s="14" t="s">
        <v>1237</v>
      </c>
      <c r="G245" s="14" t="s">
        <v>36</v>
      </c>
      <c r="H245" s="28">
        <v>469800</v>
      </c>
      <c r="I245" s="14" t="s">
        <v>503</v>
      </c>
      <c r="J245" s="11" t="s">
        <v>154</v>
      </c>
      <c r="K245" s="13" t="s">
        <v>1234</v>
      </c>
      <c r="L245" s="30" t="s">
        <v>1235</v>
      </c>
      <c r="M245" s="26">
        <v>45320</v>
      </c>
      <c r="N245" s="13" t="s">
        <v>41</v>
      </c>
      <c r="O245" s="14" t="s">
        <v>1236</v>
      </c>
      <c r="P245" s="20"/>
      <c r="Q245" s="1">
        <v>305</v>
      </c>
      <c r="R245" s="1">
        <v>130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0">
        <v>224</v>
      </c>
      <c r="AD245" s="20"/>
      <c r="AE245" s="1">
        <f t="shared" si="21"/>
        <v>3</v>
      </c>
      <c r="AF245" s="1">
        <f t="shared" si="17"/>
        <v>219.66666666666666</v>
      </c>
      <c r="AG245" s="11" t="str">
        <f t="shared" si="18"/>
        <v>APROVADO</v>
      </c>
    </row>
    <row r="246" spans="2:33" ht="63.75" x14ac:dyDescent="0.25">
      <c r="B246" s="5">
        <v>241</v>
      </c>
      <c r="C246" s="27" t="s">
        <v>1238</v>
      </c>
      <c r="D246" s="5" t="s">
        <v>33</v>
      </c>
      <c r="E246" s="7" t="s">
        <v>1239</v>
      </c>
      <c r="F246" s="7" t="s">
        <v>1240</v>
      </c>
      <c r="G246" s="7" t="s">
        <v>36</v>
      </c>
      <c r="H246" s="8">
        <v>99856.65</v>
      </c>
      <c r="I246" s="7" t="s">
        <v>1241</v>
      </c>
      <c r="J246" s="7" t="s">
        <v>154</v>
      </c>
      <c r="K246" s="7" t="s">
        <v>1242</v>
      </c>
      <c r="L246" s="9" t="s">
        <v>1243</v>
      </c>
      <c r="M246" s="10">
        <v>45320</v>
      </c>
      <c r="N246" s="7" t="s">
        <v>41</v>
      </c>
      <c r="O246" s="7"/>
      <c r="P246" s="20"/>
      <c r="Q246" s="40">
        <v>335</v>
      </c>
      <c r="R246" s="1">
        <v>220</v>
      </c>
      <c r="S246" s="1"/>
      <c r="T246" s="1"/>
      <c r="U246" s="1"/>
      <c r="V246" s="1"/>
      <c r="W246" s="1"/>
      <c r="X246" s="1"/>
      <c r="Y246" s="1"/>
      <c r="Z246" s="1"/>
      <c r="AA246" s="1"/>
      <c r="AB246" s="1">
        <v>272</v>
      </c>
      <c r="AC246" s="1"/>
      <c r="AD246" s="1"/>
      <c r="AE246" s="1">
        <f t="shared" si="21"/>
        <v>3</v>
      </c>
      <c r="AF246" s="1">
        <f t="shared" si="17"/>
        <v>275.66666666666669</v>
      </c>
      <c r="AG246" s="11" t="str">
        <f t="shared" si="18"/>
        <v>APROVADO</v>
      </c>
    </row>
    <row r="247" spans="2:33" ht="26.25" x14ac:dyDescent="0.25">
      <c r="B247" s="5">
        <v>242</v>
      </c>
      <c r="C247" s="24" t="s">
        <v>1244</v>
      </c>
      <c r="D247" s="5" t="s">
        <v>51</v>
      </c>
      <c r="E247" s="13" t="s">
        <v>1245</v>
      </c>
      <c r="F247" s="14" t="s">
        <v>1246</v>
      </c>
      <c r="G247" s="14" t="s">
        <v>36</v>
      </c>
      <c r="H247" s="28">
        <v>500000</v>
      </c>
      <c r="I247" s="13" t="s">
        <v>1247</v>
      </c>
      <c r="J247" s="11" t="s">
        <v>154</v>
      </c>
      <c r="K247" s="13" t="s">
        <v>1248</v>
      </c>
      <c r="L247" s="42" t="s">
        <v>1249</v>
      </c>
      <c r="M247" s="26">
        <v>45320</v>
      </c>
      <c r="N247" s="13" t="s">
        <v>57</v>
      </c>
      <c r="O247" s="13"/>
      <c r="P247" s="20"/>
      <c r="Q247" s="1">
        <v>268</v>
      </c>
      <c r="R247" s="1"/>
      <c r="S247" s="1"/>
      <c r="T247" s="1"/>
      <c r="U247" s="1"/>
      <c r="V247" s="1">
        <v>278</v>
      </c>
      <c r="W247" s="1">
        <v>224</v>
      </c>
      <c r="X247" s="1"/>
      <c r="Y247" s="1"/>
      <c r="Z247" s="1"/>
      <c r="AA247" s="1"/>
      <c r="AB247" s="1"/>
      <c r="AC247" s="20"/>
      <c r="AD247" s="20"/>
      <c r="AE247" s="1">
        <f t="shared" si="21"/>
        <v>3</v>
      </c>
      <c r="AF247" s="1">
        <f t="shared" si="17"/>
        <v>256.66666666666669</v>
      </c>
      <c r="AG247" s="11" t="str">
        <f t="shared" si="18"/>
        <v>APROVADO</v>
      </c>
    </row>
    <row r="248" spans="2:33" ht="39" x14ac:dyDescent="0.25">
      <c r="B248" s="5">
        <v>243</v>
      </c>
      <c r="C248" s="24" t="s">
        <v>1250</v>
      </c>
      <c r="D248" s="5" t="s">
        <v>51</v>
      </c>
      <c r="E248" s="13" t="s">
        <v>1251</v>
      </c>
      <c r="F248" s="14" t="s">
        <v>1252</v>
      </c>
      <c r="G248" s="7" t="s">
        <v>45</v>
      </c>
      <c r="H248" s="28">
        <v>100000</v>
      </c>
      <c r="I248" s="13" t="s">
        <v>1253</v>
      </c>
      <c r="J248" s="11" t="s">
        <v>154</v>
      </c>
      <c r="K248" s="13" t="s">
        <v>1254</v>
      </c>
      <c r="L248" s="42" t="s">
        <v>2912</v>
      </c>
      <c r="M248" s="26">
        <v>45320</v>
      </c>
      <c r="N248" s="13" t="s">
        <v>57</v>
      </c>
      <c r="O248" s="14" t="s">
        <v>89</v>
      </c>
      <c r="P248" s="20"/>
      <c r="Q248" s="1">
        <v>337</v>
      </c>
      <c r="R248" s="1"/>
      <c r="S248" s="1"/>
      <c r="T248" s="1"/>
      <c r="U248" s="1"/>
      <c r="V248" s="1">
        <v>340</v>
      </c>
      <c r="W248" s="1">
        <v>340</v>
      </c>
      <c r="X248" s="1"/>
      <c r="Y248" s="1"/>
      <c r="Z248" s="1"/>
      <c r="AA248" s="1"/>
      <c r="AB248" s="1"/>
      <c r="AC248" s="20"/>
      <c r="AD248" s="20"/>
      <c r="AE248" s="1">
        <f t="shared" si="21"/>
        <v>3</v>
      </c>
      <c r="AF248" s="1">
        <f t="shared" si="17"/>
        <v>339</v>
      </c>
      <c r="AG248" s="11" t="str">
        <f t="shared" si="18"/>
        <v>APROVADO</v>
      </c>
    </row>
    <row r="249" spans="2:33" ht="26.25" x14ac:dyDescent="0.25">
      <c r="B249" s="5">
        <v>244</v>
      </c>
      <c r="C249" s="24" t="s">
        <v>1256</v>
      </c>
      <c r="D249" s="5" t="s">
        <v>51</v>
      </c>
      <c r="E249" s="13" t="s">
        <v>1257</v>
      </c>
      <c r="F249" s="13" t="s">
        <v>1258</v>
      </c>
      <c r="G249" s="14" t="s">
        <v>36</v>
      </c>
      <c r="H249" s="28">
        <v>73240</v>
      </c>
      <c r="I249" s="13" t="s">
        <v>153</v>
      </c>
      <c r="J249" s="11" t="s">
        <v>154</v>
      </c>
      <c r="K249" s="14" t="s">
        <v>1259</v>
      </c>
      <c r="L249" s="43" t="s">
        <v>1260</v>
      </c>
      <c r="M249" s="26">
        <v>45320</v>
      </c>
      <c r="N249" s="13" t="s">
        <v>41</v>
      </c>
      <c r="O249" s="13"/>
      <c r="P249" s="20"/>
      <c r="Q249" s="1">
        <v>340</v>
      </c>
      <c r="R249" s="1">
        <v>212</v>
      </c>
      <c r="S249" s="1">
        <v>262</v>
      </c>
      <c r="T249" s="1"/>
      <c r="U249" s="1"/>
      <c r="V249" s="1"/>
      <c r="W249" s="1"/>
      <c r="X249" s="1"/>
      <c r="Y249" s="1"/>
      <c r="Z249" s="1"/>
      <c r="AA249" s="1"/>
      <c r="AB249" s="1"/>
      <c r="AC249" s="20"/>
      <c r="AD249" s="20"/>
      <c r="AE249" s="1">
        <f t="shared" si="21"/>
        <v>3</v>
      </c>
      <c r="AF249" s="1">
        <f t="shared" si="17"/>
        <v>271.33333333333331</v>
      </c>
      <c r="AG249" s="11" t="str">
        <f t="shared" si="18"/>
        <v>APROVADO</v>
      </c>
    </row>
    <row r="250" spans="2:33" ht="26.25" x14ac:dyDescent="0.25">
      <c r="B250" s="5">
        <v>245</v>
      </c>
      <c r="C250" s="22" t="s">
        <v>1261</v>
      </c>
      <c r="D250" s="5" t="s">
        <v>51</v>
      </c>
      <c r="E250" s="13" t="s">
        <v>1262</v>
      </c>
      <c r="F250" s="14" t="s">
        <v>1263</v>
      </c>
      <c r="G250" s="14" t="s">
        <v>107</v>
      </c>
      <c r="H250" s="28">
        <v>32693.32</v>
      </c>
      <c r="I250" s="13" t="s">
        <v>1264</v>
      </c>
      <c r="J250" s="11" t="s">
        <v>154</v>
      </c>
      <c r="K250" s="13" t="s">
        <v>1265</v>
      </c>
      <c r="L250" s="30" t="s">
        <v>1203</v>
      </c>
      <c r="M250" s="26">
        <v>45320</v>
      </c>
      <c r="N250" s="13" t="s">
        <v>41</v>
      </c>
      <c r="O250" s="13"/>
      <c r="P250" s="20"/>
      <c r="Q250" s="1">
        <v>313</v>
      </c>
      <c r="R250" s="1">
        <v>224</v>
      </c>
      <c r="S250" s="1">
        <v>252</v>
      </c>
      <c r="T250" s="1"/>
      <c r="U250" s="1"/>
      <c r="V250" s="1"/>
      <c r="W250" s="1"/>
      <c r="X250" s="1"/>
      <c r="Y250" s="1"/>
      <c r="Z250" s="1"/>
      <c r="AA250" s="1"/>
      <c r="AB250" s="1"/>
      <c r="AC250" s="20"/>
      <c r="AD250" s="20"/>
      <c r="AE250" s="1">
        <f t="shared" si="21"/>
        <v>3</v>
      </c>
      <c r="AF250" s="1">
        <f t="shared" si="17"/>
        <v>263</v>
      </c>
      <c r="AG250" s="11" t="str">
        <f t="shared" si="18"/>
        <v>APROVADO</v>
      </c>
    </row>
    <row r="251" spans="2:33" x14ac:dyDescent="0.25">
      <c r="B251" s="5">
        <v>246</v>
      </c>
      <c r="C251" s="24" t="s">
        <v>1266</v>
      </c>
      <c r="D251" s="5" t="s">
        <v>51</v>
      </c>
      <c r="E251" s="13" t="s">
        <v>1267</v>
      </c>
      <c r="F251" s="13" t="s">
        <v>1268</v>
      </c>
      <c r="G251" s="14" t="s">
        <v>107</v>
      </c>
      <c r="H251" s="28">
        <v>572800</v>
      </c>
      <c r="I251" s="13" t="s">
        <v>1269</v>
      </c>
      <c r="J251" s="11" t="s">
        <v>154</v>
      </c>
      <c r="K251" s="14" t="s">
        <v>1270</v>
      </c>
      <c r="L251" s="43" t="s">
        <v>1271</v>
      </c>
      <c r="M251" s="26">
        <v>45320</v>
      </c>
      <c r="N251" s="13" t="s">
        <v>41</v>
      </c>
      <c r="O251" s="13"/>
      <c r="P251" s="20"/>
      <c r="Q251" s="1">
        <v>309</v>
      </c>
      <c r="R251" s="1">
        <v>164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>
        <v>340</v>
      </c>
      <c r="AD251" s="20"/>
      <c r="AE251" s="1">
        <f t="shared" si="21"/>
        <v>3</v>
      </c>
      <c r="AF251" s="1">
        <f t="shared" si="17"/>
        <v>271</v>
      </c>
      <c r="AG251" s="11" t="str">
        <f t="shared" si="18"/>
        <v>APROVADO</v>
      </c>
    </row>
    <row r="252" spans="2:33" ht="26.25" x14ac:dyDescent="0.25">
      <c r="B252" s="5">
        <v>247</v>
      </c>
      <c r="C252" s="32" t="s">
        <v>1272</v>
      </c>
      <c r="D252" s="5" t="s">
        <v>51</v>
      </c>
      <c r="E252" s="13" t="s">
        <v>1273</v>
      </c>
      <c r="F252" s="13" t="s">
        <v>1274</v>
      </c>
      <c r="G252" s="7" t="s">
        <v>45</v>
      </c>
      <c r="H252" s="28">
        <v>400000</v>
      </c>
      <c r="I252" s="13" t="s">
        <v>1275</v>
      </c>
      <c r="J252" s="11" t="s">
        <v>154</v>
      </c>
      <c r="K252" s="14" t="s">
        <v>1276</v>
      </c>
      <c r="L252" s="14" t="s">
        <v>1277</v>
      </c>
      <c r="M252" s="26">
        <v>45320</v>
      </c>
      <c r="N252" s="13" t="s">
        <v>226</v>
      </c>
      <c r="O252" s="20" t="s">
        <v>1278</v>
      </c>
      <c r="P252" s="20"/>
      <c r="Q252" s="1">
        <v>0</v>
      </c>
      <c r="R252" s="1">
        <v>130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0"/>
      <c r="AD252" s="20"/>
      <c r="AE252" s="20"/>
      <c r="AF252" s="1">
        <f t="shared" si="17"/>
        <v>65</v>
      </c>
      <c r="AG252" s="11" t="str">
        <f t="shared" si="18"/>
        <v>REPROVADO</v>
      </c>
    </row>
    <row r="253" spans="2:33" x14ac:dyDescent="0.25">
      <c r="B253" s="5">
        <v>248</v>
      </c>
      <c r="C253" s="24" t="s">
        <v>1279</v>
      </c>
      <c r="D253" s="5" t="s">
        <v>51</v>
      </c>
      <c r="E253" s="13" t="s">
        <v>1280</v>
      </c>
      <c r="F253" s="13" t="s">
        <v>1281</v>
      </c>
      <c r="G253" s="14" t="s">
        <v>107</v>
      </c>
      <c r="H253" s="28">
        <v>200000</v>
      </c>
      <c r="I253" s="13" t="s">
        <v>1282</v>
      </c>
      <c r="J253" s="11" t="s">
        <v>154</v>
      </c>
      <c r="K253" s="13" t="s">
        <v>1283</v>
      </c>
      <c r="L253" s="30" t="s">
        <v>1284</v>
      </c>
      <c r="M253" s="26">
        <v>45320</v>
      </c>
      <c r="N253" s="13" t="s">
        <v>57</v>
      </c>
      <c r="O253" s="13"/>
      <c r="P253" s="20"/>
      <c r="Q253" s="1">
        <v>241</v>
      </c>
      <c r="R253" s="1">
        <v>106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>
        <v>247</v>
      </c>
      <c r="AD253" s="20"/>
      <c r="AE253" s="1">
        <f>COUNT(Q253:AD253)</f>
        <v>3</v>
      </c>
      <c r="AF253" s="1">
        <f>AVERAGE(Q253:AD253)</f>
        <v>198</v>
      </c>
      <c r="AG253" s="11" t="str">
        <f t="shared" si="18"/>
        <v>REPROVADO</v>
      </c>
    </row>
    <row r="254" spans="2:33" x14ac:dyDescent="0.25">
      <c r="B254" s="5">
        <v>249</v>
      </c>
      <c r="C254" s="24" t="s">
        <v>1285</v>
      </c>
      <c r="D254" s="5" t="s">
        <v>51</v>
      </c>
      <c r="E254" s="13" t="s">
        <v>1286</v>
      </c>
      <c r="F254" s="13" t="s">
        <v>1287</v>
      </c>
      <c r="G254" s="14" t="s">
        <v>107</v>
      </c>
      <c r="H254" s="28">
        <v>163000</v>
      </c>
      <c r="I254" s="13" t="s">
        <v>1288</v>
      </c>
      <c r="J254" s="11" t="s">
        <v>154</v>
      </c>
      <c r="K254" s="13" t="s">
        <v>1289</v>
      </c>
      <c r="L254" s="30" t="s">
        <v>1290</v>
      </c>
      <c r="M254" s="26">
        <v>45320</v>
      </c>
      <c r="N254" s="13" t="s">
        <v>57</v>
      </c>
      <c r="O254" s="13"/>
      <c r="P254" s="20"/>
      <c r="Q254" s="1">
        <v>292</v>
      </c>
      <c r="R254" s="1">
        <v>132</v>
      </c>
      <c r="S254" s="1"/>
      <c r="T254" s="1"/>
      <c r="U254" s="1"/>
      <c r="V254" s="1"/>
      <c r="W254" s="1"/>
      <c r="X254" s="1"/>
      <c r="Y254" s="1">
        <v>299</v>
      </c>
      <c r="Z254" s="1"/>
      <c r="AA254" s="1"/>
      <c r="AB254" s="1"/>
      <c r="AC254" s="20"/>
      <c r="AD254" s="20"/>
      <c r="AE254" s="1">
        <f>COUNT(Q254:AD254)</f>
        <v>3</v>
      </c>
      <c r="AF254" s="1">
        <f t="shared" si="17"/>
        <v>241</v>
      </c>
      <c r="AG254" s="11" t="str">
        <f t="shared" si="18"/>
        <v>APROVADO</v>
      </c>
    </row>
    <row r="255" spans="2:33" x14ac:dyDescent="0.25">
      <c r="B255" s="5">
        <v>250</v>
      </c>
      <c r="C255" s="24" t="s">
        <v>1291</v>
      </c>
      <c r="D255" s="5" t="s">
        <v>51</v>
      </c>
      <c r="E255" s="13" t="s">
        <v>1292</v>
      </c>
      <c r="F255" s="13" t="s">
        <v>1293</v>
      </c>
      <c r="G255" s="14" t="s">
        <v>36</v>
      </c>
      <c r="H255" s="28">
        <v>499505</v>
      </c>
      <c r="I255" s="13" t="s">
        <v>1294</v>
      </c>
      <c r="J255" s="11" t="s">
        <v>154</v>
      </c>
      <c r="K255" s="13" t="s">
        <v>1295</v>
      </c>
      <c r="L255" s="30" t="s">
        <v>1296</v>
      </c>
      <c r="M255" s="26">
        <v>45320</v>
      </c>
      <c r="N255" s="13" t="s">
        <v>41</v>
      </c>
      <c r="O255" s="13"/>
      <c r="P255" s="20"/>
      <c r="Q255" s="1">
        <v>313</v>
      </c>
      <c r="R255" s="1">
        <v>241</v>
      </c>
      <c r="S255" s="1">
        <v>254</v>
      </c>
      <c r="T255" s="1"/>
      <c r="U255" s="1"/>
      <c r="V255" s="1"/>
      <c r="W255" s="1"/>
      <c r="X255" s="1"/>
      <c r="Y255" s="1"/>
      <c r="Z255" s="1"/>
      <c r="AA255" s="1"/>
      <c r="AB255" s="1"/>
      <c r="AC255" s="20"/>
      <c r="AD255" s="20"/>
      <c r="AE255" s="1">
        <f>COUNT(Q255:AD255)</f>
        <v>3</v>
      </c>
      <c r="AF255" s="1">
        <f t="shared" si="17"/>
        <v>269.33333333333331</v>
      </c>
      <c r="AG255" s="11" t="str">
        <f t="shared" si="18"/>
        <v>APROVADO</v>
      </c>
    </row>
    <row r="256" spans="2:33" x14ac:dyDescent="0.25">
      <c r="B256" s="5">
        <v>251</v>
      </c>
      <c r="C256" s="24" t="s">
        <v>1297</v>
      </c>
      <c r="D256" s="5" t="s">
        <v>51</v>
      </c>
      <c r="E256" s="13" t="s">
        <v>1298</v>
      </c>
      <c r="F256" s="13" t="s">
        <v>1299</v>
      </c>
      <c r="G256" s="7" t="s">
        <v>107</v>
      </c>
      <c r="H256" s="28">
        <v>30000</v>
      </c>
      <c r="I256" s="13" t="s">
        <v>1300</v>
      </c>
      <c r="J256" s="11" t="s">
        <v>154</v>
      </c>
      <c r="K256" s="13" t="s">
        <v>1301</v>
      </c>
      <c r="L256" s="30" t="s">
        <v>1302</v>
      </c>
      <c r="M256" s="26">
        <v>45320</v>
      </c>
      <c r="N256" s="13" t="s">
        <v>41</v>
      </c>
      <c r="O256" s="13"/>
      <c r="P256" s="20"/>
      <c r="Q256" s="1">
        <v>315</v>
      </c>
      <c r="R256" s="1">
        <v>189</v>
      </c>
      <c r="S256" s="1">
        <v>238</v>
      </c>
      <c r="T256" s="1"/>
      <c r="U256" s="1"/>
      <c r="V256" s="1"/>
      <c r="W256" s="1"/>
      <c r="X256" s="1"/>
      <c r="Y256" s="1"/>
      <c r="Z256" s="1"/>
      <c r="AA256" s="1"/>
      <c r="AB256" s="1"/>
      <c r="AC256" s="20"/>
      <c r="AD256" s="20"/>
      <c r="AE256" s="1">
        <f>COUNT(Q256:AD256)</f>
        <v>3</v>
      </c>
      <c r="AF256" s="1">
        <f t="shared" si="17"/>
        <v>247.33333333333334</v>
      </c>
      <c r="AG256" s="11" t="str">
        <f t="shared" si="18"/>
        <v>APROVADO</v>
      </c>
    </row>
    <row r="257" spans="2:33" ht="25.5" x14ac:dyDescent="0.25">
      <c r="B257" s="5">
        <v>252</v>
      </c>
      <c r="C257" s="32" t="s">
        <v>1303</v>
      </c>
      <c r="D257" s="5" t="s">
        <v>51</v>
      </c>
      <c r="E257" s="13" t="s">
        <v>1304</v>
      </c>
      <c r="F257" s="13" t="s">
        <v>1305</v>
      </c>
      <c r="G257" s="14" t="s">
        <v>36</v>
      </c>
      <c r="H257" s="28">
        <v>500000</v>
      </c>
      <c r="I257" s="13" t="s">
        <v>1306</v>
      </c>
      <c r="J257" s="11" t="s">
        <v>597</v>
      </c>
      <c r="K257" s="13" t="s">
        <v>1307</v>
      </c>
      <c r="L257" s="30" t="s">
        <v>1308</v>
      </c>
      <c r="M257" s="26">
        <v>45320</v>
      </c>
      <c r="N257" s="13" t="s">
        <v>226</v>
      </c>
      <c r="O257" s="13" t="s">
        <v>227</v>
      </c>
      <c r="P257" s="20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0"/>
      <c r="AD257" s="20"/>
      <c r="AE257" s="20"/>
      <c r="AF257" s="1" t="e">
        <f t="shared" si="17"/>
        <v>#DIV/0!</v>
      </c>
      <c r="AG257" s="11" t="e">
        <f t="shared" si="18"/>
        <v>#DIV/0!</v>
      </c>
    </row>
    <row r="258" spans="2:33" ht="26.25" x14ac:dyDescent="0.25">
      <c r="B258" s="5">
        <v>253</v>
      </c>
      <c r="C258" s="32" t="s">
        <v>1309</v>
      </c>
      <c r="D258" s="5" t="s">
        <v>51</v>
      </c>
      <c r="E258" s="13" t="s">
        <v>1310</v>
      </c>
      <c r="F258" s="13" t="s">
        <v>1311</v>
      </c>
      <c r="G258" s="14" t="s">
        <v>62</v>
      </c>
      <c r="H258" s="28">
        <v>1050000</v>
      </c>
      <c r="I258" s="13" t="s">
        <v>1312</v>
      </c>
      <c r="J258" s="11" t="s">
        <v>181</v>
      </c>
      <c r="K258" s="14" t="s">
        <v>1313</v>
      </c>
      <c r="L258" s="30" t="s">
        <v>1314</v>
      </c>
      <c r="M258" s="26">
        <v>45320</v>
      </c>
      <c r="N258" s="13" t="s">
        <v>226</v>
      </c>
      <c r="O258" s="13" t="s">
        <v>1315</v>
      </c>
      <c r="P258" s="20"/>
      <c r="Q258" s="1">
        <v>302</v>
      </c>
      <c r="R258" s="1"/>
      <c r="S258" s="1"/>
      <c r="T258" s="1"/>
      <c r="U258" s="1"/>
      <c r="V258" s="1">
        <v>0</v>
      </c>
      <c r="W258" s="1"/>
      <c r="X258" s="1"/>
      <c r="Y258" s="1"/>
      <c r="Z258" s="1"/>
      <c r="AA258" s="1"/>
      <c r="AB258" s="1"/>
      <c r="AC258" s="20"/>
      <c r="AD258" s="20"/>
      <c r="AE258" s="20"/>
      <c r="AF258" s="1">
        <f t="shared" si="17"/>
        <v>151</v>
      </c>
      <c r="AG258" s="11" t="str">
        <f t="shared" si="18"/>
        <v>REPROVADO</v>
      </c>
    </row>
    <row r="259" spans="2:33" ht="26.25" x14ac:dyDescent="0.25">
      <c r="B259" s="5">
        <v>254</v>
      </c>
      <c r="C259" s="24" t="s">
        <v>1316</v>
      </c>
      <c r="D259" s="5" t="s">
        <v>51</v>
      </c>
      <c r="E259" s="13" t="s">
        <v>1317</v>
      </c>
      <c r="F259" s="13" t="s">
        <v>1318</v>
      </c>
      <c r="G259" s="14" t="s">
        <v>36</v>
      </c>
      <c r="H259" s="28">
        <v>66115.899999999994</v>
      </c>
      <c r="I259" s="13" t="s">
        <v>1319</v>
      </c>
      <c r="J259" s="11" t="s">
        <v>189</v>
      </c>
      <c r="K259" s="14" t="s">
        <v>1320</v>
      </c>
      <c r="L259" s="43" t="s">
        <v>1321</v>
      </c>
      <c r="M259" s="26">
        <v>45320</v>
      </c>
      <c r="N259" s="13" t="s">
        <v>41</v>
      </c>
      <c r="O259" s="13"/>
      <c r="P259" s="20"/>
      <c r="Q259" s="1">
        <v>340</v>
      </c>
      <c r="R259" s="1">
        <v>194</v>
      </c>
      <c r="S259" s="1">
        <v>246</v>
      </c>
      <c r="T259" s="1"/>
      <c r="U259" s="1"/>
      <c r="V259" s="1"/>
      <c r="W259" s="1"/>
      <c r="X259" s="1"/>
      <c r="Y259" s="1"/>
      <c r="Z259" s="1"/>
      <c r="AA259" s="1"/>
      <c r="AB259" s="1"/>
      <c r="AC259" s="20"/>
      <c r="AD259" s="20"/>
      <c r="AE259" s="1">
        <f>COUNT(Q259:AD259)</f>
        <v>3</v>
      </c>
      <c r="AF259" s="1">
        <f t="shared" si="17"/>
        <v>260</v>
      </c>
      <c r="AG259" s="11" t="str">
        <f t="shared" si="18"/>
        <v>APROVADO</v>
      </c>
    </row>
    <row r="260" spans="2:33" ht="25.5" x14ac:dyDescent="0.25">
      <c r="B260" s="5">
        <v>255</v>
      </c>
      <c r="C260" s="32" t="s">
        <v>1322</v>
      </c>
      <c r="D260" s="5" t="s">
        <v>51</v>
      </c>
      <c r="E260" s="13" t="s">
        <v>1304</v>
      </c>
      <c r="F260" s="13" t="s">
        <v>820</v>
      </c>
      <c r="G260" s="14" t="s">
        <v>36</v>
      </c>
      <c r="H260" s="28">
        <v>1350000</v>
      </c>
      <c r="I260" s="13" t="s">
        <v>1306</v>
      </c>
      <c r="J260" s="11" t="s">
        <v>597</v>
      </c>
      <c r="K260" s="13" t="s">
        <v>1307</v>
      </c>
      <c r="L260" s="30" t="s">
        <v>1302</v>
      </c>
      <c r="M260" s="26">
        <v>45320</v>
      </c>
      <c r="N260" s="13" t="s">
        <v>226</v>
      </c>
      <c r="O260" s="13" t="s">
        <v>600</v>
      </c>
      <c r="P260" s="20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0"/>
      <c r="AD260" s="20"/>
      <c r="AE260" s="20"/>
      <c r="AF260" s="1" t="e">
        <f t="shared" si="17"/>
        <v>#DIV/0!</v>
      </c>
      <c r="AG260" s="11" t="e">
        <f t="shared" si="18"/>
        <v>#DIV/0!</v>
      </c>
    </row>
    <row r="261" spans="2:33" ht="25.5" x14ac:dyDescent="0.25">
      <c r="B261" s="5">
        <v>256</v>
      </c>
      <c r="C261" s="6" t="s">
        <v>1323</v>
      </c>
      <c r="D261" s="5" t="s">
        <v>33</v>
      </c>
      <c r="E261" s="5" t="s">
        <v>1324</v>
      </c>
      <c r="F261" s="5" t="s">
        <v>1325</v>
      </c>
      <c r="G261" s="5" t="s">
        <v>62</v>
      </c>
      <c r="H261" s="8">
        <v>583526.5</v>
      </c>
      <c r="I261" s="7" t="s">
        <v>859</v>
      </c>
      <c r="J261" s="7" t="s">
        <v>181</v>
      </c>
      <c r="K261" s="7" t="s">
        <v>1326</v>
      </c>
      <c r="L261" s="9" t="s">
        <v>1327</v>
      </c>
      <c r="M261" s="10">
        <v>45320</v>
      </c>
      <c r="N261" s="5" t="s">
        <v>67</v>
      </c>
      <c r="O261" s="7"/>
      <c r="P261" s="20"/>
      <c r="Q261" s="39">
        <v>305</v>
      </c>
      <c r="R261" s="1">
        <v>89</v>
      </c>
      <c r="S261" s="1">
        <v>222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>
        <f>COUNT(Q261:AD261)</f>
        <v>3</v>
      </c>
      <c r="AF261" s="1">
        <f t="shared" ref="AF261:AF324" si="22">AVERAGE(Q261:AD261)</f>
        <v>205.33333333333334</v>
      </c>
      <c r="AG261" s="11" t="str">
        <f t="shared" ref="AG261:AG324" si="23">IF(AF261&gt;=$AG$1,"APROVADO","REPROVADO")</f>
        <v>APROVADO</v>
      </c>
    </row>
    <row r="262" spans="2:33" ht="38.25" x14ac:dyDescent="0.25">
      <c r="B262" s="5">
        <v>257</v>
      </c>
      <c r="C262" s="6" t="s">
        <v>1328</v>
      </c>
      <c r="D262" s="5" t="s">
        <v>33</v>
      </c>
      <c r="E262" s="5" t="s">
        <v>1329</v>
      </c>
      <c r="F262" s="5" t="s">
        <v>1330</v>
      </c>
      <c r="G262" s="7" t="s">
        <v>36</v>
      </c>
      <c r="H262" s="8">
        <v>799023.7</v>
      </c>
      <c r="I262" s="7" t="s">
        <v>859</v>
      </c>
      <c r="J262" s="7" t="s">
        <v>181</v>
      </c>
      <c r="K262" s="7" t="s">
        <v>1331</v>
      </c>
      <c r="L262" s="9" t="s">
        <v>1332</v>
      </c>
      <c r="M262" s="10">
        <v>45320</v>
      </c>
      <c r="N262" s="5" t="s">
        <v>67</v>
      </c>
      <c r="O262" s="7"/>
      <c r="P262" s="20"/>
      <c r="Q262" s="39">
        <v>340</v>
      </c>
      <c r="R262" s="1">
        <v>157</v>
      </c>
      <c r="S262" s="1">
        <v>266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f>COUNT(Q262:AD262)</f>
        <v>3</v>
      </c>
      <c r="AF262" s="1">
        <f t="shared" si="22"/>
        <v>254.33333333333334</v>
      </c>
      <c r="AG262" s="11" t="str">
        <f t="shared" si="23"/>
        <v>APROVADO</v>
      </c>
    </row>
    <row r="263" spans="2:33" ht="26.25" x14ac:dyDescent="0.25">
      <c r="B263" s="5">
        <v>258</v>
      </c>
      <c r="C263" s="24" t="s">
        <v>1333</v>
      </c>
      <c r="D263" s="5" t="s">
        <v>51</v>
      </c>
      <c r="E263" s="13" t="s">
        <v>1334</v>
      </c>
      <c r="F263" s="13" t="s">
        <v>1335</v>
      </c>
      <c r="G263" s="14" t="s">
        <v>36</v>
      </c>
      <c r="H263" s="28">
        <v>131738.06</v>
      </c>
      <c r="I263" s="13" t="s">
        <v>1336</v>
      </c>
      <c r="J263" s="11" t="s">
        <v>123</v>
      </c>
      <c r="K263" s="14" t="s">
        <v>1337</v>
      </c>
      <c r="L263" s="14" t="s">
        <v>1338</v>
      </c>
      <c r="M263" s="26">
        <v>45320</v>
      </c>
      <c r="N263" s="13" t="s">
        <v>57</v>
      </c>
      <c r="O263" s="14"/>
      <c r="P263" s="20"/>
      <c r="Q263" s="1">
        <v>291</v>
      </c>
      <c r="R263" s="1"/>
      <c r="S263" s="1"/>
      <c r="T263" s="1"/>
      <c r="U263" s="1"/>
      <c r="V263" s="1">
        <v>283</v>
      </c>
      <c r="W263" s="1">
        <v>270</v>
      </c>
      <c r="X263" s="1"/>
      <c r="Y263" s="1"/>
      <c r="Z263" s="1"/>
      <c r="AA263" s="1"/>
      <c r="AB263" s="1"/>
      <c r="AC263" s="20"/>
      <c r="AD263" s="20"/>
      <c r="AE263" s="1">
        <f>COUNT(Q263:AD263)</f>
        <v>3</v>
      </c>
      <c r="AF263" s="1">
        <f t="shared" si="22"/>
        <v>281.33333333333331</v>
      </c>
      <c r="AG263" s="11" t="str">
        <f t="shared" si="23"/>
        <v>APROVADO</v>
      </c>
    </row>
    <row r="264" spans="2:33" ht="38.25" x14ac:dyDescent="0.25">
      <c r="B264" s="5">
        <v>259</v>
      </c>
      <c r="C264" s="16" t="s">
        <v>1339</v>
      </c>
      <c r="D264" s="5" t="s">
        <v>33</v>
      </c>
      <c r="E264" s="7" t="s">
        <v>1340</v>
      </c>
      <c r="F264" s="7" t="s">
        <v>1341</v>
      </c>
      <c r="G264" s="7" t="s">
        <v>36</v>
      </c>
      <c r="H264" s="8">
        <v>382200</v>
      </c>
      <c r="I264" s="7" t="s">
        <v>1342</v>
      </c>
      <c r="J264" s="7" t="s">
        <v>95</v>
      </c>
      <c r="K264" s="7" t="s">
        <v>1343</v>
      </c>
      <c r="L264" s="9" t="s">
        <v>1344</v>
      </c>
      <c r="M264" s="10">
        <v>45320</v>
      </c>
      <c r="N264" s="13" t="s">
        <v>226</v>
      </c>
      <c r="O264" s="7" t="s">
        <v>227</v>
      </c>
      <c r="P264" s="20"/>
      <c r="Q264" s="40">
        <v>0</v>
      </c>
      <c r="R264" s="1">
        <v>0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>
        <f t="shared" si="22"/>
        <v>0</v>
      </c>
      <c r="AG264" s="11" t="str">
        <f t="shared" si="23"/>
        <v>REPROVADO</v>
      </c>
    </row>
    <row r="265" spans="2:33" ht="38.25" x14ac:dyDescent="0.25">
      <c r="B265" s="5">
        <v>260</v>
      </c>
      <c r="C265" s="27" t="s">
        <v>1345</v>
      </c>
      <c r="D265" s="5" t="s">
        <v>33</v>
      </c>
      <c r="E265" s="7" t="s">
        <v>1346</v>
      </c>
      <c r="F265" s="7" t="s">
        <v>1347</v>
      </c>
      <c r="G265" s="7" t="s">
        <v>36</v>
      </c>
      <c r="H265" s="8">
        <v>200000</v>
      </c>
      <c r="I265" s="7" t="s">
        <v>1342</v>
      </c>
      <c r="J265" s="7" t="s">
        <v>95</v>
      </c>
      <c r="K265" s="7" t="s">
        <v>1348</v>
      </c>
      <c r="L265" s="7" t="s">
        <v>1349</v>
      </c>
      <c r="M265" s="10">
        <v>45320</v>
      </c>
      <c r="N265" s="7" t="s">
        <v>41</v>
      </c>
      <c r="O265" s="7" t="s">
        <v>1350</v>
      </c>
      <c r="P265" s="20"/>
      <c r="Q265" s="40">
        <v>326</v>
      </c>
      <c r="R265" s="1">
        <v>115</v>
      </c>
      <c r="S265" s="1"/>
      <c r="T265" s="1"/>
      <c r="U265" s="1"/>
      <c r="V265" s="1"/>
      <c r="W265" s="1"/>
      <c r="X265" s="1"/>
      <c r="Y265" s="1"/>
      <c r="Z265" s="1"/>
      <c r="AA265" s="1"/>
      <c r="AB265" s="1">
        <v>201</v>
      </c>
      <c r="AC265" s="1"/>
      <c r="AD265" s="1"/>
      <c r="AE265" s="1">
        <f>COUNT(Q265:AD265)</f>
        <v>3</v>
      </c>
      <c r="AF265" s="1">
        <f t="shared" si="22"/>
        <v>214</v>
      </c>
      <c r="AG265" s="11" t="str">
        <f t="shared" si="23"/>
        <v>APROVADO</v>
      </c>
    </row>
    <row r="266" spans="2:33" ht="38.25" x14ac:dyDescent="0.25">
      <c r="B266" s="5">
        <v>261</v>
      </c>
      <c r="C266" s="6" t="s">
        <v>1351</v>
      </c>
      <c r="D266" s="5" t="s">
        <v>33</v>
      </c>
      <c r="E266" s="5" t="s">
        <v>1352</v>
      </c>
      <c r="F266" s="5" t="s">
        <v>1353</v>
      </c>
      <c r="G266" s="7" t="s">
        <v>36</v>
      </c>
      <c r="H266" s="8">
        <v>253000</v>
      </c>
      <c r="I266" s="7" t="s">
        <v>1354</v>
      </c>
      <c r="J266" s="7" t="s">
        <v>95</v>
      </c>
      <c r="K266" s="7" t="s">
        <v>1355</v>
      </c>
      <c r="L266" s="9" t="s">
        <v>1356</v>
      </c>
      <c r="M266" s="10">
        <v>45320</v>
      </c>
      <c r="N266" s="5" t="s">
        <v>67</v>
      </c>
      <c r="O266" s="7" t="s">
        <v>1357</v>
      </c>
      <c r="P266" s="20"/>
      <c r="Q266" s="39">
        <v>291</v>
      </c>
      <c r="R266" s="1">
        <v>281</v>
      </c>
      <c r="S266" s="1">
        <v>263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>
        <f>COUNT(Q266:AD266)</f>
        <v>3</v>
      </c>
      <c r="AF266" s="1">
        <f t="shared" si="22"/>
        <v>278.33333333333331</v>
      </c>
      <c r="AG266" s="11" t="str">
        <f t="shared" si="23"/>
        <v>APROVADO</v>
      </c>
    </row>
    <row r="267" spans="2:33" ht="25.5" x14ac:dyDescent="0.25">
      <c r="B267" s="5">
        <v>262</v>
      </c>
      <c r="C267" s="16" t="s">
        <v>1358</v>
      </c>
      <c r="D267" s="5" t="s">
        <v>33</v>
      </c>
      <c r="E267" s="7" t="s">
        <v>1359</v>
      </c>
      <c r="F267" s="7" t="s">
        <v>1360</v>
      </c>
      <c r="G267" s="7" t="s">
        <v>107</v>
      </c>
      <c r="H267" s="8">
        <v>2073425.66</v>
      </c>
      <c r="I267" s="7" t="s">
        <v>1361</v>
      </c>
      <c r="J267" s="7" t="s">
        <v>795</v>
      </c>
      <c r="K267" s="7" t="s">
        <v>1362</v>
      </c>
      <c r="L267" s="9" t="s">
        <v>1363</v>
      </c>
      <c r="M267" s="10">
        <v>45320</v>
      </c>
      <c r="N267" s="7" t="s">
        <v>82</v>
      </c>
      <c r="O267" s="7" t="s">
        <v>845</v>
      </c>
      <c r="P267" s="20"/>
      <c r="Q267" s="40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 t="e">
        <f t="shared" si="22"/>
        <v>#DIV/0!</v>
      </c>
      <c r="AG267" s="11" t="e">
        <f t="shared" si="23"/>
        <v>#DIV/0!</v>
      </c>
    </row>
    <row r="268" spans="2:33" ht="25.5" x14ac:dyDescent="0.25">
      <c r="B268" s="5">
        <v>263</v>
      </c>
      <c r="C268" s="6" t="s">
        <v>1364</v>
      </c>
      <c r="D268" s="5" t="s">
        <v>33</v>
      </c>
      <c r="E268" s="7" t="s">
        <v>1365</v>
      </c>
      <c r="F268" s="7" t="s">
        <v>1366</v>
      </c>
      <c r="G268" s="7" t="s">
        <v>36</v>
      </c>
      <c r="H268" s="8">
        <v>236959.83</v>
      </c>
      <c r="I268" s="7" t="s">
        <v>1367</v>
      </c>
      <c r="J268" s="7" t="s">
        <v>453</v>
      </c>
      <c r="K268" s="7" t="s">
        <v>1368</v>
      </c>
      <c r="L268" s="9" t="s">
        <v>1369</v>
      </c>
      <c r="M268" s="10">
        <v>45320</v>
      </c>
      <c r="N268" s="7" t="s">
        <v>67</v>
      </c>
      <c r="O268" s="7"/>
      <c r="P268" s="20"/>
      <c r="Q268" s="40">
        <v>340</v>
      </c>
      <c r="R268" s="1"/>
      <c r="S268" s="1"/>
      <c r="T268" s="1"/>
      <c r="U268" s="1"/>
      <c r="V268" s="1">
        <v>340</v>
      </c>
      <c r="W268" s="1">
        <v>340</v>
      </c>
      <c r="X268" s="1"/>
      <c r="Y268" s="1"/>
      <c r="Z268" s="1"/>
      <c r="AA268" s="1"/>
      <c r="AB268" s="1"/>
      <c r="AC268" s="1"/>
      <c r="AD268" s="1"/>
      <c r="AE268" s="1">
        <f t="shared" ref="AE268:AE273" si="24">COUNT(Q268:AD268)</f>
        <v>3</v>
      </c>
      <c r="AF268" s="1">
        <f t="shared" si="22"/>
        <v>340</v>
      </c>
      <c r="AG268" s="11" t="str">
        <f t="shared" si="23"/>
        <v>APROVADO</v>
      </c>
    </row>
    <row r="269" spans="2:33" ht="25.5" x14ac:dyDescent="0.25">
      <c r="B269" s="5">
        <v>264</v>
      </c>
      <c r="C269" s="27" t="s">
        <v>1370</v>
      </c>
      <c r="D269" s="5" t="s">
        <v>33</v>
      </c>
      <c r="E269" s="7" t="s">
        <v>1365</v>
      </c>
      <c r="F269" s="7" t="s">
        <v>1371</v>
      </c>
      <c r="G269" s="7" t="s">
        <v>36</v>
      </c>
      <c r="H269" s="8">
        <v>288982.78999999998</v>
      </c>
      <c r="I269" s="7" t="s">
        <v>1367</v>
      </c>
      <c r="J269" s="7" t="s">
        <v>453</v>
      </c>
      <c r="K269" s="7" t="s">
        <v>1368</v>
      </c>
      <c r="L269" s="9" t="s">
        <v>1369</v>
      </c>
      <c r="M269" s="10">
        <v>45320</v>
      </c>
      <c r="N269" s="7" t="s">
        <v>41</v>
      </c>
      <c r="O269" s="7"/>
      <c r="P269" s="20"/>
      <c r="Q269" s="40">
        <v>312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>
        <v>328</v>
      </c>
      <c r="AC269" s="1">
        <v>324</v>
      </c>
      <c r="AD269" s="1"/>
      <c r="AE269" s="1">
        <f t="shared" si="24"/>
        <v>3</v>
      </c>
      <c r="AF269" s="1">
        <f t="shared" si="22"/>
        <v>321.33333333333331</v>
      </c>
      <c r="AG269" s="11" t="str">
        <f t="shared" si="23"/>
        <v>APROVADO</v>
      </c>
    </row>
    <row r="270" spans="2:33" ht="25.5" x14ac:dyDescent="0.25">
      <c r="B270" s="5">
        <v>265</v>
      </c>
      <c r="C270" s="6" t="s">
        <v>1372</v>
      </c>
      <c r="D270" s="5" t="s">
        <v>33</v>
      </c>
      <c r="E270" s="7" t="s">
        <v>1365</v>
      </c>
      <c r="F270" s="7" t="s">
        <v>1373</v>
      </c>
      <c r="G270" s="7" t="s">
        <v>36</v>
      </c>
      <c r="H270" s="8">
        <v>253465</v>
      </c>
      <c r="I270" s="7" t="s">
        <v>1367</v>
      </c>
      <c r="J270" s="7" t="s">
        <v>453</v>
      </c>
      <c r="K270" s="7" t="s">
        <v>1368</v>
      </c>
      <c r="L270" s="9" t="s">
        <v>1369</v>
      </c>
      <c r="M270" s="10">
        <v>45320</v>
      </c>
      <c r="N270" s="7" t="s">
        <v>67</v>
      </c>
      <c r="O270" s="7"/>
      <c r="P270" s="20"/>
      <c r="Q270" s="40">
        <v>340</v>
      </c>
      <c r="R270" s="1"/>
      <c r="S270" s="1"/>
      <c r="T270" s="1"/>
      <c r="U270" s="1"/>
      <c r="V270" s="1">
        <v>340</v>
      </c>
      <c r="W270" s="1">
        <v>340</v>
      </c>
      <c r="X270" s="1"/>
      <c r="Y270" s="1"/>
      <c r="Z270" s="1"/>
      <c r="AA270" s="1"/>
      <c r="AB270" s="1"/>
      <c r="AC270" s="1"/>
      <c r="AD270" s="1"/>
      <c r="AE270" s="1">
        <f t="shared" si="24"/>
        <v>3</v>
      </c>
      <c r="AF270" s="1">
        <f t="shared" si="22"/>
        <v>340</v>
      </c>
      <c r="AG270" s="11" t="str">
        <f t="shared" si="23"/>
        <v>APROVADO</v>
      </c>
    </row>
    <row r="271" spans="2:33" ht="25.5" x14ac:dyDescent="0.25">
      <c r="B271" s="5">
        <v>266</v>
      </c>
      <c r="C271" s="6" t="s">
        <v>1374</v>
      </c>
      <c r="D271" s="5" t="s">
        <v>33</v>
      </c>
      <c r="E271" s="7" t="s">
        <v>1375</v>
      </c>
      <c r="F271" s="7" t="s">
        <v>1376</v>
      </c>
      <c r="G271" s="7" t="s">
        <v>36</v>
      </c>
      <c r="H271" s="8">
        <v>295091.13</v>
      </c>
      <c r="I271" s="7" t="s">
        <v>1367</v>
      </c>
      <c r="J271" s="7" t="s">
        <v>453</v>
      </c>
      <c r="K271" s="7" t="s">
        <v>1377</v>
      </c>
      <c r="L271" s="9" t="s">
        <v>1378</v>
      </c>
      <c r="M271" s="10">
        <v>45320</v>
      </c>
      <c r="N271" s="7" t="s">
        <v>67</v>
      </c>
      <c r="O271" s="7"/>
      <c r="P271" s="20"/>
      <c r="Q271" s="40">
        <v>229</v>
      </c>
      <c r="R271" s="1"/>
      <c r="S271" s="1"/>
      <c r="T271" s="1"/>
      <c r="U271" s="1"/>
      <c r="V271" s="1"/>
      <c r="W271" s="1"/>
      <c r="X271" s="1">
        <v>340</v>
      </c>
      <c r="Y271" s="1">
        <v>340</v>
      </c>
      <c r="Z271" s="1"/>
      <c r="AA271" s="1"/>
      <c r="AB271" s="1"/>
      <c r="AC271" s="1"/>
      <c r="AD271" s="1"/>
      <c r="AE271" s="1">
        <f t="shared" si="24"/>
        <v>3</v>
      </c>
      <c r="AF271" s="1">
        <f t="shared" si="22"/>
        <v>303</v>
      </c>
      <c r="AG271" s="11" t="str">
        <f t="shared" si="23"/>
        <v>APROVADO</v>
      </c>
    </row>
    <row r="272" spans="2:33" ht="25.5" x14ac:dyDescent="0.25">
      <c r="B272" s="5">
        <v>267</v>
      </c>
      <c r="C272" s="6" t="s">
        <v>1379</v>
      </c>
      <c r="D272" s="5" t="s">
        <v>33</v>
      </c>
      <c r="E272" s="5" t="s">
        <v>1375</v>
      </c>
      <c r="F272" s="5" t="s">
        <v>1380</v>
      </c>
      <c r="G272" s="7" t="s">
        <v>36</v>
      </c>
      <c r="H272" s="8">
        <v>212826.99</v>
      </c>
      <c r="I272" s="7" t="s">
        <v>1367</v>
      </c>
      <c r="J272" s="7" t="s">
        <v>453</v>
      </c>
      <c r="K272" s="7" t="s">
        <v>1377</v>
      </c>
      <c r="L272" s="9" t="s">
        <v>1378</v>
      </c>
      <c r="M272" s="10">
        <v>45320</v>
      </c>
      <c r="N272" s="5" t="s">
        <v>67</v>
      </c>
      <c r="O272" s="7" t="s">
        <v>1357</v>
      </c>
      <c r="P272" s="20"/>
      <c r="Q272" s="39">
        <v>315</v>
      </c>
      <c r="R272" s="1">
        <v>124</v>
      </c>
      <c r="S272" s="1">
        <v>254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f t="shared" si="24"/>
        <v>3</v>
      </c>
      <c r="AF272" s="1">
        <f t="shared" si="22"/>
        <v>231</v>
      </c>
      <c r="AG272" s="11" t="str">
        <f t="shared" si="23"/>
        <v>APROVADO</v>
      </c>
    </row>
    <row r="273" spans="2:33" ht="25.5" x14ac:dyDescent="0.25">
      <c r="B273" s="5">
        <v>268</v>
      </c>
      <c r="C273" s="6" t="s">
        <v>1381</v>
      </c>
      <c r="D273" s="5" t="s">
        <v>33</v>
      </c>
      <c r="E273" s="7" t="s">
        <v>1382</v>
      </c>
      <c r="F273" s="7" t="s">
        <v>1383</v>
      </c>
      <c r="G273" s="7" t="s">
        <v>36</v>
      </c>
      <c r="H273" s="8">
        <v>100000</v>
      </c>
      <c r="I273" s="7" t="s">
        <v>1384</v>
      </c>
      <c r="J273" s="7" t="s">
        <v>223</v>
      </c>
      <c r="K273" s="7" t="s">
        <v>1385</v>
      </c>
      <c r="L273" s="9" t="s">
        <v>1386</v>
      </c>
      <c r="M273" s="10">
        <v>45320</v>
      </c>
      <c r="N273" s="7" t="s">
        <v>67</v>
      </c>
      <c r="O273" s="7"/>
      <c r="P273" s="20"/>
      <c r="Q273" s="40">
        <v>293</v>
      </c>
      <c r="R273" s="1"/>
      <c r="S273" s="1"/>
      <c r="T273" s="1"/>
      <c r="U273" s="1"/>
      <c r="V273" s="1"/>
      <c r="W273" s="1">
        <v>328</v>
      </c>
      <c r="X273" s="1"/>
      <c r="Y273" s="1">
        <v>340</v>
      </c>
      <c r="Z273" s="1"/>
      <c r="AA273" s="1"/>
      <c r="AB273" s="1"/>
      <c r="AC273" s="1"/>
      <c r="AD273" s="1"/>
      <c r="AE273" s="1">
        <f t="shared" si="24"/>
        <v>3</v>
      </c>
      <c r="AF273" s="1">
        <f t="shared" si="22"/>
        <v>320.33333333333331</v>
      </c>
      <c r="AG273" s="11" t="str">
        <f t="shared" si="23"/>
        <v>APROVADO</v>
      </c>
    </row>
    <row r="274" spans="2:33" ht="26.25" x14ac:dyDescent="0.25">
      <c r="B274" s="5">
        <v>269</v>
      </c>
      <c r="C274" s="32" t="s">
        <v>1387</v>
      </c>
      <c r="D274" s="5" t="s">
        <v>51</v>
      </c>
      <c r="E274" s="13" t="s">
        <v>1388</v>
      </c>
      <c r="F274" s="14" t="s">
        <v>1389</v>
      </c>
      <c r="G274" s="7" t="s">
        <v>45</v>
      </c>
      <c r="H274" s="28">
        <v>275712</v>
      </c>
      <c r="I274" s="13" t="s">
        <v>1367</v>
      </c>
      <c r="J274" s="11" t="s">
        <v>453</v>
      </c>
      <c r="K274" s="14" t="s">
        <v>1390</v>
      </c>
      <c r="L274" s="14" t="s">
        <v>1391</v>
      </c>
      <c r="M274" s="26">
        <v>45320</v>
      </c>
      <c r="N274" s="7" t="s">
        <v>82</v>
      </c>
      <c r="O274" s="7" t="s">
        <v>845</v>
      </c>
      <c r="P274" s="20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0"/>
      <c r="AD274" s="20"/>
      <c r="AE274" s="20"/>
      <c r="AF274" s="1" t="e">
        <f t="shared" si="22"/>
        <v>#DIV/0!</v>
      </c>
      <c r="AG274" s="11" t="e">
        <f t="shared" si="23"/>
        <v>#DIV/0!</v>
      </c>
    </row>
    <row r="275" spans="2:33" ht="63.75" x14ac:dyDescent="0.25">
      <c r="B275" s="5">
        <v>270</v>
      </c>
      <c r="C275" s="27" t="s">
        <v>1392</v>
      </c>
      <c r="D275" s="5" t="s">
        <v>33</v>
      </c>
      <c r="E275" s="7" t="s">
        <v>1393</v>
      </c>
      <c r="F275" s="7" t="s">
        <v>1394</v>
      </c>
      <c r="G275" s="5" t="s">
        <v>62</v>
      </c>
      <c r="H275" s="8">
        <v>445266.8</v>
      </c>
      <c r="I275" s="7" t="s">
        <v>63</v>
      </c>
      <c r="J275" s="5" t="s">
        <v>64</v>
      </c>
      <c r="K275" s="7" t="s">
        <v>1395</v>
      </c>
      <c r="L275" s="9" t="s">
        <v>1396</v>
      </c>
      <c r="M275" s="10">
        <v>45320</v>
      </c>
      <c r="N275" s="7" t="s">
        <v>41</v>
      </c>
      <c r="O275" s="7"/>
      <c r="P275" s="20"/>
      <c r="Q275" s="40">
        <v>340</v>
      </c>
      <c r="R275" s="1">
        <v>167</v>
      </c>
      <c r="S275" s="1">
        <v>248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>
        <f>COUNT(Q275:AD275)</f>
        <v>3</v>
      </c>
      <c r="AF275" s="1">
        <f t="shared" si="22"/>
        <v>251.66666666666666</v>
      </c>
      <c r="AG275" s="11" t="str">
        <f t="shared" si="23"/>
        <v>APROVADO</v>
      </c>
    </row>
    <row r="276" spans="2:33" ht="25.5" x14ac:dyDescent="0.25">
      <c r="B276" s="5">
        <v>271</v>
      </c>
      <c r="C276" s="27" t="s">
        <v>1397</v>
      </c>
      <c r="D276" s="5" t="s">
        <v>33</v>
      </c>
      <c r="E276" s="7" t="s">
        <v>1398</v>
      </c>
      <c r="F276" s="7" t="s">
        <v>1399</v>
      </c>
      <c r="G276" s="7" t="s">
        <v>36</v>
      </c>
      <c r="H276" s="8">
        <v>223240.63</v>
      </c>
      <c r="I276" s="7" t="s">
        <v>993</v>
      </c>
      <c r="J276" s="9" t="s">
        <v>235</v>
      </c>
      <c r="K276" s="7" t="s">
        <v>1400</v>
      </c>
      <c r="L276" s="9" t="s">
        <v>1401</v>
      </c>
      <c r="M276" s="10">
        <v>45320</v>
      </c>
      <c r="N276" s="7" t="s">
        <v>41</v>
      </c>
      <c r="O276" s="7"/>
      <c r="P276" s="20"/>
      <c r="Q276" s="40">
        <v>327</v>
      </c>
      <c r="R276" s="1">
        <v>197</v>
      </c>
      <c r="S276" s="1">
        <v>247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>
        <f>COUNT(Q276:AD276)</f>
        <v>3</v>
      </c>
      <c r="AF276" s="1">
        <f t="shared" si="22"/>
        <v>257</v>
      </c>
      <c r="AG276" s="11" t="str">
        <f t="shared" si="23"/>
        <v>APROVADO</v>
      </c>
    </row>
    <row r="277" spans="2:33" ht="25.5" x14ac:dyDescent="0.25">
      <c r="B277" s="5">
        <v>272</v>
      </c>
      <c r="C277" s="27" t="s">
        <v>1402</v>
      </c>
      <c r="D277" s="5" t="s">
        <v>33</v>
      </c>
      <c r="E277" s="7" t="s">
        <v>1398</v>
      </c>
      <c r="F277" s="7" t="s">
        <v>1403</v>
      </c>
      <c r="G277" s="7" t="s">
        <v>36</v>
      </c>
      <c r="H277" s="8">
        <v>193561.25</v>
      </c>
      <c r="I277" s="7" t="s">
        <v>993</v>
      </c>
      <c r="J277" s="9" t="s">
        <v>235</v>
      </c>
      <c r="K277" s="7" t="s">
        <v>1400</v>
      </c>
      <c r="L277" s="9" t="s">
        <v>1401</v>
      </c>
      <c r="M277" s="10">
        <v>45320</v>
      </c>
      <c r="N277" s="7" t="s">
        <v>41</v>
      </c>
      <c r="O277" s="7"/>
      <c r="P277" s="20"/>
      <c r="Q277" s="40">
        <v>340</v>
      </c>
      <c r="R277" s="1">
        <v>188</v>
      </c>
      <c r="S277" s="1">
        <v>231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>
        <f>COUNT(Q277:AD277)</f>
        <v>3</v>
      </c>
      <c r="AF277" s="1">
        <f t="shared" si="22"/>
        <v>253</v>
      </c>
      <c r="AG277" s="11" t="str">
        <f t="shared" si="23"/>
        <v>APROVADO</v>
      </c>
    </row>
    <row r="278" spans="2:33" ht="25.5" x14ac:dyDescent="0.25">
      <c r="B278" s="5">
        <v>273</v>
      </c>
      <c r="C278" s="27" t="s">
        <v>1404</v>
      </c>
      <c r="D278" s="5" t="s">
        <v>33</v>
      </c>
      <c r="E278" s="7" t="s">
        <v>1398</v>
      </c>
      <c r="F278" s="7" t="s">
        <v>1405</v>
      </c>
      <c r="G278" s="7" t="s">
        <v>36</v>
      </c>
      <c r="H278" s="8">
        <v>205034.04</v>
      </c>
      <c r="I278" s="7" t="s">
        <v>993</v>
      </c>
      <c r="J278" s="9" t="s">
        <v>235</v>
      </c>
      <c r="K278" s="7" t="s">
        <v>1400</v>
      </c>
      <c r="L278" s="9" t="s">
        <v>1401</v>
      </c>
      <c r="M278" s="10">
        <v>45320</v>
      </c>
      <c r="N278" s="7" t="s">
        <v>41</v>
      </c>
      <c r="O278" s="7"/>
      <c r="P278" s="20"/>
      <c r="Q278" s="40">
        <v>340</v>
      </c>
      <c r="R278" s="1">
        <v>136</v>
      </c>
      <c r="S278" s="1">
        <v>270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>
        <f>COUNT(Q278:AD278)</f>
        <v>3</v>
      </c>
      <c r="AF278" s="1">
        <f t="shared" si="22"/>
        <v>248.66666666666666</v>
      </c>
      <c r="AG278" s="11" t="str">
        <f t="shared" si="23"/>
        <v>APROVADO</v>
      </c>
    </row>
    <row r="279" spans="2:33" x14ac:dyDescent="0.25">
      <c r="B279" s="5">
        <v>274</v>
      </c>
      <c r="C279" s="27" t="s">
        <v>1406</v>
      </c>
      <c r="D279" s="5" t="s">
        <v>33</v>
      </c>
      <c r="E279" s="7" t="s">
        <v>1407</v>
      </c>
      <c r="F279" s="7" t="s">
        <v>1258</v>
      </c>
      <c r="G279" s="7" t="s">
        <v>107</v>
      </c>
      <c r="H279" s="8">
        <v>127800</v>
      </c>
      <c r="I279" s="7" t="s">
        <v>1408</v>
      </c>
      <c r="J279" s="7" t="s">
        <v>223</v>
      </c>
      <c r="K279" s="7" t="s">
        <v>1409</v>
      </c>
      <c r="L279" s="9" t="s">
        <v>1410</v>
      </c>
      <c r="M279" s="10">
        <v>45320</v>
      </c>
      <c r="N279" s="7" t="s">
        <v>41</v>
      </c>
      <c r="O279" s="7"/>
      <c r="P279" s="20"/>
      <c r="Q279" s="40">
        <v>330</v>
      </c>
      <c r="R279" s="1">
        <v>136</v>
      </c>
      <c r="S279" s="1">
        <v>245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>
        <f>COUNT(Q279:AD279)</f>
        <v>3</v>
      </c>
      <c r="AF279" s="1">
        <f t="shared" si="22"/>
        <v>237</v>
      </c>
      <c r="AG279" s="11" t="str">
        <f t="shared" si="23"/>
        <v>APROVADO</v>
      </c>
    </row>
    <row r="280" spans="2:33" ht="25.5" x14ac:dyDescent="0.25">
      <c r="B280" s="5">
        <v>275</v>
      </c>
      <c r="C280" s="16" t="s">
        <v>1411</v>
      </c>
      <c r="D280" s="5" t="s">
        <v>33</v>
      </c>
      <c r="E280" s="7" t="s">
        <v>1412</v>
      </c>
      <c r="F280" s="7" t="s">
        <v>458</v>
      </c>
      <c r="G280" s="7" t="s">
        <v>36</v>
      </c>
      <c r="H280" s="8">
        <v>1720000</v>
      </c>
      <c r="I280" s="7" t="s">
        <v>1413</v>
      </c>
      <c r="J280" s="7" t="s">
        <v>1414</v>
      </c>
      <c r="K280" s="7" t="s">
        <v>1415</v>
      </c>
      <c r="L280" s="9" t="s">
        <v>1416</v>
      </c>
      <c r="M280" s="10">
        <v>45320</v>
      </c>
      <c r="N280" s="13" t="s">
        <v>226</v>
      </c>
      <c r="O280" s="7" t="s">
        <v>600</v>
      </c>
      <c r="P280" s="20"/>
      <c r="Q280" s="40">
        <v>0</v>
      </c>
      <c r="R280" s="1">
        <v>0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>
        <f t="shared" si="22"/>
        <v>0</v>
      </c>
      <c r="AG280" s="11" t="str">
        <f t="shared" si="23"/>
        <v>REPROVADO</v>
      </c>
    </row>
    <row r="281" spans="2:33" ht="25.5" x14ac:dyDescent="0.25">
      <c r="B281" s="5">
        <v>276</v>
      </c>
      <c r="C281" s="6" t="s">
        <v>1417</v>
      </c>
      <c r="D281" s="5" t="s">
        <v>51</v>
      </c>
      <c r="E281" s="7" t="s">
        <v>1418</v>
      </c>
      <c r="F281" s="7" t="s">
        <v>1419</v>
      </c>
      <c r="G281" s="7" t="s">
        <v>62</v>
      </c>
      <c r="H281" s="28">
        <v>310000</v>
      </c>
      <c r="I281" s="7" t="s">
        <v>1420</v>
      </c>
      <c r="J281" s="11" t="s">
        <v>597</v>
      </c>
      <c r="K281" s="7" t="s">
        <v>1421</v>
      </c>
      <c r="L281" s="44" t="s">
        <v>1422</v>
      </c>
      <c r="M281" s="26">
        <v>45320</v>
      </c>
      <c r="N281" s="7" t="s">
        <v>57</v>
      </c>
      <c r="O281" s="20"/>
      <c r="P281" s="20"/>
      <c r="Q281" s="1">
        <v>164</v>
      </c>
      <c r="R281" s="1"/>
      <c r="S281" s="1"/>
      <c r="T281" s="1"/>
      <c r="U281" s="1"/>
      <c r="V281" s="1">
        <v>204</v>
      </c>
      <c r="W281" s="1">
        <v>190</v>
      </c>
      <c r="X281" s="1"/>
      <c r="Y281" s="1"/>
      <c r="Z281" s="1"/>
      <c r="AA281" s="1"/>
      <c r="AB281" s="1"/>
      <c r="AC281" s="20"/>
      <c r="AD281" s="20"/>
      <c r="AE281" s="1">
        <f t="shared" ref="AE281:AE303" si="25">COUNT(Q281:AD281)</f>
        <v>3</v>
      </c>
      <c r="AF281" s="1">
        <f t="shared" si="22"/>
        <v>186</v>
      </c>
      <c r="AG281" s="11" t="str">
        <f t="shared" si="23"/>
        <v>REPROVADO</v>
      </c>
    </row>
    <row r="282" spans="2:33" x14ac:dyDescent="0.25">
      <c r="B282" s="5">
        <v>277</v>
      </c>
      <c r="C282" s="24" t="s">
        <v>1423</v>
      </c>
      <c r="D282" s="5" t="s">
        <v>51</v>
      </c>
      <c r="E282" s="13" t="s">
        <v>1424</v>
      </c>
      <c r="F282" s="13" t="s">
        <v>1425</v>
      </c>
      <c r="G282" s="14" t="s">
        <v>62</v>
      </c>
      <c r="H282" s="28">
        <v>445040.3</v>
      </c>
      <c r="I282" s="13" t="s">
        <v>1426</v>
      </c>
      <c r="J282" s="11" t="s">
        <v>154</v>
      </c>
      <c r="K282" s="14" t="s">
        <v>1427</v>
      </c>
      <c r="L282" s="43" t="s">
        <v>1428</v>
      </c>
      <c r="M282" s="26">
        <v>45320</v>
      </c>
      <c r="N282" s="13" t="s">
        <v>57</v>
      </c>
      <c r="O282" s="13"/>
      <c r="P282" s="20"/>
      <c r="Q282" s="1">
        <v>330</v>
      </c>
      <c r="R282" s="1"/>
      <c r="S282" s="1"/>
      <c r="T282" s="1"/>
      <c r="U282" s="1"/>
      <c r="V282" s="1"/>
      <c r="W282" s="1"/>
      <c r="X282" s="1">
        <v>318</v>
      </c>
      <c r="Y282" s="1">
        <v>340</v>
      </c>
      <c r="Z282" s="1"/>
      <c r="AA282" s="1"/>
      <c r="AB282" s="1"/>
      <c r="AC282" s="20"/>
      <c r="AD282" s="20"/>
      <c r="AE282" s="1">
        <f t="shared" si="25"/>
        <v>3</v>
      </c>
      <c r="AF282" s="1">
        <f t="shared" si="22"/>
        <v>329.33333333333331</v>
      </c>
      <c r="AG282" s="11" t="str">
        <f t="shared" si="23"/>
        <v>APROVADO</v>
      </c>
    </row>
    <row r="283" spans="2:33" x14ac:dyDescent="0.25">
      <c r="B283" s="5">
        <v>278</v>
      </c>
      <c r="C283" s="27" t="s">
        <v>1429</v>
      </c>
      <c r="D283" s="5" t="s">
        <v>33</v>
      </c>
      <c r="E283" s="7" t="s">
        <v>1430</v>
      </c>
      <c r="F283" s="7" t="s">
        <v>1431</v>
      </c>
      <c r="G283" s="7" t="s">
        <v>36</v>
      </c>
      <c r="H283" s="8">
        <v>136960</v>
      </c>
      <c r="I283" s="7" t="s">
        <v>1426</v>
      </c>
      <c r="J283" s="7" t="s">
        <v>154</v>
      </c>
      <c r="K283" s="7" t="s">
        <v>1432</v>
      </c>
      <c r="L283" s="9" t="s">
        <v>1433</v>
      </c>
      <c r="M283" s="10">
        <v>45320</v>
      </c>
      <c r="N283" s="7" t="s">
        <v>41</v>
      </c>
      <c r="O283" s="7"/>
      <c r="P283" s="20"/>
      <c r="Q283" s="40">
        <v>340</v>
      </c>
      <c r="R283" s="1">
        <v>141</v>
      </c>
      <c r="S283" s="1"/>
      <c r="T283" s="1"/>
      <c r="U283" s="1"/>
      <c r="V283" s="1"/>
      <c r="W283" s="1"/>
      <c r="X283" s="1"/>
      <c r="Y283" s="1"/>
      <c r="Z283" s="1"/>
      <c r="AA283" s="1"/>
      <c r="AB283" s="1">
        <v>332</v>
      </c>
      <c r="AC283" s="1"/>
      <c r="AD283" s="1"/>
      <c r="AE283" s="1">
        <f t="shared" si="25"/>
        <v>3</v>
      </c>
      <c r="AF283" s="1">
        <f t="shared" si="22"/>
        <v>271</v>
      </c>
      <c r="AG283" s="11" t="str">
        <f t="shared" si="23"/>
        <v>APROVADO</v>
      </c>
    </row>
    <row r="284" spans="2:33" ht="25.5" x14ac:dyDescent="0.25">
      <c r="B284" s="5">
        <v>279</v>
      </c>
      <c r="C284" s="27" t="s">
        <v>1434</v>
      </c>
      <c r="D284" s="5" t="s">
        <v>33</v>
      </c>
      <c r="E284" s="7" t="s">
        <v>1435</v>
      </c>
      <c r="F284" s="7" t="s">
        <v>1436</v>
      </c>
      <c r="G284" s="7" t="s">
        <v>300</v>
      </c>
      <c r="H284" s="8">
        <v>60900.34</v>
      </c>
      <c r="I284" s="7" t="s">
        <v>73</v>
      </c>
      <c r="J284" s="7" t="s">
        <v>74</v>
      </c>
      <c r="K284" s="7" t="s">
        <v>1437</v>
      </c>
      <c r="L284" s="9" t="s">
        <v>1438</v>
      </c>
      <c r="M284" s="10">
        <v>45320</v>
      </c>
      <c r="N284" s="7" t="s">
        <v>41</v>
      </c>
      <c r="O284" s="7"/>
      <c r="P284" s="20"/>
      <c r="Q284" s="40">
        <v>302</v>
      </c>
      <c r="R284" s="1">
        <v>217</v>
      </c>
      <c r="S284" s="1">
        <v>232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>
        <f t="shared" si="25"/>
        <v>3</v>
      </c>
      <c r="AF284" s="1">
        <f t="shared" si="22"/>
        <v>250.33333333333334</v>
      </c>
      <c r="AG284" s="11" t="str">
        <f t="shared" si="23"/>
        <v>APROVADO</v>
      </c>
    </row>
    <row r="285" spans="2:33" ht="25.5" x14ac:dyDescent="0.25">
      <c r="B285" s="5">
        <v>280</v>
      </c>
      <c r="C285" s="27" t="s">
        <v>1439</v>
      </c>
      <c r="D285" s="5" t="s">
        <v>33</v>
      </c>
      <c r="E285" s="7" t="s">
        <v>1440</v>
      </c>
      <c r="F285" s="7" t="s">
        <v>1441</v>
      </c>
      <c r="G285" s="7" t="s">
        <v>36</v>
      </c>
      <c r="H285" s="8">
        <v>178800</v>
      </c>
      <c r="I285" s="7" t="s">
        <v>1442</v>
      </c>
      <c r="J285" s="7" t="s">
        <v>254</v>
      </c>
      <c r="K285" s="7" t="s">
        <v>1443</v>
      </c>
      <c r="L285" s="9" t="s">
        <v>1444</v>
      </c>
      <c r="M285" s="10">
        <v>45320</v>
      </c>
      <c r="N285" s="7" t="s">
        <v>41</v>
      </c>
      <c r="O285" s="7"/>
      <c r="P285" s="20"/>
      <c r="Q285" s="40">
        <v>320</v>
      </c>
      <c r="R285" s="1">
        <v>176</v>
      </c>
      <c r="S285" s="1"/>
      <c r="T285" s="1"/>
      <c r="U285" s="1"/>
      <c r="V285" s="1"/>
      <c r="W285" s="1"/>
      <c r="X285" s="1"/>
      <c r="Y285" s="1"/>
      <c r="Z285" s="1"/>
      <c r="AA285" s="1"/>
      <c r="AB285" s="1">
        <v>300</v>
      </c>
      <c r="AC285" s="1"/>
      <c r="AD285" s="1"/>
      <c r="AE285" s="1">
        <f t="shared" si="25"/>
        <v>3</v>
      </c>
      <c r="AF285" s="1">
        <f t="shared" si="22"/>
        <v>265.33333333333331</v>
      </c>
      <c r="AG285" s="11" t="str">
        <f t="shared" si="23"/>
        <v>APROVADO</v>
      </c>
    </row>
    <row r="286" spans="2:33" ht="26.25" x14ac:dyDescent="0.25">
      <c r="B286" s="5">
        <v>281</v>
      </c>
      <c r="C286" s="24" t="s">
        <v>1445</v>
      </c>
      <c r="D286" s="5" t="s">
        <v>51</v>
      </c>
      <c r="E286" s="14" t="s">
        <v>1446</v>
      </c>
      <c r="F286" s="14" t="s">
        <v>1447</v>
      </c>
      <c r="G286" s="14" t="s">
        <v>107</v>
      </c>
      <c r="H286" s="28">
        <v>921684</v>
      </c>
      <c r="I286" s="13" t="s">
        <v>1448</v>
      </c>
      <c r="J286" s="11" t="s">
        <v>235</v>
      </c>
      <c r="K286" s="14" t="s">
        <v>1449</v>
      </c>
      <c r="L286" s="43" t="s">
        <v>1428</v>
      </c>
      <c r="M286" s="26">
        <v>45320</v>
      </c>
      <c r="N286" s="13" t="s">
        <v>57</v>
      </c>
      <c r="O286" s="13"/>
      <c r="P286" s="20"/>
      <c r="Q286" s="1">
        <v>264</v>
      </c>
      <c r="R286" s="1"/>
      <c r="S286" s="1"/>
      <c r="T286" s="1"/>
      <c r="U286" s="1"/>
      <c r="V286" s="1"/>
      <c r="W286" s="1"/>
      <c r="X286" s="1">
        <v>310</v>
      </c>
      <c r="Y286" s="1">
        <v>340</v>
      </c>
      <c r="Z286" s="1"/>
      <c r="AA286" s="1"/>
      <c r="AB286" s="1"/>
      <c r="AC286" s="20"/>
      <c r="AD286" s="20"/>
      <c r="AE286" s="1">
        <f t="shared" si="25"/>
        <v>3</v>
      </c>
      <c r="AF286" s="1">
        <f t="shared" si="22"/>
        <v>304.66666666666669</v>
      </c>
      <c r="AG286" s="11" t="str">
        <f t="shared" si="23"/>
        <v>APROVADO</v>
      </c>
    </row>
    <row r="287" spans="2:33" ht="25.5" x14ac:dyDescent="0.25">
      <c r="B287" s="5">
        <v>282</v>
      </c>
      <c r="C287" s="27" t="s">
        <v>1450</v>
      </c>
      <c r="D287" s="5" t="s">
        <v>33</v>
      </c>
      <c r="E287" s="7" t="s">
        <v>1451</v>
      </c>
      <c r="F287" s="7" t="s">
        <v>1452</v>
      </c>
      <c r="G287" s="7" t="s">
        <v>1453</v>
      </c>
      <c r="H287" s="8">
        <v>267625.44</v>
      </c>
      <c r="I287" s="7" t="s">
        <v>1033</v>
      </c>
      <c r="J287" s="7" t="s">
        <v>445</v>
      </c>
      <c r="K287" s="7" t="s">
        <v>1454</v>
      </c>
      <c r="L287" s="9" t="s">
        <v>1455</v>
      </c>
      <c r="M287" s="10">
        <v>45320</v>
      </c>
      <c r="N287" s="7" t="s">
        <v>41</v>
      </c>
      <c r="O287" s="7"/>
      <c r="P287" s="20"/>
      <c r="Q287" s="40">
        <v>340</v>
      </c>
      <c r="R287" s="1">
        <v>156</v>
      </c>
      <c r="S287" s="1"/>
      <c r="T287" s="1"/>
      <c r="U287" s="1"/>
      <c r="V287" s="1"/>
      <c r="W287" s="1"/>
      <c r="X287" s="1"/>
      <c r="Y287" s="1"/>
      <c r="Z287" s="1"/>
      <c r="AA287" s="1"/>
      <c r="AB287" s="1">
        <v>252</v>
      </c>
      <c r="AC287" s="1"/>
      <c r="AD287" s="1"/>
      <c r="AE287" s="1">
        <f t="shared" si="25"/>
        <v>3</v>
      </c>
      <c r="AF287" s="1">
        <f t="shared" si="22"/>
        <v>249.33333333333334</v>
      </c>
      <c r="AG287" s="11" t="str">
        <f t="shared" si="23"/>
        <v>APROVADO</v>
      </c>
    </row>
    <row r="288" spans="2:33" ht="38.25" x14ac:dyDescent="0.25">
      <c r="B288" s="5">
        <v>283</v>
      </c>
      <c r="C288" s="6" t="s">
        <v>1456</v>
      </c>
      <c r="D288" s="5" t="s">
        <v>33</v>
      </c>
      <c r="E288" s="5" t="s">
        <v>1457</v>
      </c>
      <c r="F288" s="5" t="s">
        <v>1458</v>
      </c>
      <c r="G288" s="5" t="s">
        <v>36</v>
      </c>
      <c r="H288" s="17">
        <v>96807.1</v>
      </c>
      <c r="I288" s="5" t="s">
        <v>1459</v>
      </c>
      <c r="J288" s="5" t="s">
        <v>270</v>
      </c>
      <c r="K288" s="5" t="s">
        <v>1460</v>
      </c>
      <c r="L288" s="9" t="s">
        <v>1461</v>
      </c>
      <c r="M288" s="10">
        <v>45321</v>
      </c>
      <c r="N288" s="5" t="s">
        <v>41</v>
      </c>
      <c r="O288" s="5"/>
      <c r="P288" s="20"/>
      <c r="Q288" s="39">
        <v>265</v>
      </c>
      <c r="R288" s="1">
        <v>162</v>
      </c>
      <c r="S288" s="1"/>
      <c r="T288" s="1"/>
      <c r="U288" s="1"/>
      <c r="V288" s="1"/>
      <c r="W288" s="1"/>
      <c r="X288" s="1"/>
      <c r="Y288" s="1"/>
      <c r="Z288" s="1"/>
      <c r="AA288" s="1"/>
      <c r="AB288" s="1">
        <v>281</v>
      </c>
      <c r="AC288" s="1"/>
      <c r="AD288" s="1"/>
      <c r="AE288" s="1">
        <f t="shared" si="25"/>
        <v>3</v>
      </c>
      <c r="AF288" s="1">
        <f t="shared" si="22"/>
        <v>236</v>
      </c>
      <c r="AG288" s="11" t="str">
        <f t="shared" si="23"/>
        <v>APROVADO</v>
      </c>
    </row>
    <row r="289" spans="2:33" ht="38.25" x14ac:dyDescent="0.25">
      <c r="B289" s="5">
        <v>284</v>
      </c>
      <c r="C289" s="27" t="s">
        <v>1462</v>
      </c>
      <c r="D289" s="5" t="s">
        <v>33</v>
      </c>
      <c r="E289" s="7" t="s">
        <v>1457</v>
      </c>
      <c r="F289" s="7" t="s">
        <v>1463</v>
      </c>
      <c r="G289" s="7" t="s">
        <v>36</v>
      </c>
      <c r="H289" s="8">
        <v>200750</v>
      </c>
      <c r="I289" s="7" t="s">
        <v>1459</v>
      </c>
      <c r="J289" s="7" t="s">
        <v>270</v>
      </c>
      <c r="K289" s="7" t="s">
        <v>1460</v>
      </c>
      <c r="L289" s="9" t="s">
        <v>1461</v>
      </c>
      <c r="M289" s="10">
        <v>45321</v>
      </c>
      <c r="N289" s="7" t="s">
        <v>41</v>
      </c>
      <c r="O289" s="7"/>
      <c r="P289" s="20"/>
      <c r="Q289" s="40">
        <v>328</v>
      </c>
      <c r="R289" s="1">
        <v>178</v>
      </c>
      <c r="S289" s="1">
        <v>251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f t="shared" si="25"/>
        <v>3</v>
      </c>
      <c r="AF289" s="1">
        <f t="shared" si="22"/>
        <v>252.33333333333334</v>
      </c>
      <c r="AG289" s="11" t="str">
        <f t="shared" si="23"/>
        <v>APROVADO</v>
      </c>
    </row>
    <row r="290" spans="2:33" ht="25.5" x14ac:dyDescent="0.25">
      <c r="B290" s="5">
        <v>285</v>
      </c>
      <c r="C290" s="6" t="s">
        <v>1464</v>
      </c>
      <c r="D290" s="5" t="s">
        <v>33</v>
      </c>
      <c r="E290" s="7" t="s">
        <v>1457</v>
      </c>
      <c r="F290" s="7" t="s">
        <v>1465</v>
      </c>
      <c r="G290" s="7" t="s">
        <v>36</v>
      </c>
      <c r="H290" s="8">
        <v>141000</v>
      </c>
      <c r="I290" s="7" t="s">
        <v>1459</v>
      </c>
      <c r="J290" s="7" t="s">
        <v>270</v>
      </c>
      <c r="K290" s="7" t="s">
        <v>1460</v>
      </c>
      <c r="L290" s="9" t="s">
        <v>1461</v>
      </c>
      <c r="M290" s="10">
        <v>45321</v>
      </c>
      <c r="N290" s="7" t="s">
        <v>67</v>
      </c>
      <c r="O290" s="7"/>
      <c r="P290" s="20"/>
      <c r="Q290" s="40">
        <v>340</v>
      </c>
      <c r="R290" s="1"/>
      <c r="S290" s="1"/>
      <c r="T290" s="1"/>
      <c r="U290" s="1"/>
      <c r="V290" s="1">
        <v>340</v>
      </c>
      <c r="W290" s="1">
        <v>340</v>
      </c>
      <c r="X290" s="1"/>
      <c r="Y290" s="1"/>
      <c r="Z290" s="1"/>
      <c r="AA290" s="1"/>
      <c r="AB290" s="1"/>
      <c r="AC290" s="1"/>
      <c r="AD290" s="1"/>
      <c r="AE290" s="1">
        <f t="shared" si="25"/>
        <v>3</v>
      </c>
      <c r="AF290" s="1">
        <f t="shared" si="22"/>
        <v>340</v>
      </c>
      <c r="AG290" s="11" t="str">
        <f t="shared" si="23"/>
        <v>APROVADO</v>
      </c>
    </row>
    <row r="291" spans="2:33" ht="25.5" x14ac:dyDescent="0.25">
      <c r="B291" s="5">
        <v>286</v>
      </c>
      <c r="C291" s="6" t="s">
        <v>1466</v>
      </c>
      <c r="D291" s="5" t="s">
        <v>33</v>
      </c>
      <c r="E291" s="5" t="s">
        <v>1467</v>
      </c>
      <c r="F291" s="5" t="s">
        <v>1468</v>
      </c>
      <c r="G291" s="7" t="s">
        <v>36</v>
      </c>
      <c r="H291" s="8">
        <v>71000</v>
      </c>
      <c r="I291" s="7" t="s">
        <v>1469</v>
      </c>
      <c r="J291" s="7" t="s">
        <v>597</v>
      </c>
      <c r="K291" s="7" t="s">
        <v>1470</v>
      </c>
      <c r="L291" s="9" t="s">
        <v>1471</v>
      </c>
      <c r="M291" s="10">
        <v>45321</v>
      </c>
      <c r="N291" s="5" t="s">
        <v>67</v>
      </c>
      <c r="O291" s="7"/>
      <c r="P291" s="20"/>
      <c r="Q291" s="39">
        <v>312</v>
      </c>
      <c r="R291" s="1">
        <v>227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>
        <v>338</v>
      </c>
      <c r="AD291" s="1"/>
      <c r="AE291" s="1">
        <f t="shared" si="25"/>
        <v>3</v>
      </c>
      <c r="AF291" s="1">
        <f t="shared" si="22"/>
        <v>292.33333333333331</v>
      </c>
      <c r="AG291" s="11" t="str">
        <f t="shared" si="23"/>
        <v>APROVADO</v>
      </c>
    </row>
    <row r="292" spans="2:33" ht="38.25" x14ac:dyDescent="0.25">
      <c r="B292" s="5">
        <v>287</v>
      </c>
      <c r="C292" s="6" t="s">
        <v>1472</v>
      </c>
      <c r="D292" s="5" t="s">
        <v>33</v>
      </c>
      <c r="E292" s="7" t="s">
        <v>1473</v>
      </c>
      <c r="F292" s="7" t="s">
        <v>1474</v>
      </c>
      <c r="G292" s="7" t="s">
        <v>36</v>
      </c>
      <c r="H292" s="8">
        <v>302200</v>
      </c>
      <c r="I292" s="7" t="s">
        <v>1475</v>
      </c>
      <c r="J292" s="7" t="s">
        <v>64</v>
      </c>
      <c r="K292" s="7" t="s">
        <v>1476</v>
      </c>
      <c r="L292" s="9" t="s">
        <v>1477</v>
      </c>
      <c r="M292" s="10">
        <v>45321</v>
      </c>
      <c r="N292" s="7" t="s">
        <v>67</v>
      </c>
      <c r="O292" s="7"/>
      <c r="P292" s="20"/>
      <c r="Q292" s="40">
        <v>340</v>
      </c>
      <c r="R292" s="1">
        <v>223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>
        <v>340</v>
      </c>
      <c r="AE292" s="1">
        <f t="shared" si="25"/>
        <v>3</v>
      </c>
      <c r="AF292" s="1">
        <f t="shared" si="22"/>
        <v>301</v>
      </c>
      <c r="AG292" s="11" t="str">
        <f t="shared" si="23"/>
        <v>APROVADO</v>
      </c>
    </row>
    <row r="293" spans="2:33" ht="25.5" x14ac:dyDescent="0.25">
      <c r="B293" s="5">
        <v>288</v>
      </c>
      <c r="C293" s="6" t="s">
        <v>1478</v>
      </c>
      <c r="D293" s="5" t="s">
        <v>33</v>
      </c>
      <c r="E293" s="5" t="s">
        <v>1467</v>
      </c>
      <c r="F293" s="5" t="s">
        <v>1479</v>
      </c>
      <c r="G293" s="7" t="s">
        <v>36</v>
      </c>
      <c r="H293" s="8">
        <v>266999.78000000003</v>
      </c>
      <c r="I293" s="7" t="s">
        <v>1469</v>
      </c>
      <c r="J293" s="7" t="s">
        <v>597</v>
      </c>
      <c r="K293" s="7" t="s">
        <v>1480</v>
      </c>
      <c r="L293" s="9" t="s">
        <v>1471</v>
      </c>
      <c r="M293" s="10">
        <v>45321</v>
      </c>
      <c r="N293" s="5" t="s">
        <v>67</v>
      </c>
      <c r="O293" s="7"/>
      <c r="P293" s="20"/>
      <c r="Q293" s="39">
        <v>322</v>
      </c>
      <c r="R293" s="1">
        <v>203</v>
      </c>
      <c r="S293" s="1"/>
      <c r="T293" s="1"/>
      <c r="U293" s="1"/>
      <c r="V293" s="1">
        <v>312</v>
      </c>
      <c r="W293" s="1"/>
      <c r="X293" s="1"/>
      <c r="Y293" s="1"/>
      <c r="Z293" s="1"/>
      <c r="AA293" s="1"/>
      <c r="AB293" s="1"/>
      <c r="AC293" s="1"/>
      <c r="AD293" s="1"/>
      <c r="AE293" s="1">
        <f t="shared" si="25"/>
        <v>3</v>
      </c>
      <c r="AF293" s="1">
        <f t="shared" si="22"/>
        <v>279</v>
      </c>
      <c r="AG293" s="11" t="str">
        <f t="shared" si="23"/>
        <v>APROVADO</v>
      </c>
    </row>
    <row r="294" spans="2:33" ht="25.5" x14ac:dyDescent="0.25">
      <c r="B294" s="5">
        <v>289</v>
      </c>
      <c r="C294" s="6" t="s">
        <v>1481</v>
      </c>
      <c r="D294" s="5" t="s">
        <v>33</v>
      </c>
      <c r="E294" s="7" t="s">
        <v>1482</v>
      </c>
      <c r="F294" s="7" t="s">
        <v>1483</v>
      </c>
      <c r="G294" s="7" t="s">
        <v>36</v>
      </c>
      <c r="H294" s="8">
        <v>160000</v>
      </c>
      <c r="I294" s="7" t="s">
        <v>1484</v>
      </c>
      <c r="J294" s="7" t="s">
        <v>181</v>
      </c>
      <c r="K294" s="7" t="s">
        <v>1485</v>
      </c>
      <c r="L294" s="9" t="s">
        <v>1486</v>
      </c>
      <c r="M294" s="10">
        <v>45321</v>
      </c>
      <c r="N294" s="7" t="s">
        <v>67</v>
      </c>
      <c r="O294" s="7"/>
      <c r="P294" s="20"/>
      <c r="Q294" s="40">
        <v>321</v>
      </c>
      <c r="R294" s="1"/>
      <c r="S294" s="1"/>
      <c r="T294" s="1"/>
      <c r="U294" s="1"/>
      <c r="V294" s="1"/>
      <c r="W294" s="1"/>
      <c r="X294" s="1">
        <v>240</v>
      </c>
      <c r="Y294" s="1">
        <v>340</v>
      </c>
      <c r="Z294" s="1"/>
      <c r="AA294" s="1"/>
      <c r="AB294" s="1"/>
      <c r="AC294" s="1"/>
      <c r="AD294" s="1"/>
      <c r="AE294" s="1">
        <f t="shared" si="25"/>
        <v>3</v>
      </c>
      <c r="AF294" s="1">
        <f t="shared" si="22"/>
        <v>300.33333333333331</v>
      </c>
      <c r="AG294" s="11" t="str">
        <f t="shared" si="23"/>
        <v>APROVADO</v>
      </c>
    </row>
    <row r="295" spans="2:33" x14ac:dyDescent="0.25">
      <c r="B295" s="5">
        <v>290</v>
      </c>
      <c r="C295" s="24" t="s">
        <v>1487</v>
      </c>
      <c r="D295" s="5" t="s">
        <v>51</v>
      </c>
      <c r="E295" s="13" t="s">
        <v>1488</v>
      </c>
      <c r="F295" s="13" t="s">
        <v>1489</v>
      </c>
      <c r="G295" s="7" t="s">
        <v>45</v>
      </c>
      <c r="H295" s="28">
        <v>51420</v>
      </c>
      <c r="I295" s="13" t="s">
        <v>1490</v>
      </c>
      <c r="J295" s="11" t="s">
        <v>1414</v>
      </c>
      <c r="K295" s="13" t="s">
        <v>1491</v>
      </c>
      <c r="L295" s="30" t="s">
        <v>1492</v>
      </c>
      <c r="M295" s="26">
        <v>45321</v>
      </c>
      <c r="N295" s="13" t="s">
        <v>57</v>
      </c>
      <c r="O295" s="20"/>
      <c r="P295" s="20"/>
      <c r="Q295" s="1">
        <v>318</v>
      </c>
      <c r="R295" s="1"/>
      <c r="S295" s="1"/>
      <c r="T295" s="1"/>
      <c r="U295" s="1"/>
      <c r="V295" s="1">
        <v>332</v>
      </c>
      <c r="W295" s="1">
        <v>316</v>
      </c>
      <c r="X295" s="1"/>
      <c r="Y295" s="1"/>
      <c r="Z295" s="1"/>
      <c r="AA295" s="1"/>
      <c r="AB295" s="1"/>
      <c r="AC295" s="20"/>
      <c r="AD295" s="20"/>
      <c r="AE295" s="1">
        <f t="shared" si="25"/>
        <v>3</v>
      </c>
      <c r="AF295" s="1">
        <f t="shared" si="22"/>
        <v>322</v>
      </c>
      <c r="AG295" s="11" t="str">
        <f t="shared" si="23"/>
        <v>APROVADO</v>
      </c>
    </row>
    <row r="296" spans="2:33" ht="39" x14ac:dyDescent="0.25">
      <c r="B296" s="5">
        <v>291</v>
      </c>
      <c r="C296" s="24" t="s">
        <v>1493</v>
      </c>
      <c r="D296" s="5" t="s">
        <v>51</v>
      </c>
      <c r="E296" s="13" t="s">
        <v>1488</v>
      </c>
      <c r="F296" s="14" t="s">
        <v>1494</v>
      </c>
      <c r="G296" s="14" t="s">
        <v>36</v>
      </c>
      <c r="H296" s="28">
        <v>87500</v>
      </c>
      <c r="I296" s="13" t="s">
        <v>1490</v>
      </c>
      <c r="J296" s="11" t="s">
        <v>1414</v>
      </c>
      <c r="K296" s="13" t="s">
        <v>1495</v>
      </c>
      <c r="L296" s="42" t="s">
        <v>1492</v>
      </c>
      <c r="M296" s="26">
        <v>45321</v>
      </c>
      <c r="N296" s="13" t="s">
        <v>57</v>
      </c>
      <c r="O296" s="13"/>
      <c r="P296" s="20"/>
      <c r="Q296" s="1">
        <v>336</v>
      </c>
      <c r="R296" s="1"/>
      <c r="S296" s="1"/>
      <c r="T296" s="1"/>
      <c r="U296" s="1"/>
      <c r="V296" s="1"/>
      <c r="W296" s="1"/>
      <c r="X296" s="1">
        <v>298</v>
      </c>
      <c r="Y296" s="1">
        <v>303</v>
      </c>
      <c r="Z296" s="1"/>
      <c r="AA296" s="1"/>
      <c r="AB296" s="1"/>
      <c r="AC296" s="20"/>
      <c r="AD296" s="20"/>
      <c r="AE296" s="1">
        <f t="shared" si="25"/>
        <v>3</v>
      </c>
      <c r="AF296" s="1">
        <f t="shared" si="22"/>
        <v>312.33333333333331</v>
      </c>
      <c r="AG296" s="11" t="str">
        <f t="shared" si="23"/>
        <v>APROVADO</v>
      </c>
    </row>
    <row r="297" spans="2:33" x14ac:dyDescent="0.25">
      <c r="B297" s="5">
        <v>292</v>
      </c>
      <c r="C297" s="6" t="s">
        <v>1496</v>
      </c>
      <c r="D297" s="5" t="s">
        <v>33</v>
      </c>
      <c r="E297" s="5" t="s">
        <v>1497</v>
      </c>
      <c r="F297" s="5" t="s">
        <v>1498</v>
      </c>
      <c r="G297" s="7" t="s">
        <v>36</v>
      </c>
      <c r="H297" s="8">
        <v>40000</v>
      </c>
      <c r="I297" s="7" t="s">
        <v>1490</v>
      </c>
      <c r="J297" s="7" t="s">
        <v>1414</v>
      </c>
      <c r="K297" s="7" t="s">
        <v>1499</v>
      </c>
      <c r="L297" s="9" t="s">
        <v>1500</v>
      </c>
      <c r="M297" s="10">
        <v>45321</v>
      </c>
      <c r="N297" s="5" t="s">
        <v>67</v>
      </c>
      <c r="O297" s="7"/>
      <c r="P297" s="20"/>
      <c r="Q297" s="39">
        <v>270</v>
      </c>
      <c r="R297" s="1">
        <v>243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>
        <v>247</v>
      </c>
      <c r="AD297" s="1"/>
      <c r="AE297" s="1">
        <f t="shared" si="25"/>
        <v>3</v>
      </c>
      <c r="AF297" s="1">
        <f t="shared" si="22"/>
        <v>253.33333333333334</v>
      </c>
      <c r="AG297" s="11" t="str">
        <f t="shared" si="23"/>
        <v>APROVADO</v>
      </c>
    </row>
    <row r="298" spans="2:33" x14ac:dyDescent="0.25">
      <c r="B298" s="5">
        <v>293</v>
      </c>
      <c r="C298" s="6" t="s">
        <v>1501</v>
      </c>
      <c r="D298" s="5" t="s">
        <v>33</v>
      </c>
      <c r="E298" s="7" t="s">
        <v>1502</v>
      </c>
      <c r="F298" s="7" t="s">
        <v>1503</v>
      </c>
      <c r="G298" s="7" t="s">
        <v>107</v>
      </c>
      <c r="H298" s="8">
        <v>42947</v>
      </c>
      <c r="I298" s="7" t="s">
        <v>269</v>
      </c>
      <c r="J298" s="7" t="s">
        <v>270</v>
      </c>
      <c r="K298" s="7" t="s">
        <v>1504</v>
      </c>
      <c r="L298" s="9" t="s">
        <v>1505</v>
      </c>
      <c r="M298" s="10">
        <v>45321</v>
      </c>
      <c r="N298" s="7" t="s">
        <v>67</v>
      </c>
      <c r="O298" s="7"/>
      <c r="P298" s="20"/>
      <c r="Q298" s="40">
        <v>228</v>
      </c>
      <c r="R298" s="1"/>
      <c r="S298" s="1"/>
      <c r="T298" s="1"/>
      <c r="U298" s="1"/>
      <c r="V298" s="1">
        <v>314</v>
      </c>
      <c r="W298" s="1"/>
      <c r="X298" s="1"/>
      <c r="Y298" s="1"/>
      <c r="Z298" s="1"/>
      <c r="AA298" s="1"/>
      <c r="AB298" s="1"/>
      <c r="AC298" s="1">
        <v>322</v>
      </c>
      <c r="AD298" s="1"/>
      <c r="AE298" s="1">
        <f t="shared" si="25"/>
        <v>3</v>
      </c>
      <c r="AF298" s="1">
        <f t="shared" si="22"/>
        <v>288</v>
      </c>
      <c r="AG298" s="11" t="str">
        <f t="shared" si="23"/>
        <v>APROVADO</v>
      </c>
    </row>
    <row r="299" spans="2:33" ht="38.25" x14ac:dyDescent="0.25">
      <c r="B299" s="5">
        <v>294</v>
      </c>
      <c r="C299" s="6" t="s">
        <v>1506</v>
      </c>
      <c r="D299" s="5" t="s">
        <v>33</v>
      </c>
      <c r="E299" s="5" t="s">
        <v>1507</v>
      </c>
      <c r="F299" s="5" t="s">
        <v>1508</v>
      </c>
      <c r="G299" s="7" t="s">
        <v>36</v>
      </c>
      <c r="H299" s="8">
        <v>777859.48</v>
      </c>
      <c r="I299" s="7" t="s">
        <v>73</v>
      </c>
      <c r="J299" s="5" t="s">
        <v>74</v>
      </c>
      <c r="K299" s="7" t="s">
        <v>1509</v>
      </c>
      <c r="L299" s="9" t="s">
        <v>1510</v>
      </c>
      <c r="M299" s="10">
        <v>45321</v>
      </c>
      <c r="N299" s="5" t="s">
        <v>67</v>
      </c>
      <c r="O299" s="7" t="s">
        <v>375</v>
      </c>
      <c r="P299" s="20"/>
      <c r="Q299" s="39">
        <v>330</v>
      </c>
      <c r="R299" s="1">
        <v>107</v>
      </c>
      <c r="S299" s="1"/>
      <c r="T299" s="1"/>
      <c r="U299" s="1"/>
      <c r="V299" s="1"/>
      <c r="W299" s="1">
        <v>242</v>
      </c>
      <c r="X299" s="1"/>
      <c r="Y299" s="1"/>
      <c r="Z299" s="1"/>
      <c r="AA299" s="1"/>
      <c r="AB299" s="1"/>
      <c r="AC299" s="1"/>
      <c r="AD299" s="1"/>
      <c r="AE299" s="1">
        <f t="shared" si="25"/>
        <v>3</v>
      </c>
      <c r="AF299" s="1">
        <f t="shared" si="22"/>
        <v>226.33333333333334</v>
      </c>
      <c r="AG299" s="11" t="str">
        <f t="shared" si="23"/>
        <v>APROVADO</v>
      </c>
    </row>
    <row r="300" spans="2:33" ht="38.25" x14ac:dyDescent="0.25">
      <c r="B300" s="5">
        <v>295</v>
      </c>
      <c r="C300" s="6" t="s">
        <v>1511</v>
      </c>
      <c r="D300" s="5" t="s">
        <v>33</v>
      </c>
      <c r="E300" s="7" t="s">
        <v>1512</v>
      </c>
      <c r="F300" s="7" t="s">
        <v>1513</v>
      </c>
      <c r="G300" s="5" t="s">
        <v>62</v>
      </c>
      <c r="H300" s="8">
        <v>85411.67</v>
      </c>
      <c r="I300" s="7" t="s">
        <v>1514</v>
      </c>
      <c r="J300" s="5" t="s">
        <v>95</v>
      </c>
      <c r="K300" s="7" t="s">
        <v>1515</v>
      </c>
      <c r="L300" s="9" t="s">
        <v>1516</v>
      </c>
      <c r="M300" s="10">
        <v>45321</v>
      </c>
      <c r="N300" s="7" t="s">
        <v>67</v>
      </c>
      <c r="O300" s="7"/>
      <c r="P300" s="20"/>
      <c r="Q300" s="40">
        <v>335</v>
      </c>
      <c r="R300" s="1"/>
      <c r="S300" s="1"/>
      <c r="T300" s="1"/>
      <c r="U300" s="1"/>
      <c r="V300" s="1"/>
      <c r="W300" s="1"/>
      <c r="X300" s="1"/>
      <c r="Y300" s="1">
        <v>335</v>
      </c>
      <c r="Z300" s="1"/>
      <c r="AA300" s="1"/>
      <c r="AB300" s="1"/>
      <c r="AC300" s="1">
        <v>338</v>
      </c>
      <c r="AD300" s="1"/>
      <c r="AE300" s="1">
        <f t="shared" si="25"/>
        <v>3</v>
      </c>
      <c r="AF300" s="1">
        <f t="shared" si="22"/>
        <v>336</v>
      </c>
      <c r="AG300" s="11" t="str">
        <f t="shared" si="23"/>
        <v>APROVADO</v>
      </c>
    </row>
    <row r="301" spans="2:33" ht="38.25" x14ac:dyDescent="0.25">
      <c r="B301" s="5">
        <v>296</v>
      </c>
      <c r="C301" s="6" t="s">
        <v>1517</v>
      </c>
      <c r="D301" s="5" t="s">
        <v>33</v>
      </c>
      <c r="E301" s="7" t="s">
        <v>1518</v>
      </c>
      <c r="F301" s="7" t="s">
        <v>1519</v>
      </c>
      <c r="G301" s="7" t="s">
        <v>36</v>
      </c>
      <c r="H301" s="8">
        <v>150000</v>
      </c>
      <c r="I301" s="7" t="s">
        <v>147</v>
      </c>
      <c r="J301" s="5" t="s">
        <v>95</v>
      </c>
      <c r="K301" s="7" t="s">
        <v>1520</v>
      </c>
      <c r="L301" s="9" t="s">
        <v>1521</v>
      </c>
      <c r="M301" s="10">
        <v>45321</v>
      </c>
      <c r="N301" s="7" t="s">
        <v>67</v>
      </c>
      <c r="O301" s="7"/>
      <c r="P301" s="20"/>
      <c r="Q301" s="40">
        <v>324</v>
      </c>
      <c r="R301" s="1"/>
      <c r="S301" s="1"/>
      <c r="T301" s="1"/>
      <c r="U301" s="1"/>
      <c r="V301" s="1">
        <v>340</v>
      </c>
      <c r="W301" s="1">
        <v>340</v>
      </c>
      <c r="X301" s="1"/>
      <c r="Y301" s="1"/>
      <c r="Z301" s="1"/>
      <c r="AA301" s="1"/>
      <c r="AB301" s="1"/>
      <c r="AC301" s="1"/>
      <c r="AD301" s="1"/>
      <c r="AE301" s="1">
        <f t="shared" si="25"/>
        <v>3</v>
      </c>
      <c r="AF301" s="1">
        <f t="shared" si="22"/>
        <v>334.66666666666669</v>
      </c>
      <c r="AG301" s="11" t="str">
        <f t="shared" si="23"/>
        <v>APROVADO</v>
      </c>
    </row>
    <row r="302" spans="2:33" x14ac:dyDescent="0.25">
      <c r="B302" s="5">
        <v>297</v>
      </c>
      <c r="C302" s="24" t="s">
        <v>1522</v>
      </c>
      <c r="D302" s="5" t="s">
        <v>51</v>
      </c>
      <c r="E302" s="13" t="s">
        <v>1523</v>
      </c>
      <c r="F302" s="13" t="s">
        <v>1524</v>
      </c>
      <c r="G302" s="14" t="s">
        <v>107</v>
      </c>
      <c r="H302" s="28">
        <v>35000</v>
      </c>
      <c r="I302" s="13" t="s">
        <v>1525</v>
      </c>
      <c r="J302" s="11" t="s">
        <v>181</v>
      </c>
      <c r="K302" s="13" t="s">
        <v>1526</v>
      </c>
      <c r="L302" s="47" t="s">
        <v>1527</v>
      </c>
      <c r="M302" s="26">
        <v>45321</v>
      </c>
      <c r="N302" s="13" t="s">
        <v>57</v>
      </c>
      <c r="O302" s="20"/>
      <c r="P302" s="20"/>
      <c r="Q302" s="1">
        <v>340</v>
      </c>
      <c r="R302" s="1"/>
      <c r="S302" s="1"/>
      <c r="T302" s="1"/>
      <c r="U302" s="1"/>
      <c r="V302" s="1">
        <v>340</v>
      </c>
      <c r="W302" s="1">
        <v>340</v>
      </c>
      <c r="X302" s="1"/>
      <c r="Y302" s="1"/>
      <c r="Z302" s="1"/>
      <c r="AA302" s="1"/>
      <c r="AB302" s="1"/>
      <c r="AC302" s="20"/>
      <c r="AD302" s="20"/>
      <c r="AE302" s="1">
        <f t="shared" si="25"/>
        <v>3</v>
      </c>
      <c r="AF302" s="1">
        <f t="shared" si="22"/>
        <v>340</v>
      </c>
      <c r="AG302" s="11" t="str">
        <f t="shared" si="23"/>
        <v>APROVADO</v>
      </c>
    </row>
    <row r="303" spans="2:33" ht="25.5" x14ac:dyDescent="0.25">
      <c r="B303" s="5">
        <v>298</v>
      </c>
      <c r="C303" s="6" t="s">
        <v>1528</v>
      </c>
      <c r="D303" s="5" t="s">
        <v>33</v>
      </c>
      <c r="E303" s="7" t="s">
        <v>1529</v>
      </c>
      <c r="F303" s="7" t="s">
        <v>1530</v>
      </c>
      <c r="G303" s="7" t="s">
        <v>107</v>
      </c>
      <c r="H303" s="8">
        <v>209880</v>
      </c>
      <c r="I303" s="7" t="s">
        <v>73</v>
      </c>
      <c r="J303" s="7" t="s">
        <v>74</v>
      </c>
      <c r="K303" s="7" t="s">
        <v>1531</v>
      </c>
      <c r="L303" s="7" t="s">
        <v>1532</v>
      </c>
      <c r="M303" s="10">
        <v>45321</v>
      </c>
      <c r="N303" s="7" t="s">
        <v>67</v>
      </c>
      <c r="O303" s="7"/>
      <c r="P303" s="20"/>
      <c r="Q303" s="40">
        <v>292</v>
      </c>
      <c r="R303" s="1"/>
      <c r="S303" s="1"/>
      <c r="T303" s="1"/>
      <c r="U303" s="1"/>
      <c r="V303" s="1"/>
      <c r="W303" s="1"/>
      <c r="X303" s="1">
        <v>310</v>
      </c>
      <c r="Y303" s="1">
        <v>340</v>
      </c>
      <c r="Z303" s="1"/>
      <c r="AA303" s="1"/>
      <c r="AB303" s="1"/>
      <c r="AC303" s="1"/>
      <c r="AD303" s="1"/>
      <c r="AE303" s="1">
        <f t="shared" si="25"/>
        <v>3</v>
      </c>
      <c r="AF303" s="1">
        <f t="shared" si="22"/>
        <v>314</v>
      </c>
      <c r="AG303" s="11" t="str">
        <f t="shared" si="23"/>
        <v>APROVADO</v>
      </c>
    </row>
    <row r="304" spans="2:33" ht="25.5" x14ac:dyDescent="0.25">
      <c r="B304" s="5">
        <v>299</v>
      </c>
      <c r="C304" s="16" t="s">
        <v>1533</v>
      </c>
      <c r="D304" s="5" t="s">
        <v>33</v>
      </c>
      <c r="E304" s="7" t="s">
        <v>1534</v>
      </c>
      <c r="F304" s="7" t="s">
        <v>1535</v>
      </c>
      <c r="G304" s="7" t="s">
        <v>36</v>
      </c>
      <c r="H304" s="8">
        <v>73900</v>
      </c>
      <c r="I304" s="7" t="s">
        <v>1536</v>
      </c>
      <c r="J304" s="7" t="s">
        <v>445</v>
      </c>
      <c r="K304" s="7" t="s">
        <v>1537</v>
      </c>
      <c r="L304" s="9" t="s">
        <v>1538</v>
      </c>
      <c r="M304" s="10">
        <v>45321</v>
      </c>
      <c r="N304" s="7" t="s">
        <v>82</v>
      </c>
      <c r="O304" s="7" t="s">
        <v>845</v>
      </c>
      <c r="P304" s="20"/>
      <c r="Q304" s="40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 t="e">
        <f t="shared" si="22"/>
        <v>#DIV/0!</v>
      </c>
      <c r="AG304" s="11" t="e">
        <f t="shared" si="23"/>
        <v>#DIV/0!</v>
      </c>
    </row>
    <row r="305" spans="2:33" ht="38.25" x14ac:dyDescent="0.25">
      <c r="B305" s="5">
        <v>300</v>
      </c>
      <c r="C305" s="6" t="s">
        <v>1539</v>
      </c>
      <c r="D305" s="5" t="s">
        <v>33</v>
      </c>
      <c r="E305" s="7" t="s">
        <v>1540</v>
      </c>
      <c r="F305" s="7" t="s">
        <v>1541</v>
      </c>
      <c r="G305" s="7" t="s">
        <v>36</v>
      </c>
      <c r="H305" s="8">
        <v>593611.06000000006</v>
      </c>
      <c r="I305" s="7" t="s">
        <v>73</v>
      </c>
      <c r="J305" s="5" t="s">
        <v>74</v>
      </c>
      <c r="K305" s="7" t="s">
        <v>1542</v>
      </c>
      <c r="L305" s="31" t="s">
        <v>1543</v>
      </c>
      <c r="M305" s="10">
        <v>45321</v>
      </c>
      <c r="N305" s="7" t="s">
        <v>67</v>
      </c>
      <c r="O305" s="7"/>
      <c r="P305" s="20"/>
      <c r="Q305" s="40">
        <v>302</v>
      </c>
      <c r="R305" s="1">
        <v>248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>
        <v>306</v>
      </c>
      <c r="AE305" s="1">
        <f t="shared" ref="AE305:AE317" si="26">COUNT(Q305:AD305)</f>
        <v>3</v>
      </c>
      <c r="AF305" s="1">
        <f t="shared" si="22"/>
        <v>285.33333333333331</v>
      </c>
      <c r="AG305" s="11" t="str">
        <f t="shared" si="23"/>
        <v>APROVADO</v>
      </c>
    </row>
    <row r="306" spans="2:33" ht="25.5" x14ac:dyDescent="0.25">
      <c r="B306" s="5">
        <v>301</v>
      </c>
      <c r="C306" s="27" t="s">
        <v>1544</v>
      </c>
      <c r="D306" s="5" t="s">
        <v>33</v>
      </c>
      <c r="E306" s="7" t="s">
        <v>1545</v>
      </c>
      <c r="F306" s="7" t="s">
        <v>1546</v>
      </c>
      <c r="G306" s="7" t="s">
        <v>36</v>
      </c>
      <c r="H306" s="8">
        <v>49740</v>
      </c>
      <c r="I306" s="7" t="s">
        <v>1547</v>
      </c>
      <c r="J306" s="7" t="s">
        <v>445</v>
      </c>
      <c r="K306" s="7" t="s">
        <v>1548</v>
      </c>
      <c r="L306" s="9" t="s">
        <v>1549</v>
      </c>
      <c r="M306" s="10">
        <v>45321</v>
      </c>
      <c r="N306" s="7" t="s">
        <v>41</v>
      </c>
      <c r="O306" s="7"/>
      <c r="P306" s="20"/>
      <c r="Q306" s="40">
        <v>340</v>
      </c>
      <c r="R306" s="1">
        <v>178</v>
      </c>
      <c r="S306" s="1">
        <v>251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>
        <f t="shared" si="26"/>
        <v>3</v>
      </c>
      <c r="AF306" s="1">
        <f t="shared" si="22"/>
        <v>256.33333333333331</v>
      </c>
      <c r="AG306" s="11" t="str">
        <f t="shared" si="23"/>
        <v>APROVADO</v>
      </c>
    </row>
    <row r="307" spans="2:33" ht="38.25" x14ac:dyDescent="0.25">
      <c r="B307" s="5">
        <v>302</v>
      </c>
      <c r="C307" s="27" t="s">
        <v>1550</v>
      </c>
      <c r="D307" s="5" t="s">
        <v>33</v>
      </c>
      <c r="E307" s="7" t="s">
        <v>1551</v>
      </c>
      <c r="F307" s="7" t="s">
        <v>1552</v>
      </c>
      <c r="G307" s="7" t="s">
        <v>36</v>
      </c>
      <c r="H307" s="8">
        <v>28800</v>
      </c>
      <c r="I307" s="7" t="s">
        <v>1553</v>
      </c>
      <c r="J307" s="7" t="s">
        <v>64</v>
      </c>
      <c r="K307" s="7" t="s">
        <v>1554</v>
      </c>
      <c r="L307" s="9" t="s">
        <v>1555</v>
      </c>
      <c r="M307" s="10">
        <v>45321</v>
      </c>
      <c r="N307" s="7" t="s">
        <v>41</v>
      </c>
      <c r="O307" s="7"/>
      <c r="P307" s="20"/>
      <c r="Q307" s="40">
        <v>334</v>
      </c>
      <c r="R307" s="1">
        <v>275</v>
      </c>
      <c r="S307" s="1">
        <v>253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>
        <f t="shared" si="26"/>
        <v>3</v>
      </c>
      <c r="AF307" s="1">
        <f t="shared" si="22"/>
        <v>287.33333333333331</v>
      </c>
      <c r="AG307" s="11" t="str">
        <f t="shared" si="23"/>
        <v>APROVADO</v>
      </c>
    </row>
    <row r="308" spans="2:33" ht="25.5" x14ac:dyDescent="0.25">
      <c r="B308" s="5">
        <v>303</v>
      </c>
      <c r="C308" s="27" t="s">
        <v>1556</v>
      </c>
      <c r="D308" s="5" t="s">
        <v>33</v>
      </c>
      <c r="E308" s="7" t="s">
        <v>172</v>
      </c>
      <c r="F308" s="7" t="s">
        <v>1557</v>
      </c>
      <c r="G308" s="7" t="s">
        <v>36</v>
      </c>
      <c r="H308" s="8">
        <v>69500</v>
      </c>
      <c r="I308" s="7" t="s">
        <v>1558</v>
      </c>
      <c r="J308" s="7" t="s">
        <v>445</v>
      </c>
      <c r="K308" s="7" t="s">
        <v>1559</v>
      </c>
      <c r="L308" s="9" t="s">
        <v>1560</v>
      </c>
      <c r="M308" s="10">
        <v>45321</v>
      </c>
      <c r="N308" s="7" t="s">
        <v>41</v>
      </c>
      <c r="O308" s="7"/>
      <c r="P308" s="20"/>
      <c r="Q308" s="40">
        <v>340</v>
      </c>
      <c r="R308" s="1">
        <v>169</v>
      </c>
      <c r="S308" s="1"/>
      <c r="T308" s="1"/>
      <c r="U308" s="1"/>
      <c r="V308" s="1"/>
      <c r="W308" s="1"/>
      <c r="X308" s="1"/>
      <c r="Y308" s="1"/>
      <c r="Z308" s="1"/>
      <c r="AA308" s="1"/>
      <c r="AB308" s="1">
        <v>331</v>
      </c>
      <c r="AC308" s="1"/>
      <c r="AD308" s="1"/>
      <c r="AE308" s="1">
        <f t="shared" si="26"/>
        <v>3</v>
      </c>
      <c r="AF308" s="1">
        <f t="shared" si="22"/>
        <v>280</v>
      </c>
      <c r="AG308" s="11" t="str">
        <f t="shared" si="23"/>
        <v>APROVADO</v>
      </c>
    </row>
    <row r="309" spans="2:33" ht="25.5" x14ac:dyDescent="0.25">
      <c r="B309" s="5">
        <v>304</v>
      </c>
      <c r="C309" s="24" t="s">
        <v>1561</v>
      </c>
      <c r="D309" s="5" t="s">
        <v>51</v>
      </c>
      <c r="E309" s="13" t="s">
        <v>1562</v>
      </c>
      <c r="F309" s="13" t="s">
        <v>1563</v>
      </c>
      <c r="G309" s="14" t="s">
        <v>36</v>
      </c>
      <c r="H309" s="28">
        <v>64375</v>
      </c>
      <c r="I309" s="13" t="s">
        <v>1564</v>
      </c>
      <c r="J309" s="11" t="s">
        <v>189</v>
      </c>
      <c r="K309" s="13" t="s">
        <v>1565</v>
      </c>
      <c r="L309" s="13" t="s">
        <v>1566</v>
      </c>
      <c r="M309" s="26">
        <v>45321</v>
      </c>
      <c r="N309" s="13" t="s">
        <v>41</v>
      </c>
      <c r="O309" s="13"/>
      <c r="P309" s="20"/>
      <c r="Q309" s="1">
        <v>340</v>
      </c>
      <c r="R309" s="1">
        <v>203</v>
      </c>
      <c r="S309" s="1"/>
      <c r="T309" s="1"/>
      <c r="U309" s="1"/>
      <c r="V309" s="1"/>
      <c r="W309" s="1"/>
      <c r="X309" s="1"/>
      <c r="Y309" s="1"/>
      <c r="Z309" s="1">
        <v>326</v>
      </c>
      <c r="AA309" s="1"/>
      <c r="AB309" s="1"/>
      <c r="AC309" s="20"/>
      <c r="AD309" s="20"/>
      <c r="AE309" s="1">
        <f t="shared" si="26"/>
        <v>3</v>
      </c>
      <c r="AF309" s="1">
        <f t="shared" si="22"/>
        <v>289.66666666666669</v>
      </c>
      <c r="AG309" s="11" t="str">
        <f t="shared" si="23"/>
        <v>APROVADO</v>
      </c>
    </row>
    <row r="310" spans="2:33" x14ac:dyDescent="0.25">
      <c r="B310" s="5">
        <v>305</v>
      </c>
      <c r="C310" s="24" t="s">
        <v>1567</v>
      </c>
      <c r="D310" s="5" t="s">
        <v>51</v>
      </c>
      <c r="E310" s="13" t="s">
        <v>1568</v>
      </c>
      <c r="F310" s="13" t="s">
        <v>1569</v>
      </c>
      <c r="G310" s="14" t="s">
        <v>36</v>
      </c>
      <c r="H310" s="28">
        <v>125300</v>
      </c>
      <c r="I310" s="13" t="s">
        <v>1570</v>
      </c>
      <c r="J310" s="11" t="s">
        <v>154</v>
      </c>
      <c r="K310" s="13" t="s">
        <v>1571</v>
      </c>
      <c r="L310" s="30" t="s">
        <v>1572</v>
      </c>
      <c r="M310" s="26">
        <v>45321</v>
      </c>
      <c r="N310" s="13" t="s">
        <v>41</v>
      </c>
      <c r="O310" s="13"/>
      <c r="P310" s="20"/>
      <c r="Q310" s="1">
        <v>310</v>
      </c>
      <c r="R310" s="1">
        <v>200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>
        <v>324</v>
      </c>
      <c r="AD310" s="1"/>
      <c r="AE310" s="1">
        <f t="shared" si="26"/>
        <v>3</v>
      </c>
      <c r="AF310" s="1">
        <f t="shared" si="22"/>
        <v>278</v>
      </c>
      <c r="AG310" s="11" t="str">
        <f t="shared" si="23"/>
        <v>APROVADO</v>
      </c>
    </row>
    <row r="311" spans="2:33" ht="26.25" x14ac:dyDescent="0.25">
      <c r="B311" s="5">
        <v>306</v>
      </c>
      <c r="C311" s="24" t="s">
        <v>1573</v>
      </c>
      <c r="D311" s="5" t="s">
        <v>51</v>
      </c>
      <c r="E311" s="13" t="s">
        <v>1574</v>
      </c>
      <c r="F311" s="13" t="s">
        <v>1575</v>
      </c>
      <c r="G311" s="14" t="s">
        <v>36</v>
      </c>
      <c r="H311" s="28">
        <v>315584</v>
      </c>
      <c r="I311" s="13" t="s">
        <v>1576</v>
      </c>
      <c r="J311" s="11" t="s">
        <v>154</v>
      </c>
      <c r="K311" s="13" t="s">
        <v>1577</v>
      </c>
      <c r="L311" s="14" t="s">
        <v>1578</v>
      </c>
      <c r="M311" s="26">
        <v>45321</v>
      </c>
      <c r="N311" s="13" t="s">
        <v>41</v>
      </c>
      <c r="O311" s="13"/>
      <c r="P311" s="20"/>
      <c r="Q311" s="1">
        <v>326</v>
      </c>
      <c r="R311" s="1">
        <v>207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>
        <v>340</v>
      </c>
      <c r="AD311" s="20"/>
      <c r="AE311" s="1">
        <f t="shared" si="26"/>
        <v>3</v>
      </c>
      <c r="AF311" s="1">
        <f t="shared" si="22"/>
        <v>291</v>
      </c>
      <c r="AG311" s="11" t="str">
        <f t="shared" si="23"/>
        <v>APROVADO</v>
      </c>
    </row>
    <row r="312" spans="2:33" ht="26.25" x14ac:dyDescent="0.25">
      <c r="B312" s="5">
        <v>307</v>
      </c>
      <c r="C312" s="24" t="s">
        <v>1579</v>
      </c>
      <c r="D312" s="5" t="s">
        <v>51</v>
      </c>
      <c r="E312" s="13" t="s">
        <v>1580</v>
      </c>
      <c r="F312" s="14" t="s">
        <v>1581</v>
      </c>
      <c r="G312" s="14" t="s">
        <v>72</v>
      </c>
      <c r="H312" s="28">
        <v>20000</v>
      </c>
      <c r="I312" s="13" t="s">
        <v>1582</v>
      </c>
      <c r="J312" s="11" t="s">
        <v>1414</v>
      </c>
      <c r="K312" s="13" t="s">
        <v>1583</v>
      </c>
      <c r="L312" s="30" t="s">
        <v>1584</v>
      </c>
      <c r="M312" s="26">
        <v>45321</v>
      </c>
      <c r="N312" s="13" t="s">
        <v>57</v>
      </c>
      <c r="O312" s="20"/>
      <c r="P312" s="20"/>
      <c r="Q312" s="1">
        <v>299</v>
      </c>
      <c r="R312" s="1"/>
      <c r="S312" s="1"/>
      <c r="T312" s="1"/>
      <c r="U312" s="1"/>
      <c r="V312" s="1">
        <v>294</v>
      </c>
      <c r="W312" s="1">
        <v>254</v>
      </c>
      <c r="X312" s="1"/>
      <c r="Y312" s="1"/>
      <c r="Z312" s="1"/>
      <c r="AA312" s="1"/>
      <c r="AB312" s="1"/>
      <c r="AC312" s="20"/>
      <c r="AD312" s="20"/>
      <c r="AE312" s="1">
        <f t="shared" si="26"/>
        <v>3</v>
      </c>
      <c r="AF312" s="1">
        <f t="shared" si="22"/>
        <v>282.33333333333331</v>
      </c>
      <c r="AG312" s="11" t="str">
        <f t="shared" si="23"/>
        <v>APROVADO</v>
      </c>
    </row>
    <row r="313" spans="2:33" ht="25.5" x14ac:dyDescent="0.25">
      <c r="B313" s="5">
        <v>308</v>
      </c>
      <c r="C313" s="6" t="s">
        <v>1585</v>
      </c>
      <c r="D313" s="5" t="s">
        <v>33</v>
      </c>
      <c r="E313" s="7" t="s">
        <v>1586</v>
      </c>
      <c r="F313" s="7" t="s">
        <v>1587</v>
      </c>
      <c r="G313" s="7" t="s">
        <v>36</v>
      </c>
      <c r="H313" s="8">
        <v>258000</v>
      </c>
      <c r="I313" s="7" t="s">
        <v>73</v>
      </c>
      <c r="J313" s="5" t="s">
        <v>74</v>
      </c>
      <c r="K313" s="7" t="s">
        <v>1588</v>
      </c>
      <c r="L313" s="9" t="s">
        <v>1589</v>
      </c>
      <c r="M313" s="10">
        <v>45321</v>
      </c>
      <c r="N313" s="7" t="s">
        <v>67</v>
      </c>
      <c r="O313" s="7"/>
      <c r="P313" s="20"/>
      <c r="Q313" s="40">
        <v>340</v>
      </c>
      <c r="R313" s="1">
        <v>232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>
        <v>340</v>
      </c>
      <c r="AE313" s="1">
        <f t="shared" si="26"/>
        <v>3</v>
      </c>
      <c r="AF313" s="1">
        <f t="shared" si="22"/>
        <v>304</v>
      </c>
      <c r="AG313" s="11" t="str">
        <f t="shared" si="23"/>
        <v>APROVADO</v>
      </c>
    </row>
    <row r="314" spans="2:33" ht="25.5" x14ac:dyDescent="0.25">
      <c r="B314" s="5">
        <v>309</v>
      </c>
      <c r="C314" s="6" t="s">
        <v>1590</v>
      </c>
      <c r="D314" s="5" t="s">
        <v>33</v>
      </c>
      <c r="E314" s="7" t="s">
        <v>1591</v>
      </c>
      <c r="F314" s="7" t="s">
        <v>1592</v>
      </c>
      <c r="G314" s="7" t="s">
        <v>36</v>
      </c>
      <c r="H314" s="8">
        <v>250000</v>
      </c>
      <c r="I314" s="7" t="s">
        <v>859</v>
      </c>
      <c r="J314" s="7" t="s">
        <v>181</v>
      </c>
      <c r="K314" s="7" t="s">
        <v>1593</v>
      </c>
      <c r="L314" s="9" t="s">
        <v>1594</v>
      </c>
      <c r="M314" s="10">
        <v>45321</v>
      </c>
      <c r="N314" s="7" t="s">
        <v>67</v>
      </c>
      <c r="O314" s="7"/>
      <c r="P314" s="20"/>
      <c r="Q314" s="40">
        <v>277</v>
      </c>
      <c r="R314" s="1"/>
      <c r="S314" s="1"/>
      <c r="T314" s="1"/>
      <c r="U314" s="1"/>
      <c r="V314" s="1"/>
      <c r="W314" s="1"/>
      <c r="X314" s="1">
        <v>312</v>
      </c>
      <c r="Y314" s="1">
        <v>340</v>
      </c>
      <c r="Z314" s="1"/>
      <c r="AA314" s="1"/>
      <c r="AB314" s="1"/>
      <c r="AC314" s="1"/>
      <c r="AD314" s="1"/>
      <c r="AE314" s="1">
        <f t="shared" si="26"/>
        <v>3</v>
      </c>
      <c r="AF314" s="1">
        <f t="shared" si="22"/>
        <v>309.66666666666669</v>
      </c>
      <c r="AG314" s="11" t="str">
        <f t="shared" si="23"/>
        <v>APROVADO</v>
      </c>
    </row>
    <row r="315" spans="2:33" ht="25.5" x14ac:dyDescent="0.25">
      <c r="B315" s="5">
        <v>310</v>
      </c>
      <c r="C315" s="6" t="s">
        <v>1595</v>
      </c>
      <c r="D315" s="5" t="s">
        <v>33</v>
      </c>
      <c r="E315" s="5" t="s">
        <v>1596</v>
      </c>
      <c r="F315" s="5" t="s">
        <v>1597</v>
      </c>
      <c r="G315" s="7" t="s">
        <v>107</v>
      </c>
      <c r="H315" s="8">
        <v>265000.03999999998</v>
      </c>
      <c r="I315" s="7" t="s">
        <v>859</v>
      </c>
      <c r="J315" s="7" t="s">
        <v>181</v>
      </c>
      <c r="K315" s="7" t="s">
        <v>1598</v>
      </c>
      <c r="L315" s="9" t="s">
        <v>1599</v>
      </c>
      <c r="M315" s="10">
        <v>45321</v>
      </c>
      <c r="N315" s="5" t="s">
        <v>67</v>
      </c>
      <c r="O315" s="7"/>
      <c r="P315" s="20"/>
      <c r="Q315" s="39">
        <v>285</v>
      </c>
      <c r="R315" s="1">
        <v>88</v>
      </c>
      <c r="S315" s="1"/>
      <c r="T315" s="1"/>
      <c r="U315" s="1"/>
      <c r="V315" s="1"/>
      <c r="W315" s="1">
        <v>308</v>
      </c>
      <c r="X315" s="1"/>
      <c r="Y315" s="1"/>
      <c r="Z315" s="1"/>
      <c r="AA315" s="1"/>
      <c r="AB315" s="1"/>
      <c r="AC315" s="1"/>
      <c r="AD315" s="1"/>
      <c r="AE315" s="1">
        <f t="shared" si="26"/>
        <v>3</v>
      </c>
      <c r="AF315" s="1">
        <f t="shared" si="22"/>
        <v>227</v>
      </c>
      <c r="AG315" s="11" t="str">
        <f t="shared" si="23"/>
        <v>APROVADO</v>
      </c>
    </row>
    <row r="316" spans="2:33" x14ac:dyDescent="0.25">
      <c r="B316" s="5">
        <v>311</v>
      </c>
      <c r="C316" s="6" t="s">
        <v>1600</v>
      </c>
      <c r="D316" s="5" t="s">
        <v>33</v>
      </c>
      <c r="E316" s="7" t="s">
        <v>1601</v>
      </c>
      <c r="F316" s="7" t="s">
        <v>1602</v>
      </c>
      <c r="G316" s="7" t="s">
        <v>107</v>
      </c>
      <c r="H316" s="8">
        <v>256600</v>
      </c>
      <c r="I316" s="7" t="s">
        <v>859</v>
      </c>
      <c r="J316" s="7" t="s">
        <v>181</v>
      </c>
      <c r="K316" s="7" t="s">
        <v>1603</v>
      </c>
      <c r="L316" s="9" t="s">
        <v>1604</v>
      </c>
      <c r="M316" s="10">
        <v>45321</v>
      </c>
      <c r="N316" s="7" t="s">
        <v>67</v>
      </c>
      <c r="O316" s="7"/>
      <c r="P316" s="20"/>
      <c r="Q316" s="40">
        <v>286</v>
      </c>
      <c r="R316" s="1"/>
      <c r="S316" s="1"/>
      <c r="T316" s="1"/>
      <c r="U316" s="1"/>
      <c r="V316" s="1">
        <v>265</v>
      </c>
      <c r="W316" s="1">
        <v>292</v>
      </c>
      <c r="X316" s="1"/>
      <c r="Y316" s="1"/>
      <c r="Z316" s="1"/>
      <c r="AA316" s="1"/>
      <c r="AB316" s="1"/>
      <c r="AC316" s="1"/>
      <c r="AD316" s="1"/>
      <c r="AE316" s="1">
        <f t="shared" si="26"/>
        <v>3</v>
      </c>
      <c r="AF316" s="1">
        <f t="shared" si="22"/>
        <v>281</v>
      </c>
      <c r="AG316" s="11" t="str">
        <f t="shared" si="23"/>
        <v>APROVADO</v>
      </c>
    </row>
    <row r="317" spans="2:33" x14ac:dyDescent="0.25">
      <c r="B317" s="5">
        <v>312</v>
      </c>
      <c r="C317" s="6" t="s">
        <v>1605</v>
      </c>
      <c r="D317" s="5" t="s">
        <v>33</v>
      </c>
      <c r="E317" s="5" t="s">
        <v>1606</v>
      </c>
      <c r="F317" s="5" t="s">
        <v>1607</v>
      </c>
      <c r="G317" s="7" t="s">
        <v>36</v>
      </c>
      <c r="H317" s="8">
        <v>436453.9</v>
      </c>
      <c r="I317" s="7" t="s">
        <v>859</v>
      </c>
      <c r="J317" s="7" t="s">
        <v>181</v>
      </c>
      <c r="K317" s="7" t="s">
        <v>1608</v>
      </c>
      <c r="L317" s="9" t="s">
        <v>1609</v>
      </c>
      <c r="M317" s="10">
        <v>45321</v>
      </c>
      <c r="N317" s="5" t="s">
        <v>67</v>
      </c>
      <c r="O317" s="7"/>
      <c r="P317" s="20"/>
      <c r="Q317" s="39">
        <v>340</v>
      </c>
      <c r="R317" s="1">
        <v>183</v>
      </c>
      <c r="S317" s="1"/>
      <c r="T317" s="1"/>
      <c r="U317" s="1"/>
      <c r="V317" s="1"/>
      <c r="W317" s="1">
        <v>294</v>
      </c>
      <c r="X317" s="1"/>
      <c r="Y317" s="1"/>
      <c r="Z317" s="1"/>
      <c r="AA317" s="1"/>
      <c r="AB317" s="1"/>
      <c r="AC317" s="1"/>
      <c r="AD317" s="1"/>
      <c r="AE317" s="1">
        <f t="shared" si="26"/>
        <v>3</v>
      </c>
      <c r="AF317" s="1">
        <f t="shared" si="22"/>
        <v>272.33333333333331</v>
      </c>
      <c r="AG317" s="11" t="str">
        <f t="shared" si="23"/>
        <v>APROVADO</v>
      </c>
    </row>
    <row r="318" spans="2:33" ht="25.5" x14ac:dyDescent="0.25">
      <c r="B318" s="5">
        <v>313</v>
      </c>
      <c r="C318" s="16" t="s">
        <v>1610</v>
      </c>
      <c r="D318" s="5" t="s">
        <v>33</v>
      </c>
      <c r="E318" s="7" t="s">
        <v>1611</v>
      </c>
      <c r="F318" s="7" t="s">
        <v>1612</v>
      </c>
      <c r="G318" s="7" t="s">
        <v>36</v>
      </c>
      <c r="H318" s="8">
        <v>0</v>
      </c>
      <c r="I318" s="7" t="s">
        <v>859</v>
      </c>
      <c r="J318" s="7" t="s">
        <v>181</v>
      </c>
      <c r="K318" s="7" t="s">
        <v>1613</v>
      </c>
      <c r="L318" s="9" t="s">
        <v>1614</v>
      </c>
      <c r="M318" s="10">
        <v>45321</v>
      </c>
      <c r="N318" s="7" t="s">
        <v>82</v>
      </c>
      <c r="O318" s="7" t="s">
        <v>1615</v>
      </c>
      <c r="P318" s="20"/>
      <c r="Q318" s="40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 t="e">
        <f t="shared" si="22"/>
        <v>#DIV/0!</v>
      </c>
      <c r="AG318" s="11" t="e">
        <f t="shared" si="23"/>
        <v>#DIV/0!</v>
      </c>
    </row>
    <row r="319" spans="2:33" ht="38.25" x14ac:dyDescent="0.25">
      <c r="B319" s="5">
        <v>314</v>
      </c>
      <c r="C319" s="27" t="s">
        <v>1616</v>
      </c>
      <c r="D319" s="5" t="s">
        <v>33</v>
      </c>
      <c r="E319" s="7" t="s">
        <v>1617</v>
      </c>
      <c r="F319" s="7" t="s">
        <v>1618</v>
      </c>
      <c r="G319" s="7" t="s">
        <v>36</v>
      </c>
      <c r="H319" s="8">
        <v>527498.06999999995</v>
      </c>
      <c r="I319" s="7" t="s">
        <v>108</v>
      </c>
      <c r="J319" s="7" t="s">
        <v>95</v>
      </c>
      <c r="K319" s="7" t="s">
        <v>1619</v>
      </c>
      <c r="L319" s="9" t="s">
        <v>1620</v>
      </c>
      <c r="M319" s="10">
        <v>45321</v>
      </c>
      <c r="N319" s="7" t="s">
        <v>41</v>
      </c>
      <c r="O319" s="7"/>
      <c r="P319" s="20"/>
      <c r="Q319" s="40">
        <v>340</v>
      </c>
      <c r="R319" s="1">
        <v>300</v>
      </c>
      <c r="S319" s="1"/>
      <c r="T319" s="1"/>
      <c r="U319" s="1"/>
      <c r="V319" s="1"/>
      <c r="W319" s="1"/>
      <c r="X319" s="1"/>
      <c r="Y319" s="1"/>
      <c r="Z319" s="1">
        <v>308</v>
      </c>
      <c r="AA319" s="1"/>
      <c r="AB319" s="1"/>
      <c r="AC319" s="1"/>
      <c r="AD319" s="1"/>
      <c r="AE319" s="1">
        <f>COUNT(Q319:AD319)</f>
        <v>3</v>
      </c>
      <c r="AF319" s="1">
        <f t="shared" si="22"/>
        <v>316</v>
      </c>
      <c r="AG319" s="11" t="str">
        <f t="shared" si="23"/>
        <v>APROVADO</v>
      </c>
    </row>
    <row r="320" spans="2:33" ht="26.25" x14ac:dyDescent="0.25">
      <c r="B320" s="5">
        <v>315</v>
      </c>
      <c r="C320" s="24" t="s">
        <v>1621</v>
      </c>
      <c r="D320" s="5" t="s">
        <v>51</v>
      </c>
      <c r="E320" s="13" t="s">
        <v>1622</v>
      </c>
      <c r="F320" s="14" t="s">
        <v>1623</v>
      </c>
      <c r="G320" s="14" t="s">
        <v>36</v>
      </c>
      <c r="H320" s="28">
        <v>500000</v>
      </c>
      <c r="I320" s="13" t="s">
        <v>1624</v>
      </c>
      <c r="J320" s="11" t="s">
        <v>154</v>
      </c>
      <c r="K320" s="14" t="s">
        <v>1625</v>
      </c>
      <c r="L320" s="14" t="s">
        <v>1626</v>
      </c>
      <c r="M320" s="26">
        <v>45321</v>
      </c>
      <c r="N320" s="13" t="s">
        <v>57</v>
      </c>
      <c r="O320" s="13"/>
      <c r="P320" s="20"/>
      <c r="Q320" s="1">
        <v>254</v>
      </c>
      <c r="R320" s="1"/>
      <c r="S320" s="1"/>
      <c r="T320" s="1"/>
      <c r="U320" s="1"/>
      <c r="V320" s="1">
        <v>270</v>
      </c>
      <c r="W320" s="1">
        <v>252</v>
      </c>
      <c r="X320" s="1"/>
      <c r="Y320" s="1"/>
      <c r="Z320" s="1"/>
      <c r="AA320" s="1"/>
      <c r="AB320" s="1"/>
      <c r="AC320" s="20"/>
      <c r="AD320" s="20"/>
      <c r="AE320" s="1">
        <f>COUNT(Q320:AD320)</f>
        <v>3</v>
      </c>
      <c r="AF320" s="1">
        <f t="shared" si="22"/>
        <v>258.66666666666669</v>
      </c>
      <c r="AG320" s="11" t="str">
        <f t="shared" si="23"/>
        <v>APROVADO</v>
      </c>
    </row>
    <row r="321" spans="2:33" ht="39" x14ac:dyDescent="0.25">
      <c r="B321" s="5">
        <v>316</v>
      </c>
      <c r="C321" s="35" t="s">
        <v>1627</v>
      </c>
      <c r="D321" s="5" t="s">
        <v>51</v>
      </c>
      <c r="E321" s="13" t="s">
        <v>1628</v>
      </c>
      <c r="F321" s="14" t="s">
        <v>1629</v>
      </c>
      <c r="G321" s="14" t="s">
        <v>36</v>
      </c>
      <c r="H321" s="28">
        <v>100000</v>
      </c>
      <c r="I321" s="13" t="s">
        <v>175</v>
      </c>
      <c r="J321" s="11" t="s">
        <v>123</v>
      </c>
      <c r="K321" s="14" t="s">
        <v>1630</v>
      </c>
      <c r="L321" s="47" t="s">
        <v>1631</v>
      </c>
      <c r="M321" s="26">
        <v>45321</v>
      </c>
      <c r="N321" s="13" t="s">
        <v>226</v>
      </c>
      <c r="O321" s="20" t="s">
        <v>227</v>
      </c>
      <c r="P321" s="20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0"/>
      <c r="AD321" s="20"/>
      <c r="AE321" s="20"/>
      <c r="AF321" s="1" t="e">
        <f t="shared" si="22"/>
        <v>#DIV/0!</v>
      </c>
      <c r="AG321" s="11" t="e">
        <f t="shared" si="23"/>
        <v>#DIV/0!</v>
      </c>
    </row>
    <row r="322" spans="2:33" ht="39" x14ac:dyDescent="0.25">
      <c r="B322" s="5">
        <v>317</v>
      </c>
      <c r="C322" s="22" t="s">
        <v>1632</v>
      </c>
      <c r="D322" s="5" t="s">
        <v>51</v>
      </c>
      <c r="E322" s="13" t="s">
        <v>1628</v>
      </c>
      <c r="F322" s="14" t="s">
        <v>1633</v>
      </c>
      <c r="G322" s="14" t="s">
        <v>36</v>
      </c>
      <c r="H322" s="28">
        <v>432000</v>
      </c>
      <c r="I322" s="13" t="s">
        <v>175</v>
      </c>
      <c r="J322" s="11" t="s">
        <v>123</v>
      </c>
      <c r="K322" s="14" t="s">
        <v>1630</v>
      </c>
      <c r="L322" s="43" t="s">
        <v>1631</v>
      </c>
      <c r="M322" s="26">
        <v>45321</v>
      </c>
      <c r="N322" s="13" t="s">
        <v>57</v>
      </c>
      <c r="O322" s="20"/>
      <c r="P322" s="20"/>
      <c r="Q322" s="1">
        <v>323</v>
      </c>
      <c r="R322" s="1"/>
      <c r="S322" s="1"/>
      <c r="T322" s="1"/>
      <c r="U322" s="1"/>
      <c r="V322" s="1"/>
      <c r="W322" s="1"/>
      <c r="X322" s="1"/>
      <c r="Y322" s="1">
        <v>292</v>
      </c>
      <c r="Z322" s="1"/>
      <c r="AA322" s="1"/>
      <c r="AB322" s="1">
        <v>232</v>
      </c>
      <c r="AC322" s="20"/>
      <c r="AD322" s="20"/>
      <c r="AE322" s="1">
        <f>COUNT(Q322:AD322)</f>
        <v>3</v>
      </c>
      <c r="AF322" s="1">
        <f t="shared" si="22"/>
        <v>282.33333333333331</v>
      </c>
      <c r="AG322" s="11" t="str">
        <f t="shared" si="23"/>
        <v>APROVADO</v>
      </c>
    </row>
    <row r="323" spans="2:33" ht="25.5" x14ac:dyDescent="0.25">
      <c r="B323" s="5">
        <v>318</v>
      </c>
      <c r="C323" s="16" t="s">
        <v>1634</v>
      </c>
      <c r="D323" s="5" t="s">
        <v>33</v>
      </c>
      <c r="E323" s="7" t="s">
        <v>1635</v>
      </c>
      <c r="F323" s="7" t="s">
        <v>1636</v>
      </c>
      <c r="G323" s="7" t="s">
        <v>36</v>
      </c>
      <c r="H323" s="8">
        <v>1000000</v>
      </c>
      <c r="I323" s="7" t="s">
        <v>1637</v>
      </c>
      <c r="J323" s="7" t="s">
        <v>235</v>
      </c>
      <c r="K323" s="7" t="s">
        <v>1638</v>
      </c>
      <c r="L323" s="9" t="s">
        <v>1639</v>
      </c>
      <c r="M323" s="10">
        <v>45321</v>
      </c>
      <c r="N323" s="7" t="s">
        <v>82</v>
      </c>
      <c r="O323" s="7" t="s">
        <v>1640</v>
      </c>
      <c r="P323" s="20"/>
      <c r="Q323" s="40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 t="e">
        <f t="shared" si="22"/>
        <v>#DIV/0!</v>
      </c>
      <c r="AG323" s="11" t="e">
        <f t="shared" si="23"/>
        <v>#DIV/0!</v>
      </c>
    </row>
    <row r="324" spans="2:33" ht="38.25" x14ac:dyDescent="0.25">
      <c r="B324" s="5">
        <v>319</v>
      </c>
      <c r="C324" s="16" t="s">
        <v>1641</v>
      </c>
      <c r="D324" s="5" t="s">
        <v>33</v>
      </c>
      <c r="E324" s="7" t="s">
        <v>1642</v>
      </c>
      <c r="F324" s="7" t="s">
        <v>1643</v>
      </c>
      <c r="G324" s="7" t="s">
        <v>36</v>
      </c>
      <c r="H324" s="8">
        <v>161880</v>
      </c>
      <c r="I324" s="7" t="s">
        <v>94</v>
      </c>
      <c r="J324" s="5" t="s">
        <v>95</v>
      </c>
      <c r="K324" s="7" t="s">
        <v>1644</v>
      </c>
      <c r="L324" s="9" t="s">
        <v>1645</v>
      </c>
      <c r="M324" s="10">
        <v>45321</v>
      </c>
      <c r="N324" s="7" t="s">
        <v>82</v>
      </c>
      <c r="O324" s="7" t="s">
        <v>1646</v>
      </c>
      <c r="P324" s="20"/>
      <c r="Q324" s="40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 t="e">
        <f t="shared" si="22"/>
        <v>#DIV/0!</v>
      </c>
      <c r="AG324" s="11" t="e">
        <f t="shared" si="23"/>
        <v>#DIV/0!</v>
      </c>
    </row>
    <row r="325" spans="2:33" ht="38.25" x14ac:dyDescent="0.25">
      <c r="B325" s="5">
        <v>320</v>
      </c>
      <c r="C325" s="16" t="s">
        <v>1647</v>
      </c>
      <c r="D325" s="5" t="s">
        <v>33</v>
      </c>
      <c r="E325" s="7" t="s">
        <v>1642</v>
      </c>
      <c r="F325" s="7" t="s">
        <v>1648</v>
      </c>
      <c r="G325" s="7" t="s">
        <v>36</v>
      </c>
      <c r="H325" s="8">
        <v>190080</v>
      </c>
      <c r="I325" s="7" t="s">
        <v>94</v>
      </c>
      <c r="J325" s="5" t="s">
        <v>95</v>
      </c>
      <c r="K325" s="7" t="s">
        <v>1644</v>
      </c>
      <c r="L325" s="9" t="s">
        <v>1645</v>
      </c>
      <c r="M325" s="10">
        <v>45321</v>
      </c>
      <c r="N325" s="7" t="s">
        <v>82</v>
      </c>
      <c r="O325" s="7" t="s">
        <v>1649</v>
      </c>
      <c r="P325" s="20"/>
      <c r="Q325" s="40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 t="e">
        <f t="shared" ref="AF325:AF388" si="27">AVERAGE(Q325:AD325)</f>
        <v>#DIV/0!</v>
      </c>
      <c r="AG325" s="11" t="e">
        <f t="shared" ref="AG325:AG388" si="28">IF(AF325&gt;=$AG$1,"APROVADO","REPROVADO")</f>
        <v>#DIV/0!</v>
      </c>
    </row>
    <row r="326" spans="2:33" ht="25.5" x14ac:dyDescent="0.25">
      <c r="B326" s="5">
        <v>321</v>
      </c>
      <c r="C326" s="27" t="s">
        <v>1650</v>
      </c>
      <c r="D326" s="5" t="s">
        <v>33</v>
      </c>
      <c r="E326" s="7" t="s">
        <v>1651</v>
      </c>
      <c r="F326" s="7" t="s">
        <v>1652</v>
      </c>
      <c r="G326" s="7" t="s">
        <v>36</v>
      </c>
      <c r="H326" s="8">
        <v>260167.01</v>
      </c>
      <c r="I326" s="7" t="s">
        <v>240</v>
      </c>
      <c r="J326" s="5" t="s">
        <v>241</v>
      </c>
      <c r="K326" s="7" t="s">
        <v>1653</v>
      </c>
      <c r="L326" s="9" t="s">
        <v>1654</v>
      </c>
      <c r="M326" s="10">
        <v>45321</v>
      </c>
      <c r="N326" s="7" t="s">
        <v>41</v>
      </c>
      <c r="O326" s="7"/>
      <c r="P326" s="20"/>
      <c r="Q326" s="40">
        <v>315</v>
      </c>
      <c r="R326" s="1">
        <v>180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>
        <v>328</v>
      </c>
      <c r="AD326" s="1"/>
      <c r="AE326" s="1">
        <f t="shared" ref="AE326:AE334" si="29">COUNT(Q326:AD326)</f>
        <v>3</v>
      </c>
      <c r="AF326" s="1">
        <f t="shared" si="27"/>
        <v>274.33333333333331</v>
      </c>
      <c r="AG326" s="11" t="str">
        <f t="shared" si="28"/>
        <v>APROVADO</v>
      </c>
    </row>
    <row r="327" spans="2:33" ht="25.5" x14ac:dyDescent="0.25">
      <c r="B327" s="5">
        <v>322</v>
      </c>
      <c r="C327" s="6" t="s">
        <v>1655</v>
      </c>
      <c r="D327" s="5" t="s">
        <v>33</v>
      </c>
      <c r="E327" s="5" t="s">
        <v>1656</v>
      </c>
      <c r="F327" s="5" t="s">
        <v>1657</v>
      </c>
      <c r="G327" s="7" t="s">
        <v>36</v>
      </c>
      <c r="H327" s="8">
        <v>489600</v>
      </c>
      <c r="I327" s="7" t="s">
        <v>201</v>
      </c>
      <c r="J327" s="7" t="s">
        <v>202</v>
      </c>
      <c r="K327" s="7" t="s">
        <v>1658</v>
      </c>
      <c r="L327" s="9" t="s">
        <v>1659</v>
      </c>
      <c r="M327" s="10">
        <v>45321</v>
      </c>
      <c r="N327" s="5" t="s">
        <v>67</v>
      </c>
      <c r="O327" s="7"/>
      <c r="P327" s="20"/>
      <c r="Q327" s="39">
        <v>235</v>
      </c>
      <c r="R327" s="1">
        <v>98</v>
      </c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>
        <v>323</v>
      </c>
      <c r="AD327" s="1"/>
      <c r="AE327" s="1">
        <f t="shared" si="29"/>
        <v>3</v>
      </c>
      <c r="AF327" s="1">
        <f t="shared" si="27"/>
        <v>218.66666666666666</v>
      </c>
      <c r="AG327" s="11" t="str">
        <f t="shared" si="28"/>
        <v>APROVADO</v>
      </c>
    </row>
    <row r="328" spans="2:33" x14ac:dyDescent="0.25">
      <c r="B328" s="5">
        <v>323</v>
      </c>
      <c r="C328" s="27" t="s">
        <v>1660</v>
      </c>
      <c r="D328" s="5" t="s">
        <v>33</v>
      </c>
      <c r="E328" s="7" t="s">
        <v>1661</v>
      </c>
      <c r="F328" s="7" t="s">
        <v>1662</v>
      </c>
      <c r="G328" s="5" t="s">
        <v>62</v>
      </c>
      <c r="H328" s="8">
        <v>204464</v>
      </c>
      <c r="I328" s="7" t="s">
        <v>1663</v>
      </c>
      <c r="J328" s="7" t="s">
        <v>391</v>
      </c>
      <c r="K328" s="7" t="s">
        <v>1664</v>
      </c>
      <c r="L328" s="9" t="s">
        <v>1665</v>
      </c>
      <c r="M328" s="10">
        <v>45321</v>
      </c>
      <c r="N328" s="7" t="s">
        <v>41</v>
      </c>
      <c r="O328" s="7"/>
      <c r="P328" s="20"/>
      <c r="Q328" s="40">
        <v>336</v>
      </c>
      <c r="R328" s="1">
        <v>229</v>
      </c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>
        <v>306</v>
      </c>
      <c r="AD328" s="1"/>
      <c r="AE328" s="1">
        <f t="shared" si="29"/>
        <v>3</v>
      </c>
      <c r="AF328" s="1">
        <f t="shared" si="27"/>
        <v>290.33333333333331</v>
      </c>
      <c r="AG328" s="11" t="str">
        <f t="shared" si="28"/>
        <v>APROVADO</v>
      </c>
    </row>
    <row r="329" spans="2:33" x14ac:dyDescent="0.25">
      <c r="B329" s="5">
        <v>324</v>
      </c>
      <c r="C329" s="27" t="s">
        <v>1666</v>
      </c>
      <c r="D329" s="5" t="s">
        <v>33</v>
      </c>
      <c r="E329" s="7" t="s">
        <v>1667</v>
      </c>
      <c r="F329" s="7" t="s">
        <v>1668</v>
      </c>
      <c r="G329" s="5" t="s">
        <v>62</v>
      </c>
      <c r="H329" s="8">
        <v>166702.20000000001</v>
      </c>
      <c r="I329" s="7" t="s">
        <v>538</v>
      </c>
      <c r="J329" s="7" t="s">
        <v>115</v>
      </c>
      <c r="K329" s="7" t="s">
        <v>1669</v>
      </c>
      <c r="L329" s="9" t="s">
        <v>1670</v>
      </c>
      <c r="M329" s="10">
        <v>45321</v>
      </c>
      <c r="N329" s="7" t="s">
        <v>41</v>
      </c>
      <c r="O329" s="7"/>
      <c r="P329" s="20"/>
      <c r="Q329" s="40">
        <v>314</v>
      </c>
      <c r="R329" s="1">
        <v>269</v>
      </c>
      <c r="S329" s="1"/>
      <c r="T329" s="1"/>
      <c r="U329" s="1"/>
      <c r="V329" s="1"/>
      <c r="W329" s="1"/>
      <c r="X329" s="1"/>
      <c r="Y329" s="1"/>
      <c r="Z329" s="1"/>
      <c r="AA329" s="1"/>
      <c r="AB329" s="1">
        <v>333</v>
      </c>
      <c r="AC329" s="1"/>
      <c r="AD329" s="1"/>
      <c r="AE329" s="1">
        <f t="shared" si="29"/>
        <v>3</v>
      </c>
      <c r="AF329" s="1">
        <f t="shared" si="27"/>
        <v>305.33333333333331</v>
      </c>
      <c r="AG329" s="11" t="str">
        <f t="shared" si="28"/>
        <v>APROVADO</v>
      </c>
    </row>
    <row r="330" spans="2:33" ht="25.5" x14ac:dyDescent="0.25">
      <c r="B330" s="5">
        <v>325</v>
      </c>
      <c r="C330" s="27" t="s">
        <v>1671</v>
      </c>
      <c r="D330" s="5" t="s">
        <v>33</v>
      </c>
      <c r="E330" s="7" t="s">
        <v>1667</v>
      </c>
      <c r="F330" s="7" t="s">
        <v>1672</v>
      </c>
      <c r="G330" s="7" t="s">
        <v>300</v>
      </c>
      <c r="H330" s="8">
        <v>72000</v>
      </c>
      <c r="I330" s="7" t="s">
        <v>538</v>
      </c>
      <c r="J330" s="7" t="s">
        <v>115</v>
      </c>
      <c r="K330" s="7" t="s">
        <v>1669</v>
      </c>
      <c r="L330" s="9" t="s">
        <v>1670</v>
      </c>
      <c r="M330" s="10">
        <v>45321</v>
      </c>
      <c r="N330" s="7" t="s">
        <v>41</v>
      </c>
      <c r="O330" s="7"/>
      <c r="P330" s="20"/>
      <c r="Q330" s="40">
        <v>320</v>
      </c>
      <c r="R330" s="1">
        <v>243</v>
      </c>
      <c r="S330" s="1"/>
      <c r="T330" s="1"/>
      <c r="U330" s="1"/>
      <c r="V330" s="1"/>
      <c r="W330" s="1"/>
      <c r="X330" s="1"/>
      <c r="Y330" s="1"/>
      <c r="Z330" s="1">
        <v>254</v>
      </c>
      <c r="AA330" s="1"/>
      <c r="AB330" s="1"/>
      <c r="AC330" s="1"/>
      <c r="AD330" s="1"/>
      <c r="AE330" s="1">
        <f t="shared" si="29"/>
        <v>3</v>
      </c>
      <c r="AF330" s="1">
        <f t="shared" si="27"/>
        <v>272.33333333333331</v>
      </c>
      <c r="AG330" s="11" t="str">
        <f t="shared" si="28"/>
        <v>APROVADO</v>
      </c>
    </row>
    <row r="331" spans="2:33" ht="38.25" x14ac:dyDescent="0.25">
      <c r="B331" s="5">
        <v>326</v>
      </c>
      <c r="C331" s="27" t="s">
        <v>1673</v>
      </c>
      <c r="D331" s="5" t="s">
        <v>33</v>
      </c>
      <c r="E331" s="7" t="s">
        <v>1667</v>
      </c>
      <c r="F331" s="7" t="s">
        <v>1674</v>
      </c>
      <c r="G331" s="5" t="s">
        <v>62</v>
      </c>
      <c r="H331" s="8">
        <v>521505.34</v>
      </c>
      <c r="I331" s="7" t="s">
        <v>538</v>
      </c>
      <c r="J331" s="7" t="s">
        <v>115</v>
      </c>
      <c r="K331" s="7" t="s">
        <v>1669</v>
      </c>
      <c r="L331" s="9" t="s">
        <v>1670</v>
      </c>
      <c r="M331" s="10">
        <v>45321</v>
      </c>
      <c r="N331" s="7" t="s">
        <v>41</v>
      </c>
      <c r="O331" s="7"/>
      <c r="P331" s="20"/>
      <c r="Q331" s="40">
        <v>340</v>
      </c>
      <c r="R331" s="1">
        <v>244</v>
      </c>
      <c r="S331" s="1"/>
      <c r="T331" s="1"/>
      <c r="U331" s="1"/>
      <c r="V331" s="1"/>
      <c r="W331" s="1"/>
      <c r="X331" s="1"/>
      <c r="Y331" s="1"/>
      <c r="Z331" s="1">
        <v>313</v>
      </c>
      <c r="AA331" s="1"/>
      <c r="AB331" s="1"/>
      <c r="AC331" s="1"/>
      <c r="AD331" s="1"/>
      <c r="AE331" s="1">
        <f t="shared" si="29"/>
        <v>3</v>
      </c>
      <c r="AF331" s="1">
        <f t="shared" si="27"/>
        <v>299</v>
      </c>
      <c r="AG331" s="11" t="str">
        <f t="shared" si="28"/>
        <v>APROVADO</v>
      </c>
    </row>
    <row r="332" spans="2:33" ht="38.25" x14ac:dyDescent="0.25">
      <c r="B332" s="5">
        <v>327</v>
      </c>
      <c r="C332" s="27" t="s">
        <v>1675</v>
      </c>
      <c r="D332" s="5" t="s">
        <v>33</v>
      </c>
      <c r="E332" s="7" t="s">
        <v>1676</v>
      </c>
      <c r="F332" s="7" t="s">
        <v>1677</v>
      </c>
      <c r="G332" s="7" t="s">
        <v>107</v>
      </c>
      <c r="H332" s="8">
        <v>69050</v>
      </c>
      <c r="I332" s="7" t="s">
        <v>108</v>
      </c>
      <c r="J332" s="7" t="s">
        <v>95</v>
      </c>
      <c r="K332" s="7" t="s">
        <v>1678</v>
      </c>
      <c r="L332" s="9" t="s">
        <v>1679</v>
      </c>
      <c r="M332" s="10">
        <v>45321</v>
      </c>
      <c r="N332" s="7" t="s">
        <v>41</v>
      </c>
      <c r="O332" s="7"/>
      <c r="P332" s="20"/>
      <c r="Q332" s="40">
        <v>334</v>
      </c>
      <c r="R332" s="1">
        <v>241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>
        <v>340</v>
      </c>
      <c r="AD332" s="1"/>
      <c r="AE332" s="1">
        <f t="shared" si="29"/>
        <v>3</v>
      </c>
      <c r="AF332" s="1">
        <f t="shared" si="27"/>
        <v>305</v>
      </c>
      <c r="AG332" s="11" t="str">
        <f t="shared" si="28"/>
        <v>APROVADO</v>
      </c>
    </row>
    <row r="333" spans="2:33" ht="38.25" x14ac:dyDescent="0.25">
      <c r="B333" s="5">
        <v>328</v>
      </c>
      <c r="C333" s="27" t="s">
        <v>1680</v>
      </c>
      <c r="D333" s="5" t="s">
        <v>33</v>
      </c>
      <c r="E333" s="7" t="s">
        <v>1676</v>
      </c>
      <c r="F333" s="7" t="s">
        <v>1681</v>
      </c>
      <c r="G333" s="7" t="s">
        <v>107</v>
      </c>
      <c r="H333" s="8">
        <v>145400</v>
      </c>
      <c r="I333" s="7" t="s">
        <v>108</v>
      </c>
      <c r="J333" s="7" t="s">
        <v>95</v>
      </c>
      <c r="K333" s="7" t="s">
        <v>1678</v>
      </c>
      <c r="L333" s="9" t="s">
        <v>1679</v>
      </c>
      <c r="M333" s="10">
        <v>45321</v>
      </c>
      <c r="N333" s="7" t="s">
        <v>41</v>
      </c>
      <c r="O333" s="7"/>
      <c r="P333" s="20"/>
      <c r="Q333" s="40">
        <v>337</v>
      </c>
      <c r="R333" s="1">
        <v>289</v>
      </c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>
        <v>340</v>
      </c>
      <c r="AD333" s="1"/>
      <c r="AE333" s="1">
        <f t="shared" si="29"/>
        <v>3</v>
      </c>
      <c r="AF333" s="1">
        <f t="shared" si="27"/>
        <v>322</v>
      </c>
      <c r="AG333" s="11" t="str">
        <f t="shared" si="28"/>
        <v>APROVADO</v>
      </c>
    </row>
    <row r="334" spans="2:33" ht="38.25" x14ac:dyDescent="0.25">
      <c r="B334" s="5">
        <v>329</v>
      </c>
      <c r="C334" s="27" t="s">
        <v>1682</v>
      </c>
      <c r="D334" s="5" t="s">
        <v>33</v>
      </c>
      <c r="E334" s="7" t="s">
        <v>1676</v>
      </c>
      <c r="F334" s="7" t="s">
        <v>1683</v>
      </c>
      <c r="G334" s="7" t="s">
        <v>107</v>
      </c>
      <c r="H334" s="8">
        <v>65300</v>
      </c>
      <c r="I334" s="7" t="s">
        <v>108</v>
      </c>
      <c r="J334" s="7" t="s">
        <v>95</v>
      </c>
      <c r="K334" s="7" t="s">
        <v>1678</v>
      </c>
      <c r="L334" s="9" t="s">
        <v>1679</v>
      </c>
      <c r="M334" s="10">
        <v>45321</v>
      </c>
      <c r="N334" s="7" t="s">
        <v>41</v>
      </c>
      <c r="O334" s="7"/>
      <c r="P334" s="20"/>
      <c r="Q334" s="40">
        <v>340</v>
      </c>
      <c r="R334" s="1">
        <v>229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>
        <v>340</v>
      </c>
      <c r="AD334" s="1"/>
      <c r="AE334" s="1">
        <f t="shared" si="29"/>
        <v>3</v>
      </c>
      <c r="AF334" s="1">
        <f t="shared" si="27"/>
        <v>303</v>
      </c>
      <c r="AG334" s="11" t="str">
        <f t="shared" si="28"/>
        <v>APROVADO</v>
      </c>
    </row>
    <row r="335" spans="2:33" ht="25.5" x14ac:dyDescent="0.25">
      <c r="B335" s="5">
        <v>330</v>
      </c>
      <c r="C335" s="16" t="s">
        <v>1684</v>
      </c>
      <c r="D335" s="5" t="s">
        <v>33</v>
      </c>
      <c r="E335" s="7" t="s">
        <v>1685</v>
      </c>
      <c r="F335" s="7" t="s">
        <v>1686</v>
      </c>
      <c r="G335" s="7" t="s">
        <v>36</v>
      </c>
      <c r="H335" s="8">
        <v>314834.19</v>
      </c>
      <c r="I335" s="7" t="s">
        <v>1033</v>
      </c>
      <c r="J335" s="7" t="s">
        <v>445</v>
      </c>
      <c r="K335" s="7" t="s">
        <v>1687</v>
      </c>
      <c r="L335" s="9" t="s">
        <v>1688</v>
      </c>
      <c r="M335" s="10">
        <v>45321</v>
      </c>
      <c r="N335" s="13" t="s">
        <v>226</v>
      </c>
      <c r="O335" s="13" t="s">
        <v>227</v>
      </c>
      <c r="P335" s="20"/>
      <c r="Q335" s="40">
        <v>0</v>
      </c>
      <c r="R335" s="1">
        <v>0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>
        <f t="shared" si="27"/>
        <v>0</v>
      </c>
      <c r="AG335" s="11" t="str">
        <f t="shared" si="28"/>
        <v>REPROVADO</v>
      </c>
    </row>
    <row r="336" spans="2:33" ht="25.5" x14ac:dyDescent="0.25">
      <c r="B336" s="5">
        <v>331</v>
      </c>
      <c r="C336" s="6" t="s">
        <v>1689</v>
      </c>
      <c r="D336" s="5" t="s">
        <v>33</v>
      </c>
      <c r="E336" s="7" t="s">
        <v>1690</v>
      </c>
      <c r="F336" s="7" t="s">
        <v>1691</v>
      </c>
      <c r="G336" s="7" t="s">
        <v>45</v>
      </c>
      <c r="H336" s="8">
        <v>297841</v>
      </c>
      <c r="I336" s="7" t="s">
        <v>253</v>
      </c>
      <c r="J336" s="7" t="s">
        <v>254</v>
      </c>
      <c r="K336" s="7" t="s">
        <v>1692</v>
      </c>
      <c r="L336" s="9" t="s">
        <v>1693</v>
      </c>
      <c r="M336" s="10">
        <v>45321</v>
      </c>
      <c r="N336" s="7" t="s">
        <v>41</v>
      </c>
      <c r="O336" s="7" t="s">
        <v>1694</v>
      </c>
      <c r="P336" s="20"/>
      <c r="Q336" s="40">
        <v>305</v>
      </c>
      <c r="R336" s="1"/>
      <c r="S336" s="1"/>
      <c r="T336" s="1"/>
      <c r="U336" s="1"/>
      <c r="V336" s="1"/>
      <c r="W336" s="1"/>
      <c r="X336" s="1"/>
      <c r="Y336" s="1"/>
      <c r="Z336" s="1">
        <v>323</v>
      </c>
      <c r="AA336" s="1"/>
      <c r="AB336" s="1"/>
      <c r="AC336" s="1">
        <v>325</v>
      </c>
      <c r="AD336" s="1"/>
      <c r="AE336" s="1">
        <f>COUNT(Q336:AD336)</f>
        <v>3</v>
      </c>
      <c r="AF336" s="1">
        <f t="shared" si="27"/>
        <v>317.66666666666669</v>
      </c>
      <c r="AG336" s="11" t="str">
        <f t="shared" si="28"/>
        <v>APROVADO</v>
      </c>
    </row>
    <row r="337" spans="2:33" ht="38.25" x14ac:dyDescent="0.25">
      <c r="B337" s="5">
        <v>332</v>
      </c>
      <c r="C337" s="6" t="s">
        <v>1695</v>
      </c>
      <c r="D337" s="5" t="s">
        <v>33</v>
      </c>
      <c r="E337" s="7" t="s">
        <v>1696</v>
      </c>
      <c r="F337" s="7" t="s">
        <v>1697</v>
      </c>
      <c r="G337" s="7" t="s">
        <v>36</v>
      </c>
      <c r="H337" s="8">
        <v>101300</v>
      </c>
      <c r="I337" s="7" t="s">
        <v>1698</v>
      </c>
      <c r="J337" s="7" t="s">
        <v>95</v>
      </c>
      <c r="K337" s="7" t="s">
        <v>1699</v>
      </c>
      <c r="L337" s="9" t="s">
        <v>1700</v>
      </c>
      <c r="M337" s="10">
        <v>45321</v>
      </c>
      <c r="N337" s="7" t="s">
        <v>67</v>
      </c>
      <c r="O337" s="7"/>
      <c r="P337" s="20"/>
      <c r="Q337" s="40">
        <v>296</v>
      </c>
      <c r="R337" s="1"/>
      <c r="S337" s="1"/>
      <c r="T337" s="1"/>
      <c r="U337" s="1"/>
      <c r="V337" s="1">
        <v>260</v>
      </c>
      <c r="W337" s="1">
        <v>304</v>
      </c>
      <c r="X337" s="1"/>
      <c r="Y337" s="1"/>
      <c r="Z337" s="1"/>
      <c r="AA337" s="1"/>
      <c r="AB337" s="1"/>
      <c r="AC337" s="1"/>
      <c r="AD337" s="1"/>
      <c r="AE337" s="1">
        <f>COUNT(Q337:AD337)</f>
        <v>3</v>
      </c>
      <c r="AF337" s="1">
        <f t="shared" si="27"/>
        <v>286.66666666666669</v>
      </c>
      <c r="AG337" s="11" t="str">
        <f t="shared" si="28"/>
        <v>APROVADO</v>
      </c>
    </row>
    <row r="338" spans="2:33" ht="38.25" x14ac:dyDescent="0.25">
      <c r="B338" s="5">
        <v>333</v>
      </c>
      <c r="C338" s="32" t="s">
        <v>1701</v>
      </c>
      <c r="D338" s="5" t="s">
        <v>51</v>
      </c>
      <c r="E338" s="13" t="s">
        <v>1702</v>
      </c>
      <c r="F338" s="13" t="s">
        <v>1703</v>
      </c>
      <c r="G338" s="7" t="s">
        <v>36</v>
      </c>
      <c r="H338" s="28">
        <v>335000</v>
      </c>
      <c r="I338" s="13" t="s">
        <v>1704</v>
      </c>
      <c r="J338" s="11" t="s">
        <v>64</v>
      </c>
      <c r="K338" s="13" t="s">
        <v>1705</v>
      </c>
      <c r="L338" s="42" t="s">
        <v>1706</v>
      </c>
      <c r="M338" s="26">
        <v>45321</v>
      </c>
      <c r="N338" s="13" t="s">
        <v>226</v>
      </c>
      <c r="O338" s="13" t="s">
        <v>227</v>
      </c>
      <c r="P338" s="20"/>
      <c r="Q338" s="1">
        <v>0</v>
      </c>
      <c r="R338" s="1">
        <v>0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0"/>
      <c r="AD338" s="20"/>
      <c r="AE338" s="20"/>
      <c r="AF338" s="1">
        <f t="shared" si="27"/>
        <v>0</v>
      </c>
      <c r="AG338" s="11" t="str">
        <f t="shared" si="28"/>
        <v>REPROVADO</v>
      </c>
    </row>
    <row r="339" spans="2:33" ht="38.25" x14ac:dyDescent="0.25">
      <c r="B339" s="5">
        <v>334</v>
      </c>
      <c r="C339" s="16" t="s">
        <v>1707</v>
      </c>
      <c r="D339" s="5" t="s">
        <v>33</v>
      </c>
      <c r="E339" s="7" t="s">
        <v>1708</v>
      </c>
      <c r="F339" s="7" t="s">
        <v>1709</v>
      </c>
      <c r="G339" s="7" t="s">
        <v>336</v>
      </c>
      <c r="H339" s="8">
        <v>388034.49</v>
      </c>
      <c r="I339" s="7" t="s">
        <v>73</v>
      </c>
      <c r="J339" s="5" t="s">
        <v>74</v>
      </c>
      <c r="K339" s="7" t="s">
        <v>1710</v>
      </c>
      <c r="L339" s="9" t="s">
        <v>1711</v>
      </c>
      <c r="M339" s="10">
        <v>45321</v>
      </c>
      <c r="N339" s="7" t="s">
        <v>82</v>
      </c>
      <c r="O339" s="7" t="s">
        <v>845</v>
      </c>
      <c r="P339" s="20"/>
      <c r="Q339" s="40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 t="e">
        <f t="shared" si="27"/>
        <v>#DIV/0!</v>
      </c>
      <c r="AG339" s="11" t="e">
        <f t="shared" si="28"/>
        <v>#DIV/0!</v>
      </c>
    </row>
    <row r="340" spans="2:33" ht="51.75" x14ac:dyDescent="0.25">
      <c r="B340" s="5">
        <v>335</v>
      </c>
      <c r="C340" s="22" t="s">
        <v>1712</v>
      </c>
      <c r="D340" s="5" t="s">
        <v>51</v>
      </c>
      <c r="E340" s="13" t="s">
        <v>1713</v>
      </c>
      <c r="F340" s="14" t="s">
        <v>1714</v>
      </c>
      <c r="G340" s="14" t="s">
        <v>107</v>
      </c>
      <c r="H340" s="28">
        <v>218000</v>
      </c>
      <c r="I340" s="13" t="s">
        <v>1715</v>
      </c>
      <c r="J340" s="11" t="s">
        <v>597</v>
      </c>
      <c r="K340" s="13" t="s">
        <v>1716</v>
      </c>
      <c r="L340" s="30" t="s">
        <v>1717</v>
      </c>
      <c r="M340" s="26">
        <v>45321</v>
      </c>
      <c r="N340" s="13" t="s">
        <v>57</v>
      </c>
      <c r="O340" s="13"/>
      <c r="P340" s="20"/>
      <c r="Q340" s="1">
        <v>340</v>
      </c>
      <c r="R340" s="1"/>
      <c r="S340" s="1"/>
      <c r="T340" s="1"/>
      <c r="U340" s="1"/>
      <c r="V340" s="1"/>
      <c r="W340" s="1">
        <v>340</v>
      </c>
      <c r="X340" s="1"/>
      <c r="Y340" s="1">
        <v>340</v>
      </c>
      <c r="Z340" s="1"/>
      <c r="AA340" s="1"/>
      <c r="AB340" s="1"/>
      <c r="AC340" s="20"/>
      <c r="AD340" s="20"/>
      <c r="AE340" s="1">
        <f>COUNT(Q340:AD340)</f>
        <v>3</v>
      </c>
      <c r="AF340" s="1">
        <f t="shared" si="27"/>
        <v>340</v>
      </c>
      <c r="AG340" s="11" t="str">
        <f t="shared" si="28"/>
        <v>APROVADO</v>
      </c>
    </row>
    <row r="341" spans="2:33" ht="38.25" x14ac:dyDescent="0.25">
      <c r="B341" s="5">
        <v>336</v>
      </c>
      <c r="C341" s="6" t="s">
        <v>1718</v>
      </c>
      <c r="D341" s="5" t="s">
        <v>33</v>
      </c>
      <c r="E341" s="5" t="s">
        <v>1719</v>
      </c>
      <c r="F341" s="5" t="s">
        <v>1720</v>
      </c>
      <c r="G341" s="7" t="s">
        <v>45</v>
      </c>
      <c r="H341" s="8">
        <v>693592.44</v>
      </c>
      <c r="I341" s="7" t="s">
        <v>73</v>
      </c>
      <c r="J341" s="5" t="s">
        <v>74</v>
      </c>
      <c r="K341" s="7" t="s">
        <v>1721</v>
      </c>
      <c r="L341" s="9" t="s">
        <v>1722</v>
      </c>
      <c r="M341" s="10">
        <v>45321</v>
      </c>
      <c r="N341" s="5" t="s">
        <v>57</v>
      </c>
      <c r="O341" s="7" t="s">
        <v>1723</v>
      </c>
      <c r="P341" s="20"/>
      <c r="Q341" s="39">
        <v>241</v>
      </c>
      <c r="R341" s="1">
        <v>80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>
        <v>251</v>
      </c>
      <c r="AD341" s="1"/>
      <c r="AE341" s="1">
        <f>COUNT(Q341:AD341)</f>
        <v>3</v>
      </c>
      <c r="AF341" s="1">
        <f t="shared" si="27"/>
        <v>190.66666666666666</v>
      </c>
      <c r="AG341" s="11" t="str">
        <f t="shared" si="28"/>
        <v>REPROVADO</v>
      </c>
    </row>
    <row r="342" spans="2:33" ht="25.5" x14ac:dyDescent="0.25">
      <c r="B342" s="5">
        <v>337</v>
      </c>
      <c r="C342" s="16" t="s">
        <v>1724</v>
      </c>
      <c r="D342" s="5" t="s">
        <v>33</v>
      </c>
      <c r="E342" s="7" t="s">
        <v>1725</v>
      </c>
      <c r="F342" s="7" t="s">
        <v>1726</v>
      </c>
      <c r="G342" s="7" t="s">
        <v>36</v>
      </c>
      <c r="H342" s="8">
        <v>300000</v>
      </c>
      <c r="I342" s="7" t="s">
        <v>73</v>
      </c>
      <c r="J342" s="7" t="s">
        <v>74</v>
      </c>
      <c r="K342" s="7" t="s">
        <v>1727</v>
      </c>
      <c r="L342" s="9" t="s">
        <v>1728</v>
      </c>
      <c r="M342" s="10">
        <v>45321</v>
      </c>
      <c r="N342" s="7" t="s">
        <v>82</v>
      </c>
      <c r="O342" s="7" t="s">
        <v>845</v>
      </c>
      <c r="P342" s="20"/>
      <c r="Q342" s="40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 t="e">
        <f t="shared" si="27"/>
        <v>#DIV/0!</v>
      </c>
      <c r="AG342" s="11" t="e">
        <f t="shared" si="28"/>
        <v>#DIV/0!</v>
      </c>
    </row>
    <row r="343" spans="2:33" ht="25.5" x14ac:dyDescent="0.25">
      <c r="B343" s="5">
        <v>338</v>
      </c>
      <c r="C343" s="27" t="s">
        <v>1729</v>
      </c>
      <c r="D343" s="5" t="s">
        <v>33</v>
      </c>
      <c r="E343" s="7" t="s">
        <v>1730</v>
      </c>
      <c r="F343" s="7" t="s">
        <v>1731</v>
      </c>
      <c r="G343" s="7" t="s">
        <v>107</v>
      </c>
      <c r="H343" s="8">
        <v>679588.24</v>
      </c>
      <c r="I343" s="7" t="s">
        <v>1732</v>
      </c>
      <c r="J343" s="7" t="s">
        <v>235</v>
      </c>
      <c r="K343" s="7" t="s">
        <v>1733</v>
      </c>
      <c r="L343" s="9" t="s">
        <v>1734</v>
      </c>
      <c r="M343" s="10">
        <v>45321</v>
      </c>
      <c r="N343" s="7" t="s">
        <v>41</v>
      </c>
      <c r="O343" s="7"/>
      <c r="P343" s="20"/>
      <c r="Q343" s="40">
        <v>240</v>
      </c>
      <c r="R343" s="1"/>
      <c r="S343" s="1">
        <v>242</v>
      </c>
      <c r="T343" s="1"/>
      <c r="U343" s="1"/>
      <c r="V343" s="1"/>
      <c r="W343" s="1"/>
      <c r="X343" s="1"/>
      <c r="Y343" s="1"/>
      <c r="Z343" s="1">
        <v>284</v>
      </c>
      <c r="AA343" s="1"/>
      <c r="AB343" s="1"/>
      <c r="AC343" s="1"/>
      <c r="AD343" s="1"/>
      <c r="AE343" s="1">
        <f t="shared" ref="AE343:AE360" si="30">COUNT(Q343:AD343)</f>
        <v>3</v>
      </c>
      <c r="AF343" s="1">
        <f t="shared" si="27"/>
        <v>255.33333333333334</v>
      </c>
      <c r="AG343" s="11" t="str">
        <f t="shared" si="28"/>
        <v>APROVADO</v>
      </c>
    </row>
    <row r="344" spans="2:33" ht="38.25" x14ac:dyDescent="0.25">
      <c r="B344" s="5">
        <v>339</v>
      </c>
      <c r="C344" s="6" t="s">
        <v>1735</v>
      </c>
      <c r="D344" s="5" t="s">
        <v>33</v>
      </c>
      <c r="E344" s="7" t="s">
        <v>1736</v>
      </c>
      <c r="F344" s="7" t="s">
        <v>1737</v>
      </c>
      <c r="G344" s="5" t="s">
        <v>174</v>
      </c>
      <c r="H344" s="17">
        <v>181500</v>
      </c>
      <c r="I344" s="7" t="s">
        <v>1514</v>
      </c>
      <c r="J344" s="5" t="s">
        <v>95</v>
      </c>
      <c r="K344" s="5" t="s">
        <v>1738</v>
      </c>
      <c r="L344" s="9" t="s">
        <v>1739</v>
      </c>
      <c r="M344" s="10">
        <v>45321</v>
      </c>
      <c r="N344" s="7" t="s">
        <v>67</v>
      </c>
      <c r="O344" s="7"/>
      <c r="P344" s="20"/>
      <c r="Q344" s="40">
        <v>254</v>
      </c>
      <c r="R344" s="1">
        <v>269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>
        <v>180</v>
      </c>
      <c r="AE344" s="1">
        <f t="shared" si="30"/>
        <v>3</v>
      </c>
      <c r="AF344" s="1">
        <f t="shared" si="27"/>
        <v>234.33333333333334</v>
      </c>
      <c r="AG344" s="11" t="str">
        <f t="shared" si="28"/>
        <v>APROVADO</v>
      </c>
    </row>
    <row r="345" spans="2:33" ht="38.25" x14ac:dyDescent="0.25">
      <c r="B345" s="5">
        <v>340</v>
      </c>
      <c r="C345" s="6" t="s">
        <v>1740</v>
      </c>
      <c r="D345" s="5" t="s">
        <v>33</v>
      </c>
      <c r="E345" s="7" t="s">
        <v>1736</v>
      </c>
      <c r="F345" s="7" t="s">
        <v>1741</v>
      </c>
      <c r="G345" s="5" t="s">
        <v>174</v>
      </c>
      <c r="H345" s="17">
        <v>535078</v>
      </c>
      <c r="I345" s="7" t="s">
        <v>1514</v>
      </c>
      <c r="J345" s="5" t="s">
        <v>95</v>
      </c>
      <c r="K345" s="5" t="s">
        <v>1738</v>
      </c>
      <c r="L345" s="9" t="s">
        <v>1739</v>
      </c>
      <c r="M345" s="10">
        <v>45321</v>
      </c>
      <c r="N345" s="7" t="s">
        <v>67</v>
      </c>
      <c r="O345" s="7"/>
      <c r="P345" s="20"/>
      <c r="Q345" s="40">
        <v>255</v>
      </c>
      <c r="R345" s="1">
        <v>241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>
        <v>217</v>
      </c>
      <c r="AE345" s="1">
        <f t="shared" si="30"/>
        <v>3</v>
      </c>
      <c r="AF345" s="1">
        <f t="shared" si="27"/>
        <v>237.66666666666666</v>
      </c>
      <c r="AG345" s="11" t="str">
        <f t="shared" si="28"/>
        <v>APROVADO</v>
      </c>
    </row>
    <row r="346" spans="2:33" ht="38.25" x14ac:dyDescent="0.25">
      <c r="B346" s="5">
        <v>341</v>
      </c>
      <c r="C346" s="6" t="s">
        <v>1742</v>
      </c>
      <c r="D346" s="5" t="s">
        <v>33</v>
      </c>
      <c r="E346" s="7" t="s">
        <v>1736</v>
      </c>
      <c r="F346" s="7" t="s">
        <v>1743</v>
      </c>
      <c r="G346" s="5" t="s">
        <v>174</v>
      </c>
      <c r="H346" s="17">
        <v>65000</v>
      </c>
      <c r="I346" s="7" t="s">
        <v>1514</v>
      </c>
      <c r="J346" s="5" t="s">
        <v>95</v>
      </c>
      <c r="K346" s="5" t="s">
        <v>1738</v>
      </c>
      <c r="L346" s="31" t="s">
        <v>1739</v>
      </c>
      <c r="M346" s="10">
        <v>45321</v>
      </c>
      <c r="N346" s="7" t="s">
        <v>67</v>
      </c>
      <c r="O346" s="7"/>
      <c r="P346" s="20"/>
      <c r="Q346" s="40">
        <v>289</v>
      </c>
      <c r="R346" s="1">
        <v>256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>
        <v>268</v>
      </c>
      <c r="AE346" s="1">
        <f t="shared" si="30"/>
        <v>3</v>
      </c>
      <c r="AF346" s="1">
        <f t="shared" si="27"/>
        <v>271</v>
      </c>
      <c r="AG346" s="11" t="str">
        <f t="shared" si="28"/>
        <v>APROVADO</v>
      </c>
    </row>
    <row r="347" spans="2:33" x14ac:dyDescent="0.25">
      <c r="B347" s="5">
        <v>342</v>
      </c>
      <c r="C347" s="24" t="s">
        <v>1744</v>
      </c>
      <c r="D347" s="5" t="s">
        <v>51</v>
      </c>
      <c r="E347" s="13" t="s">
        <v>1745</v>
      </c>
      <c r="F347" s="13" t="s">
        <v>526</v>
      </c>
      <c r="G347" s="14" t="s">
        <v>107</v>
      </c>
      <c r="H347" s="28">
        <v>94100</v>
      </c>
      <c r="I347" s="13" t="s">
        <v>1746</v>
      </c>
      <c r="J347" s="11" t="s">
        <v>123</v>
      </c>
      <c r="K347" s="13" t="s">
        <v>1747</v>
      </c>
      <c r="L347" s="42" t="s">
        <v>1748</v>
      </c>
      <c r="M347" s="26">
        <v>45321</v>
      </c>
      <c r="N347" s="13" t="s">
        <v>57</v>
      </c>
      <c r="O347" s="20"/>
      <c r="P347" s="20"/>
      <c r="Q347" s="1">
        <v>255</v>
      </c>
      <c r="R347" s="1"/>
      <c r="S347" s="1"/>
      <c r="T347" s="1"/>
      <c r="U347" s="1"/>
      <c r="V347" s="1">
        <v>260</v>
      </c>
      <c r="W347" s="1">
        <v>210</v>
      </c>
      <c r="X347" s="1"/>
      <c r="Y347" s="1"/>
      <c r="Z347" s="1"/>
      <c r="AA347" s="1"/>
      <c r="AB347" s="1"/>
      <c r="AC347" s="20"/>
      <c r="AD347" s="20"/>
      <c r="AE347" s="1">
        <f t="shared" si="30"/>
        <v>3</v>
      </c>
      <c r="AF347" s="1">
        <f t="shared" si="27"/>
        <v>241.66666666666666</v>
      </c>
      <c r="AG347" s="11" t="str">
        <f t="shared" si="28"/>
        <v>APROVADO</v>
      </c>
    </row>
    <row r="348" spans="2:33" ht="25.5" x14ac:dyDescent="0.25">
      <c r="B348" s="5">
        <v>343</v>
      </c>
      <c r="C348" s="27" t="s">
        <v>1749</v>
      </c>
      <c r="D348" s="5" t="s">
        <v>33</v>
      </c>
      <c r="E348" s="7" t="s">
        <v>1750</v>
      </c>
      <c r="F348" s="7" t="s">
        <v>1751</v>
      </c>
      <c r="G348" s="7" t="s">
        <v>174</v>
      </c>
      <c r="H348" s="8">
        <v>87370</v>
      </c>
      <c r="I348" s="7" t="s">
        <v>1752</v>
      </c>
      <c r="J348" s="7" t="s">
        <v>154</v>
      </c>
      <c r="K348" s="7" t="s">
        <v>1753</v>
      </c>
      <c r="L348" s="9" t="s">
        <v>1754</v>
      </c>
      <c r="M348" s="10">
        <v>45321</v>
      </c>
      <c r="N348" s="7" t="s">
        <v>41</v>
      </c>
      <c r="O348" s="7"/>
      <c r="P348" s="20"/>
      <c r="Q348" s="40">
        <v>334</v>
      </c>
      <c r="R348" s="1">
        <v>195</v>
      </c>
      <c r="S348" s="1"/>
      <c r="T348" s="1"/>
      <c r="U348" s="1"/>
      <c r="V348" s="1"/>
      <c r="W348" s="1"/>
      <c r="X348" s="1"/>
      <c r="Y348" s="1"/>
      <c r="Z348" s="1"/>
      <c r="AA348" s="1"/>
      <c r="AB348" s="1">
        <v>335</v>
      </c>
      <c r="AC348" s="1"/>
      <c r="AD348" s="1"/>
      <c r="AE348" s="1">
        <f t="shared" si="30"/>
        <v>3</v>
      </c>
      <c r="AF348" s="1">
        <f t="shared" si="27"/>
        <v>288</v>
      </c>
      <c r="AG348" s="11" t="str">
        <f t="shared" si="28"/>
        <v>APROVADO</v>
      </c>
    </row>
    <row r="349" spans="2:33" ht="25.5" x14ac:dyDescent="0.25">
      <c r="B349" s="5">
        <v>344</v>
      </c>
      <c r="C349" s="6" t="s">
        <v>1755</v>
      </c>
      <c r="D349" s="5" t="s">
        <v>33</v>
      </c>
      <c r="E349" s="5" t="s">
        <v>1750</v>
      </c>
      <c r="F349" s="5" t="s">
        <v>1756</v>
      </c>
      <c r="G349" s="7" t="s">
        <v>107</v>
      </c>
      <c r="H349" s="8">
        <v>367000</v>
      </c>
      <c r="I349" s="7" t="s">
        <v>1752</v>
      </c>
      <c r="J349" s="7" t="s">
        <v>154</v>
      </c>
      <c r="K349" s="7" t="s">
        <v>1753</v>
      </c>
      <c r="L349" s="9" t="s">
        <v>1754</v>
      </c>
      <c r="M349" s="10">
        <v>45321</v>
      </c>
      <c r="N349" s="5" t="s">
        <v>67</v>
      </c>
      <c r="O349" s="7"/>
      <c r="P349" s="20"/>
      <c r="Q349" s="39">
        <v>315</v>
      </c>
      <c r="R349" s="1">
        <v>180</v>
      </c>
      <c r="S349" s="1"/>
      <c r="T349" s="1"/>
      <c r="U349" s="1"/>
      <c r="V349" s="1">
        <v>325</v>
      </c>
      <c r="W349" s="1"/>
      <c r="X349" s="1"/>
      <c r="Y349" s="1"/>
      <c r="Z349" s="1"/>
      <c r="AA349" s="1"/>
      <c r="AB349" s="1"/>
      <c r="AC349" s="1"/>
      <c r="AD349" s="1"/>
      <c r="AE349" s="1">
        <f t="shared" si="30"/>
        <v>3</v>
      </c>
      <c r="AF349" s="1">
        <f t="shared" si="27"/>
        <v>273.33333333333331</v>
      </c>
      <c r="AG349" s="11" t="str">
        <f t="shared" si="28"/>
        <v>APROVADO</v>
      </c>
    </row>
    <row r="350" spans="2:33" x14ac:dyDescent="0.25">
      <c r="B350" s="5">
        <v>345</v>
      </c>
      <c r="C350" s="6" t="s">
        <v>1757</v>
      </c>
      <c r="D350" s="5" t="s">
        <v>33</v>
      </c>
      <c r="E350" s="7" t="s">
        <v>172</v>
      </c>
      <c r="F350" s="7" t="s">
        <v>1758</v>
      </c>
      <c r="G350" s="7" t="s">
        <v>36</v>
      </c>
      <c r="H350" s="8">
        <v>120720</v>
      </c>
      <c r="I350" s="7" t="s">
        <v>1759</v>
      </c>
      <c r="J350" s="7" t="s">
        <v>154</v>
      </c>
      <c r="K350" s="7" t="s">
        <v>1760</v>
      </c>
      <c r="L350" s="9" t="s">
        <v>1761</v>
      </c>
      <c r="M350" s="10">
        <v>45321</v>
      </c>
      <c r="N350" s="7" t="s">
        <v>67</v>
      </c>
      <c r="O350" s="7"/>
      <c r="P350" s="20"/>
      <c r="Q350" s="40">
        <v>317</v>
      </c>
      <c r="R350" s="1"/>
      <c r="S350" s="1"/>
      <c r="T350" s="1"/>
      <c r="U350" s="1"/>
      <c r="V350" s="1">
        <v>340</v>
      </c>
      <c r="W350" s="1">
        <v>321</v>
      </c>
      <c r="X350" s="1"/>
      <c r="Y350" s="1"/>
      <c r="Z350" s="1"/>
      <c r="AA350" s="1"/>
      <c r="AB350" s="1"/>
      <c r="AC350" s="1"/>
      <c r="AD350" s="1"/>
      <c r="AE350" s="1">
        <f t="shared" si="30"/>
        <v>3</v>
      </c>
      <c r="AF350" s="1">
        <f t="shared" si="27"/>
        <v>326</v>
      </c>
      <c r="AG350" s="11" t="str">
        <f t="shared" si="28"/>
        <v>APROVADO</v>
      </c>
    </row>
    <row r="351" spans="2:33" ht="25.5" x14ac:dyDescent="0.25">
      <c r="B351" s="5">
        <v>346</v>
      </c>
      <c r="C351" s="6" t="s">
        <v>1762</v>
      </c>
      <c r="D351" s="5" t="s">
        <v>33</v>
      </c>
      <c r="E351" s="5" t="s">
        <v>1763</v>
      </c>
      <c r="F351" s="5" t="s">
        <v>1764</v>
      </c>
      <c r="G351" s="7" t="s">
        <v>45</v>
      </c>
      <c r="H351" s="8">
        <v>1215394.8999999999</v>
      </c>
      <c r="I351" s="7" t="s">
        <v>1752</v>
      </c>
      <c r="J351" s="7" t="s">
        <v>154</v>
      </c>
      <c r="K351" s="7" t="s">
        <v>1765</v>
      </c>
      <c r="L351" s="9" t="s">
        <v>1766</v>
      </c>
      <c r="M351" s="10">
        <v>45321</v>
      </c>
      <c r="N351" s="5" t="s">
        <v>67</v>
      </c>
      <c r="O351" s="7" t="s">
        <v>1767</v>
      </c>
      <c r="P351" s="20"/>
      <c r="Q351" s="39">
        <v>255</v>
      </c>
      <c r="R351" s="1">
        <v>121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>
        <v>271</v>
      </c>
      <c r="AD351" s="1"/>
      <c r="AE351" s="1">
        <f t="shared" si="30"/>
        <v>3</v>
      </c>
      <c r="AF351" s="1">
        <f t="shared" si="27"/>
        <v>215.66666666666666</v>
      </c>
      <c r="AG351" s="11" t="str">
        <f t="shared" si="28"/>
        <v>APROVADO</v>
      </c>
    </row>
    <row r="352" spans="2:33" ht="25.5" x14ac:dyDescent="0.25">
      <c r="B352" s="5">
        <v>347</v>
      </c>
      <c r="C352" s="27" t="s">
        <v>1768</v>
      </c>
      <c r="D352" s="5" t="s">
        <v>33</v>
      </c>
      <c r="E352" s="5" t="s">
        <v>199</v>
      </c>
      <c r="F352" s="5" t="s">
        <v>1769</v>
      </c>
      <c r="G352" s="5" t="s">
        <v>36</v>
      </c>
      <c r="H352" s="15">
        <v>309988.8</v>
      </c>
      <c r="I352" s="5" t="s">
        <v>201</v>
      </c>
      <c r="J352" s="5" t="s">
        <v>202</v>
      </c>
      <c r="K352" s="5" t="s">
        <v>203</v>
      </c>
      <c r="L352" s="9" t="s">
        <v>204</v>
      </c>
      <c r="M352" s="10">
        <v>45302</v>
      </c>
      <c r="N352" s="7" t="s">
        <v>41</v>
      </c>
      <c r="O352" s="7"/>
      <c r="P352" s="20"/>
      <c r="Q352" s="40">
        <v>334</v>
      </c>
      <c r="R352" s="1">
        <v>294</v>
      </c>
      <c r="S352" s="1"/>
      <c r="T352" s="1"/>
      <c r="U352" s="1"/>
      <c r="V352" s="1"/>
      <c r="W352" s="1"/>
      <c r="X352" s="1"/>
      <c r="Y352" s="1"/>
      <c r="Z352" s="1">
        <v>244</v>
      </c>
      <c r="AA352" s="1"/>
      <c r="AB352" s="1"/>
      <c r="AC352" s="1"/>
      <c r="AD352" s="1"/>
      <c r="AE352" s="1">
        <f t="shared" si="30"/>
        <v>3</v>
      </c>
      <c r="AF352" s="1">
        <f t="shared" si="27"/>
        <v>290.66666666666669</v>
      </c>
      <c r="AG352" s="11" t="str">
        <f t="shared" si="28"/>
        <v>APROVADO</v>
      </c>
    </row>
    <row r="353" spans="2:33" ht="76.5" x14ac:dyDescent="0.25">
      <c r="B353" s="5">
        <v>348</v>
      </c>
      <c r="C353" s="27" t="s">
        <v>1770</v>
      </c>
      <c r="D353" s="5" t="s">
        <v>33</v>
      </c>
      <c r="E353" s="5" t="s">
        <v>120</v>
      </c>
      <c r="F353" s="5" t="s">
        <v>128</v>
      </c>
      <c r="G353" s="5" t="s">
        <v>36</v>
      </c>
      <c r="H353" s="15">
        <v>239095.32</v>
      </c>
      <c r="I353" s="5" t="s">
        <v>122</v>
      </c>
      <c r="J353" s="5" t="s">
        <v>123</v>
      </c>
      <c r="K353" s="5" t="s">
        <v>124</v>
      </c>
      <c r="L353" s="9" t="s">
        <v>125</v>
      </c>
      <c r="M353" s="10">
        <v>45299</v>
      </c>
      <c r="N353" s="7" t="s">
        <v>41</v>
      </c>
      <c r="O353" s="7" t="s">
        <v>1771</v>
      </c>
      <c r="P353" s="20"/>
      <c r="Q353" s="40">
        <v>296</v>
      </c>
      <c r="R353" s="1">
        <v>222</v>
      </c>
      <c r="S353" s="1"/>
      <c r="T353" s="1"/>
      <c r="U353" s="1"/>
      <c r="V353" s="1"/>
      <c r="W353" s="1"/>
      <c r="X353" s="1"/>
      <c r="Y353" s="1"/>
      <c r="Z353" s="1"/>
      <c r="AA353" s="1"/>
      <c r="AB353" s="1">
        <v>235</v>
      </c>
      <c r="AC353" s="1"/>
      <c r="AD353" s="1"/>
      <c r="AE353" s="1">
        <f t="shared" si="30"/>
        <v>3</v>
      </c>
      <c r="AF353" s="1">
        <f t="shared" si="27"/>
        <v>251</v>
      </c>
      <c r="AG353" s="11" t="str">
        <f t="shared" si="28"/>
        <v>APROVADO</v>
      </c>
    </row>
    <row r="354" spans="2:33" ht="25.5" x14ac:dyDescent="0.25">
      <c r="B354" s="5">
        <v>349</v>
      </c>
      <c r="C354" s="6" t="s">
        <v>1772</v>
      </c>
      <c r="D354" s="5" t="s">
        <v>33</v>
      </c>
      <c r="E354" s="7" t="s">
        <v>1773</v>
      </c>
      <c r="F354" s="7" t="s">
        <v>1774</v>
      </c>
      <c r="G354" s="7" t="s">
        <v>107</v>
      </c>
      <c r="H354" s="8">
        <v>395360</v>
      </c>
      <c r="I354" s="7" t="s">
        <v>73</v>
      </c>
      <c r="J354" s="5" t="s">
        <v>74</v>
      </c>
      <c r="K354" s="7" t="s">
        <v>1775</v>
      </c>
      <c r="L354" s="9" t="s">
        <v>1776</v>
      </c>
      <c r="M354" s="10">
        <v>45321</v>
      </c>
      <c r="N354" s="7" t="s">
        <v>67</v>
      </c>
      <c r="O354" s="7"/>
      <c r="P354" s="20"/>
      <c r="Q354" s="40">
        <v>328</v>
      </c>
      <c r="R354" s="1"/>
      <c r="S354" s="1"/>
      <c r="T354" s="1"/>
      <c r="U354" s="1"/>
      <c r="V354" s="1">
        <v>340</v>
      </c>
      <c r="W354" s="1">
        <v>323</v>
      </c>
      <c r="X354" s="1"/>
      <c r="Y354" s="1"/>
      <c r="Z354" s="1"/>
      <c r="AA354" s="1"/>
      <c r="AB354" s="1"/>
      <c r="AC354" s="1"/>
      <c r="AD354" s="1"/>
      <c r="AE354" s="1">
        <f t="shared" si="30"/>
        <v>3</v>
      </c>
      <c r="AF354" s="1">
        <f t="shared" si="27"/>
        <v>330.33333333333331</v>
      </c>
      <c r="AG354" s="11" t="str">
        <f t="shared" si="28"/>
        <v>APROVADO</v>
      </c>
    </row>
    <row r="355" spans="2:33" ht="25.5" x14ac:dyDescent="0.25">
      <c r="B355" s="5">
        <v>350</v>
      </c>
      <c r="C355" s="27" t="s">
        <v>1777</v>
      </c>
      <c r="D355" s="5" t="s">
        <v>33</v>
      </c>
      <c r="E355" s="7" t="s">
        <v>1778</v>
      </c>
      <c r="F355" s="7" t="s">
        <v>1779</v>
      </c>
      <c r="G355" s="7" t="s">
        <v>36</v>
      </c>
      <c r="H355" s="8">
        <v>550000</v>
      </c>
      <c r="I355" s="7" t="s">
        <v>1780</v>
      </c>
      <c r="J355" s="7" t="s">
        <v>154</v>
      </c>
      <c r="K355" s="7" t="s">
        <v>1781</v>
      </c>
      <c r="L355" s="9" t="s">
        <v>1782</v>
      </c>
      <c r="M355" s="10">
        <v>45321</v>
      </c>
      <c r="N355" s="7" t="s">
        <v>41</v>
      </c>
      <c r="O355" s="7"/>
      <c r="P355" s="20"/>
      <c r="Q355" s="40">
        <v>274</v>
      </c>
      <c r="R355" s="1">
        <v>239</v>
      </c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>
        <v>276</v>
      </c>
      <c r="AD355" s="1"/>
      <c r="AE355" s="1">
        <f t="shared" si="30"/>
        <v>3</v>
      </c>
      <c r="AF355" s="1">
        <f t="shared" si="27"/>
        <v>263</v>
      </c>
      <c r="AG355" s="11" t="str">
        <f t="shared" si="28"/>
        <v>APROVADO</v>
      </c>
    </row>
    <row r="356" spans="2:33" ht="38.25" x14ac:dyDescent="0.25">
      <c r="B356" s="5">
        <v>351</v>
      </c>
      <c r="C356" s="6" t="s">
        <v>1783</v>
      </c>
      <c r="D356" s="5" t="s">
        <v>33</v>
      </c>
      <c r="E356" s="7" t="s">
        <v>1773</v>
      </c>
      <c r="F356" s="7" t="s">
        <v>1784</v>
      </c>
      <c r="G356" s="7" t="s">
        <v>36</v>
      </c>
      <c r="H356" s="8">
        <v>329780</v>
      </c>
      <c r="I356" s="7" t="s">
        <v>73</v>
      </c>
      <c r="J356" s="5" t="s">
        <v>74</v>
      </c>
      <c r="K356" s="7" t="s">
        <v>1775</v>
      </c>
      <c r="L356" s="9" t="s">
        <v>1776</v>
      </c>
      <c r="M356" s="10">
        <v>45321</v>
      </c>
      <c r="N356" s="7" t="s">
        <v>67</v>
      </c>
      <c r="O356" s="7"/>
      <c r="P356" s="20"/>
      <c r="Q356" s="40">
        <v>294</v>
      </c>
      <c r="R356" s="1"/>
      <c r="S356" s="1"/>
      <c r="T356" s="1"/>
      <c r="U356" s="1"/>
      <c r="V356" s="1"/>
      <c r="W356" s="1">
        <v>300</v>
      </c>
      <c r="X356" s="1"/>
      <c r="Y356" s="1"/>
      <c r="Z356" s="1"/>
      <c r="AA356" s="1"/>
      <c r="AB356" s="1"/>
      <c r="AC356" s="1">
        <v>289</v>
      </c>
      <c r="AD356" s="1"/>
      <c r="AE356" s="1">
        <f t="shared" si="30"/>
        <v>3</v>
      </c>
      <c r="AF356" s="1">
        <f t="shared" si="27"/>
        <v>294.33333333333331</v>
      </c>
      <c r="AG356" s="11" t="str">
        <f t="shared" si="28"/>
        <v>APROVADO</v>
      </c>
    </row>
    <row r="357" spans="2:33" ht="25.5" x14ac:dyDescent="0.25">
      <c r="B357" s="5">
        <v>352</v>
      </c>
      <c r="C357" s="27" t="s">
        <v>1785</v>
      </c>
      <c r="D357" s="5" t="s">
        <v>33</v>
      </c>
      <c r="E357" s="7" t="s">
        <v>1786</v>
      </c>
      <c r="F357" s="7" t="s">
        <v>1787</v>
      </c>
      <c r="G357" s="7" t="s">
        <v>336</v>
      </c>
      <c r="H357" s="8">
        <v>430566</v>
      </c>
      <c r="I357" s="7" t="s">
        <v>73</v>
      </c>
      <c r="J357" s="7" t="s">
        <v>74</v>
      </c>
      <c r="K357" s="7" t="s">
        <v>1788</v>
      </c>
      <c r="L357" s="9" t="s">
        <v>1789</v>
      </c>
      <c r="M357" s="10">
        <v>45321</v>
      </c>
      <c r="N357" s="7" t="s">
        <v>41</v>
      </c>
      <c r="O357" s="7"/>
      <c r="P357" s="20"/>
      <c r="Q357" s="40">
        <v>327</v>
      </c>
      <c r="R357" s="1"/>
      <c r="S357" s="1"/>
      <c r="T357" s="1"/>
      <c r="U357" s="1"/>
      <c r="V357" s="1"/>
      <c r="W357" s="1"/>
      <c r="X357" s="1"/>
      <c r="Y357" s="1"/>
      <c r="Z357" s="1">
        <v>314</v>
      </c>
      <c r="AA357" s="1">
        <v>313</v>
      </c>
      <c r="AB357" s="1"/>
      <c r="AC357" s="1"/>
      <c r="AD357" s="1"/>
      <c r="AE357" s="1">
        <f t="shared" si="30"/>
        <v>3</v>
      </c>
      <c r="AF357" s="1">
        <f t="shared" si="27"/>
        <v>318</v>
      </c>
      <c r="AG357" s="11" t="str">
        <f t="shared" si="28"/>
        <v>APROVADO</v>
      </c>
    </row>
    <row r="358" spans="2:33" ht="25.5" x14ac:dyDescent="0.25">
      <c r="B358" s="5">
        <v>353</v>
      </c>
      <c r="C358" s="27" t="s">
        <v>1790</v>
      </c>
      <c r="D358" s="5" t="s">
        <v>33</v>
      </c>
      <c r="E358" s="7" t="s">
        <v>1786</v>
      </c>
      <c r="F358" s="7" t="s">
        <v>1791</v>
      </c>
      <c r="G358" s="5" t="s">
        <v>62</v>
      </c>
      <c r="H358" s="8">
        <v>779206</v>
      </c>
      <c r="I358" s="7" t="s">
        <v>73</v>
      </c>
      <c r="J358" s="7" t="s">
        <v>74</v>
      </c>
      <c r="K358" s="7" t="s">
        <v>1788</v>
      </c>
      <c r="L358" s="9" t="s">
        <v>1789</v>
      </c>
      <c r="M358" s="10">
        <v>45321</v>
      </c>
      <c r="N358" s="7" t="s">
        <v>41</v>
      </c>
      <c r="O358" s="7"/>
      <c r="P358" s="20"/>
      <c r="Q358" s="40">
        <v>340</v>
      </c>
      <c r="R358" s="1">
        <v>216</v>
      </c>
      <c r="S358" s="1"/>
      <c r="T358" s="1"/>
      <c r="U358" s="1"/>
      <c r="V358" s="1"/>
      <c r="W358" s="1"/>
      <c r="X358" s="1"/>
      <c r="Y358" s="1"/>
      <c r="Z358" s="1"/>
      <c r="AA358" s="1"/>
      <c r="AB358" s="1">
        <v>294</v>
      </c>
      <c r="AC358" s="1"/>
      <c r="AD358" s="1"/>
      <c r="AE358" s="1">
        <f t="shared" si="30"/>
        <v>3</v>
      </c>
      <c r="AF358" s="1">
        <f t="shared" si="27"/>
        <v>283.33333333333331</v>
      </c>
      <c r="AG358" s="11" t="str">
        <f t="shared" si="28"/>
        <v>APROVADO</v>
      </c>
    </row>
    <row r="359" spans="2:33" ht="26.25" x14ac:dyDescent="0.25">
      <c r="B359" s="5">
        <v>354</v>
      </c>
      <c r="C359" s="24" t="s">
        <v>1792</v>
      </c>
      <c r="D359" s="5" t="s">
        <v>51</v>
      </c>
      <c r="E359" s="13" t="s">
        <v>1793</v>
      </c>
      <c r="F359" s="14" t="s">
        <v>1794</v>
      </c>
      <c r="G359" s="14" t="s">
        <v>36</v>
      </c>
      <c r="H359" s="28">
        <v>2321073.5299999998</v>
      </c>
      <c r="I359" s="13" t="s">
        <v>1795</v>
      </c>
      <c r="J359" s="11" t="s">
        <v>254</v>
      </c>
      <c r="K359" s="13" t="s">
        <v>1796</v>
      </c>
      <c r="L359" s="30" t="s">
        <v>1797</v>
      </c>
      <c r="M359" s="26">
        <v>45321</v>
      </c>
      <c r="N359" s="13" t="s">
        <v>57</v>
      </c>
      <c r="O359" s="13"/>
      <c r="P359" s="20"/>
      <c r="Q359" s="1">
        <v>192</v>
      </c>
      <c r="R359" s="1"/>
      <c r="S359" s="1"/>
      <c r="T359" s="1"/>
      <c r="U359" s="1"/>
      <c r="V359" s="1">
        <v>217</v>
      </c>
      <c r="W359" s="1">
        <v>222</v>
      </c>
      <c r="X359" s="1"/>
      <c r="Y359" s="1"/>
      <c r="Z359" s="1"/>
      <c r="AA359" s="1"/>
      <c r="AB359" s="1"/>
      <c r="AC359" s="20"/>
      <c r="AD359" s="20"/>
      <c r="AE359" s="1">
        <f t="shared" si="30"/>
        <v>3</v>
      </c>
      <c r="AF359" s="1">
        <f t="shared" si="27"/>
        <v>210.33333333333334</v>
      </c>
      <c r="AG359" s="11" t="str">
        <f t="shared" si="28"/>
        <v>APROVADO</v>
      </c>
    </row>
    <row r="360" spans="2:33" x14ac:dyDescent="0.25">
      <c r="B360" s="5">
        <v>355</v>
      </c>
      <c r="C360" s="24" t="s">
        <v>1798</v>
      </c>
      <c r="D360" s="5" t="s">
        <v>51</v>
      </c>
      <c r="E360" s="7" t="s">
        <v>1799</v>
      </c>
      <c r="F360" s="7" t="s">
        <v>1800</v>
      </c>
      <c r="G360" s="7" t="s">
        <v>45</v>
      </c>
      <c r="H360" s="28">
        <v>35000</v>
      </c>
      <c r="I360" s="7" t="s">
        <v>926</v>
      </c>
      <c r="J360" s="11" t="s">
        <v>123</v>
      </c>
      <c r="K360" s="7" t="s">
        <v>1801</v>
      </c>
      <c r="L360" s="7" t="s">
        <v>1802</v>
      </c>
      <c r="M360" s="26">
        <v>45321</v>
      </c>
      <c r="N360" s="7" t="s">
        <v>57</v>
      </c>
      <c r="O360" s="20"/>
      <c r="P360" s="20"/>
      <c r="Q360" s="1">
        <v>340</v>
      </c>
      <c r="R360" s="1"/>
      <c r="S360" s="1"/>
      <c r="T360" s="1"/>
      <c r="U360" s="1"/>
      <c r="V360" s="1">
        <v>340</v>
      </c>
      <c r="W360" s="1">
        <v>340</v>
      </c>
      <c r="X360" s="1"/>
      <c r="Y360" s="1"/>
      <c r="Z360" s="1"/>
      <c r="AA360" s="1"/>
      <c r="AB360" s="1"/>
      <c r="AC360" s="20"/>
      <c r="AD360" s="20"/>
      <c r="AE360" s="1">
        <f t="shared" si="30"/>
        <v>3</v>
      </c>
      <c r="AF360" s="1">
        <f t="shared" si="27"/>
        <v>340</v>
      </c>
      <c r="AG360" s="11" t="str">
        <f t="shared" si="28"/>
        <v>APROVADO</v>
      </c>
    </row>
    <row r="361" spans="2:33" ht="25.5" x14ac:dyDescent="0.25">
      <c r="B361" s="5">
        <v>356</v>
      </c>
      <c r="C361" s="32" t="s">
        <v>1803</v>
      </c>
      <c r="D361" s="5" t="s">
        <v>51</v>
      </c>
      <c r="E361" s="13" t="s">
        <v>1804</v>
      </c>
      <c r="F361" s="14" t="s">
        <v>1805</v>
      </c>
      <c r="G361" s="14" t="s">
        <v>36</v>
      </c>
      <c r="H361" s="28">
        <v>80000</v>
      </c>
      <c r="I361" s="13" t="s">
        <v>1806</v>
      </c>
      <c r="J361" s="11" t="s">
        <v>189</v>
      </c>
      <c r="K361" s="13" t="s">
        <v>1807</v>
      </c>
      <c r="L361" s="30" t="s">
        <v>1797</v>
      </c>
      <c r="M361" s="26">
        <v>45321</v>
      </c>
      <c r="N361" s="7" t="s">
        <v>82</v>
      </c>
      <c r="O361" s="7" t="s">
        <v>845</v>
      </c>
      <c r="P361" s="20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0"/>
      <c r="AD361" s="20"/>
      <c r="AE361" s="20"/>
      <c r="AF361" s="1" t="e">
        <f t="shared" si="27"/>
        <v>#DIV/0!</v>
      </c>
      <c r="AG361" s="11" t="e">
        <f t="shared" si="28"/>
        <v>#DIV/0!</v>
      </c>
    </row>
    <row r="362" spans="2:33" ht="26.25" x14ac:dyDescent="0.25">
      <c r="B362" s="5">
        <v>357</v>
      </c>
      <c r="C362" s="35" t="s">
        <v>1808</v>
      </c>
      <c r="D362" s="5" t="s">
        <v>51</v>
      </c>
      <c r="E362" s="13" t="s">
        <v>1809</v>
      </c>
      <c r="F362" s="13" t="s">
        <v>1810</v>
      </c>
      <c r="G362" s="14" t="s">
        <v>36</v>
      </c>
      <c r="H362" s="28">
        <v>1000000</v>
      </c>
      <c r="I362" s="13" t="s">
        <v>1214</v>
      </c>
      <c r="J362" s="11" t="s">
        <v>181</v>
      </c>
      <c r="K362" s="13" t="s">
        <v>1811</v>
      </c>
      <c r="L362" s="43" t="s">
        <v>1812</v>
      </c>
      <c r="M362" s="26">
        <v>45321</v>
      </c>
      <c r="N362" s="13" t="s">
        <v>226</v>
      </c>
      <c r="O362" s="20" t="s">
        <v>227</v>
      </c>
      <c r="P362" s="20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0"/>
      <c r="AD362" s="20"/>
      <c r="AE362" s="20"/>
      <c r="AF362" s="1" t="e">
        <f t="shared" si="27"/>
        <v>#DIV/0!</v>
      </c>
      <c r="AG362" s="11" t="e">
        <f t="shared" si="28"/>
        <v>#DIV/0!</v>
      </c>
    </row>
    <row r="363" spans="2:33" ht="26.25" x14ac:dyDescent="0.25">
      <c r="B363" s="5">
        <v>358</v>
      </c>
      <c r="C363" s="24" t="s">
        <v>1813</v>
      </c>
      <c r="D363" s="5" t="s">
        <v>51</v>
      </c>
      <c r="E363" s="13" t="s">
        <v>1814</v>
      </c>
      <c r="F363" s="13" t="s">
        <v>1815</v>
      </c>
      <c r="G363" s="14" t="s">
        <v>62</v>
      </c>
      <c r="H363" s="28">
        <v>629640</v>
      </c>
      <c r="I363" s="13" t="s">
        <v>859</v>
      </c>
      <c r="J363" s="11" t="s">
        <v>181</v>
      </c>
      <c r="K363" s="14" t="s">
        <v>1816</v>
      </c>
      <c r="L363" s="43" t="s">
        <v>1817</v>
      </c>
      <c r="M363" s="26">
        <v>45321</v>
      </c>
      <c r="N363" s="13" t="s">
        <v>41</v>
      </c>
      <c r="O363" s="13"/>
      <c r="P363" s="20"/>
      <c r="Q363" s="1">
        <v>289</v>
      </c>
      <c r="R363" s="1"/>
      <c r="S363" s="1"/>
      <c r="T363" s="1"/>
      <c r="U363" s="1"/>
      <c r="V363" s="1"/>
      <c r="W363" s="1"/>
      <c r="X363" s="1"/>
      <c r="Y363" s="1"/>
      <c r="Z363" s="1">
        <v>328</v>
      </c>
      <c r="AA363" s="1"/>
      <c r="AB363" s="1"/>
      <c r="AC363" s="1">
        <v>304</v>
      </c>
      <c r="AD363" s="20"/>
      <c r="AE363" s="1">
        <f>COUNT(Q363:AD363)</f>
        <v>3</v>
      </c>
      <c r="AF363" s="1">
        <f t="shared" si="27"/>
        <v>307</v>
      </c>
      <c r="AG363" s="11" t="str">
        <f t="shared" si="28"/>
        <v>APROVADO</v>
      </c>
    </row>
    <row r="364" spans="2:33" ht="26.25" x14ac:dyDescent="0.25">
      <c r="B364" s="5">
        <v>359</v>
      </c>
      <c r="C364" s="24" t="s">
        <v>1818</v>
      </c>
      <c r="D364" s="5" t="s">
        <v>51</v>
      </c>
      <c r="E364" s="13" t="s">
        <v>1809</v>
      </c>
      <c r="F364" s="13" t="s">
        <v>1819</v>
      </c>
      <c r="G364" s="14" t="s">
        <v>107</v>
      </c>
      <c r="H364" s="28">
        <v>251480.5</v>
      </c>
      <c r="I364" s="13" t="s">
        <v>1214</v>
      </c>
      <c r="J364" s="11" t="s">
        <v>181</v>
      </c>
      <c r="K364" s="13" t="s">
        <v>1811</v>
      </c>
      <c r="L364" s="43" t="s">
        <v>1812</v>
      </c>
      <c r="M364" s="26">
        <v>45321</v>
      </c>
      <c r="N364" s="13" t="s">
        <v>57</v>
      </c>
      <c r="O364" s="20"/>
      <c r="P364" s="20"/>
      <c r="Q364" s="1">
        <v>257</v>
      </c>
      <c r="R364" s="1"/>
      <c r="S364" s="1"/>
      <c r="T364" s="1"/>
      <c r="U364" s="1"/>
      <c r="V364" s="1">
        <v>262</v>
      </c>
      <c r="W364" s="1">
        <v>301</v>
      </c>
      <c r="X364" s="1"/>
      <c r="Y364" s="1"/>
      <c r="Z364" s="1"/>
      <c r="AA364" s="1"/>
      <c r="AB364" s="1"/>
      <c r="AC364" s="20"/>
      <c r="AD364" s="20"/>
      <c r="AE364" s="1">
        <f>COUNT(Q364:AD364)</f>
        <v>3</v>
      </c>
      <c r="AF364" s="1">
        <f t="shared" si="27"/>
        <v>273.33333333333331</v>
      </c>
      <c r="AG364" s="11" t="str">
        <f t="shared" si="28"/>
        <v>APROVADO</v>
      </c>
    </row>
    <row r="365" spans="2:33" ht="25.5" x14ac:dyDescent="0.25">
      <c r="B365" s="5">
        <v>360</v>
      </c>
      <c r="C365" s="6" t="s">
        <v>1820</v>
      </c>
      <c r="D365" s="5" t="s">
        <v>33</v>
      </c>
      <c r="E365" s="5" t="s">
        <v>1821</v>
      </c>
      <c r="F365" s="5" t="s">
        <v>1822</v>
      </c>
      <c r="G365" s="5" t="s">
        <v>62</v>
      </c>
      <c r="H365" s="17">
        <v>277666.61</v>
      </c>
      <c r="I365" s="7" t="s">
        <v>73</v>
      </c>
      <c r="J365" s="5" t="s">
        <v>74</v>
      </c>
      <c r="K365" s="5" t="s">
        <v>1823</v>
      </c>
      <c r="L365" s="9" t="s">
        <v>1824</v>
      </c>
      <c r="M365" s="10">
        <v>45321</v>
      </c>
      <c r="N365" s="5" t="s">
        <v>67</v>
      </c>
      <c r="O365" s="7" t="s">
        <v>1825</v>
      </c>
      <c r="P365" s="20"/>
      <c r="Q365" s="39">
        <v>302</v>
      </c>
      <c r="R365" s="1">
        <v>112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>
        <v>296</v>
      </c>
      <c r="AD365" s="1"/>
      <c r="AE365" s="1">
        <f>COUNT(Q365:AD365)</f>
        <v>3</v>
      </c>
      <c r="AF365" s="1">
        <f t="shared" si="27"/>
        <v>236.66666666666666</v>
      </c>
      <c r="AG365" s="11" t="str">
        <f t="shared" si="28"/>
        <v>APROVADO</v>
      </c>
    </row>
    <row r="366" spans="2:33" ht="30" x14ac:dyDescent="0.25">
      <c r="B366" s="5">
        <v>361</v>
      </c>
      <c r="C366" s="24" t="s">
        <v>1826</v>
      </c>
      <c r="D366" s="5" t="s">
        <v>51</v>
      </c>
      <c r="E366" s="13" t="s">
        <v>1827</v>
      </c>
      <c r="F366" s="13" t="s">
        <v>1828</v>
      </c>
      <c r="G366" s="14" t="s">
        <v>107</v>
      </c>
      <c r="H366" s="28">
        <v>40000</v>
      </c>
      <c r="I366" s="13" t="s">
        <v>1829</v>
      </c>
      <c r="J366" s="11" t="s">
        <v>181</v>
      </c>
      <c r="K366" s="13" t="s">
        <v>1830</v>
      </c>
      <c r="L366" s="47" t="s">
        <v>1831</v>
      </c>
      <c r="M366" s="26">
        <v>45321</v>
      </c>
      <c r="N366" s="13" t="s">
        <v>57</v>
      </c>
      <c r="O366" s="20"/>
      <c r="P366" s="20"/>
      <c r="Q366" s="1">
        <v>340</v>
      </c>
      <c r="R366" s="1"/>
      <c r="S366" s="1"/>
      <c r="T366" s="1"/>
      <c r="U366" s="1"/>
      <c r="V366" s="1"/>
      <c r="W366" s="1"/>
      <c r="X366" s="1">
        <v>340</v>
      </c>
      <c r="Y366" s="1">
        <v>340</v>
      </c>
      <c r="Z366" s="1"/>
      <c r="AA366" s="1"/>
      <c r="AB366" s="1"/>
      <c r="AC366" s="20"/>
      <c r="AD366" s="20"/>
      <c r="AE366" s="1">
        <f>COUNT(Q366:AD366)</f>
        <v>3</v>
      </c>
      <c r="AF366" s="1">
        <f t="shared" si="27"/>
        <v>340</v>
      </c>
      <c r="AG366" s="11" t="str">
        <f t="shared" si="28"/>
        <v>APROVADO</v>
      </c>
    </row>
    <row r="367" spans="2:33" ht="30" x14ac:dyDescent="0.25">
      <c r="B367" s="5">
        <v>362</v>
      </c>
      <c r="C367" s="24" t="s">
        <v>1832</v>
      </c>
      <c r="D367" s="5" t="s">
        <v>51</v>
      </c>
      <c r="E367" s="13" t="s">
        <v>1827</v>
      </c>
      <c r="F367" s="13" t="s">
        <v>1833</v>
      </c>
      <c r="G367" s="14" t="s">
        <v>36</v>
      </c>
      <c r="H367" s="28">
        <v>267800</v>
      </c>
      <c r="I367" s="13" t="s">
        <v>1829</v>
      </c>
      <c r="J367" s="11" t="s">
        <v>181</v>
      </c>
      <c r="K367" s="13" t="s">
        <v>1830</v>
      </c>
      <c r="L367" s="47" t="s">
        <v>1831</v>
      </c>
      <c r="M367" s="26">
        <v>45321</v>
      </c>
      <c r="N367" s="13" t="s">
        <v>57</v>
      </c>
      <c r="O367" s="20"/>
      <c r="P367" s="20"/>
      <c r="Q367" s="1">
        <v>271</v>
      </c>
      <c r="R367" s="1"/>
      <c r="S367" s="1"/>
      <c r="T367" s="1"/>
      <c r="U367" s="1"/>
      <c r="V367" s="1"/>
      <c r="W367" s="1"/>
      <c r="X367" s="1">
        <v>300</v>
      </c>
      <c r="Y367" s="1">
        <v>298</v>
      </c>
      <c r="Z367" s="1"/>
      <c r="AA367" s="1"/>
      <c r="AB367" s="1"/>
      <c r="AC367" s="20"/>
      <c r="AD367" s="20"/>
      <c r="AE367" s="1">
        <f>COUNT(Q367:AD367)</f>
        <v>3</v>
      </c>
      <c r="AF367" s="1">
        <f t="shared" si="27"/>
        <v>289.66666666666669</v>
      </c>
      <c r="AG367" s="11" t="str">
        <f t="shared" si="28"/>
        <v>APROVADO</v>
      </c>
    </row>
    <row r="368" spans="2:33" ht="39" x14ac:dyDescent="0.25">
      <c r="B368" s="5">
        <v>363</v>
      </c>
      <c r="C368" s="32" t="s">
        <v>1834</v>
      </c>
      <c r="D368" s="5" t="s">
        <v>51</v>
      </c>
      <c r="E368" s="13" t="s">
        <v>1814</v>
      </c>
      <c r="F368" s="13" t="s">
        <v>1835</v>
      </c>
      <c r="G368" s="14" t="s">
        <v>107</v>
      </c>
      <c r="H368" s="28">
        <v>318990</v>
      </c>
      <c r="I368" s="13" t="s">
        <v>859</v>
      </c>
      <c r="J368" s="11" t="s">
        <v>181</v>
      </c>
      <c r="K368" s="14" t="s">
        <v>1816</v>
      </c>
      <c r="L368" s="14" t="s">
        <v>1836</v>
      </c>
      <c r="M368" s="26">
        <v>45321</v>
      </c>
      <c r="N368" s="13" t="s">
        <v>226</v>
      </c>
      <c r="O368" s="14" t="s">
        <v>1837</v>
      </c>
      <c r="P368" s="20"/>
      <c r="Q368" s="1">
        <v>0</v>
      </c>
      <c r="R368" s="1"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0"/>
      <c r="AD368" s="20"/>
      <c r="AE368" s="20"/>
      <c r="AF368" s="1">
        <f t="shared" si="27"/>
        <v>0</v>
      </c>
      <c r="AG368" s="11" t="str">
        <f t="shared" si="28"/>
        <v>REPROVADO</v>
      </c>
    </row>
    <row r="369" spans="2:33" ht="26.25" x14ac:dyDescent="0.25">
      <c r="B369" s="5">
        <v>364</v>
      </c>
      <c r="C369" s="32" t="s">
        <v>1838</v>
      </c>
      <c r="D369" s="5" t="s">
        <v>51</v>
      </c>
      <c r="E369" s="13" t="s">
        <v>1814</v>
      </c>
      <c r="F369" s="13" t="s">
        <v>1839</v>
      </c>
      <c r="G369" s="14" t="s">
        <v>107</v>
      </c>
      <c r="H369" s="28">
        <v>1000000</v>
      </c>
      <c r="I369" s="13" t="s">
        <v>859</v>
      </c>
      <c r="J369" s="11" t="s">
        <v>181</v>
      </c>
      <c r="K369" s="14" t="s">
        <v>1816</v>
      </c>
      <c r="L369" s="43" t="s">
        <v>1817</v>
      </c>
      <c r="M369" s="26">
        <v>45321</v>
      </c>
      <c r="N369" s="13" t="s">
        <v>226</v>
      </c>
      <c r="O369" s="13" t="s">
        <v>600</v>
      </c>
      <c r="P369" s="20"/>
      <c r="Q369" s="1">
        <v>0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0"/>
      <c r="AD369" s="20"/>
      <c r="AE369" s="20"/>
      <c r="AF369" s="1">
        <f t="shared" si="27"/>
        <v>0</v>
      </c>
      <c r="AG369" s="11" t="str">
        <f t="shared" si="28"/>
        <v>REPROVADO</v>
      </c>
    </row>
    <row r="370" spans="2:33" ht="38.25" x14ac:dyDescent="0.25">
      <c r="B370" s="5">
        <v>365</v>
      </c>
      <c r="C370" s="16" t="s">
        <v>1840</v>
      </c>
      <c r="D370" s="5" t="s">
        <v>33</v>
      </c>
      <c r="E370" s="7" t="s">
        <v>1841</v>
      </c>
      <c r="F370" s="7" t="s">
        <v>1842</v>
      </c>
      <c r="G370" s="7" t="s">
        <v>36</v>
      </c>
      <c r="H370" s="8">
        <v>190000</v>
      </c>
      <c r="I370" s="7" t="s">
        <v>1843</v>
      </c>
      <c r="J370" s="7" t="s">
        <v>95</v>
      </c>
      <c r="K370" s="7" t="s">
        <v>1844</v>
      </c>
      <c r="L370" s="9" t="s">
        <v>1845</v>
      </c>
      <c r="M370" s="10">
        <v>45322</v>
      </c>
      <c r="N370" s="7" t="s">
        <v>82</v>
      </c>
      <c r="O370" s="7" t="s">
        <v>1640</v>
      </c>
      <c r="P370" s="20"/>
      <c r="Q370" s="40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 t="e">
        <f t="shared" si="27"/>
        <v>#DIV/0!</v>
      </c>
      <c r="AG370" s="11" t="e">
        <f t="shared" si="28"/>
        <v>#DIV/0!</v>
      </c>
    </row>
    <row r="371" spans="2:33" ht="25.5" x14ac:dyDescent="0.25">
      <c r="B371" s="5">
        <v>366</v>
      </c>
      <c r="C371" s="6" t="s">
        <v>1846</v>
      </c>
      <c r="D371" s="5" t="s">
        <v>33</v>
      </c>
      <c r="E371" s="7" t="s">
        <v>1847</v>
      </c>
      <c r="F371" s="7" t="s">
        <v>1848</v>
      </c>
      <c r="G371" s="7" t="s">
        <v>107</v>
      </c>
      <c r="H371" s="17">
        <v>500000</v>
      </c>
      <c r="I371" s="7" t="s">
        <v>73</v>
      </c>
      <c r="J371" s="5" t="s">
        <v>74</v>
      </c>
      <c r="K371" s="7" t="s">
        <v>1849</v>
      </c>
      <c r="L371" s="9" t="s">
        <v>1850</v>
      </c>
      <c r="M371" s="10">
        <v>45321</v>
      </c>
      <c r="N371" s="7" t="s">
        <v>41</v>
      </c>
      <c r="O371" s="7"/>
      <c r="P371" s="20"/>
      <c r="Q371" s="40">
        <v>300</v>
      </c>
      <c r="R371" s="1"/>
      <c r="S371" s="1"/>
      <c r="T371" s="1"/>
      <c r="U371" s="1"/>
      <c r="V371" s="1"/>
      <c r="W371" s="1"/>
      <c r="X371" s="1">
        <v>306</v>
      </c>
      <c r="Y371" s="1"/>
      <c r="Z371" s="1"/>
      <c r="AA371" s="1"/>
      <c r="AB371" s="1"/>
      <c r="AC371" s="1"/>
      <c r="AD371" s="1">
        <v>340</v>
      </c>
      <c r="AE371" s="1">
        <f>COUNT(Q371:AD371)</f>
        <v>3</v>
      </c>
      <c r="AF371" s="1">
        <f t="shared" si="27"/>
        <v>315.33333333333331</v>
      </c>
      <c r="AG371" s="11" t="str">
        <f t="shared" si="28"/>
        <v>APROVADO</v>
      </c>
    </row>
    <row r="372" spans="2:33" ht="51" x14ac:dyDescent="0.25">
      <c r="B372" s="5">
        <v>367</v>
      </c>
      <c r="C372" s="22" t="s">
        <v>1851</v>
      </c>
      <c r="D372" s="5" t="s">
        <v>51</v>
      </c>
      <c r="E372" s="9" t="s">
        <v>1852</v>
      </c>
      <c r="F372" s="11" t="s">
        <v>1853</v>
      </c>
      <c r="G372" s="14" t="s">
        <v>36</v>
      </c>
      <c r="H372" s="28">
        <v>150000</v>
      </c>
      <c r="I372" s="13" t="s">
        <v>1854</v>
      </c>
      <c r="J372" s="11" t="s">
        <v>241</v>
      </c>
      <c r="K372" s="14" t="s">
        <v>1855</v>
      </c>
      <c r="L372" s="43" t="s">
        <v>1856</v>
      </c>
      <c r="M372" s="26">
        <v>45321</v>
      </c>
      <c r="N372" s="9" t="s">
        <v>41</v>
      </c>
      <c r="O372" s="13"/>
      <c r="P372" s="20"/>
      <c r="Q372" s="1">
        <v>330</v>
      </c>
      <c r="R372" s="1">
        <v>209</v>
      </c>
      <c r="S372" s="1"/>
      <c r="T372" s="1">
        <v>229</v>
      </c>
      <c r="U372" s="1"/>
      <c r="V372" s="1"/>
      <c r="W372" s="1"/>
      <c r="X372" s="1"/>
      <c r="Y372" s="1"/>
      <c r="Z372" s="1"/>
      <c r="AA372" s="1"/>
      <c r="AB372" s="1"/>
      <c r="AC372" s="48"/>
      <c r="AD372" s="48"/>
      <c r="AE372" s="1">
        <f>COUNT(Q372:AD372)</f>
        <v>3</v>
      </c>
      <c r="AF372" s="1">
        <f t="shared" si="27"/>
        <v>256</v>
      </c>
      <c r="AG372" s="11" t="str">
        <f t="shared" si="28"/>
        <v>APROVADO</v>
      </c>
    </row>
    <row r="373" spans="2:33" ht="25.5" x14ac:dyDescent="0.25">
      <c r="B373" s="5">
        <v>368</v>
      </c>
      <c r="C373" s="27" t="s">
        <v>1857</v>
      </c>
      <c r="D373" s="5" t="s">
        <v>33</v>
      </c>
      <c r="E373" s="7" t="s">
        <v>1858</v>
      </c>
      <c r="F373" s="7" t="s">
        <v>1859</v>
      </c>
      <c r="G373" s="7" t="s">
        <v>36</v>
      </c>
      <c r="H373" s="8">
        <v>47071.72</v>
      </c>
      <c r="I373" s="7" t="s">
        <v>538</v>
      </c>
      <c r="J373" s="7" t="s">
        <v>115</v>
      </c>
      <c r="K373" s="7" t="s">
        <v>1860</v>
      </c>
      <c r="L373" s="9" t="s">
        <v>1861</v>
      </c>
      <c r="M373" s="10">
        <v>45321</v>
      </c>
      <c r="N373" s="7" t="s">
        <v>41</v>
      </c>
      <c r="O373" s="7"/>
      <c r="P373" s="20"/>
      <c r="Q373" s="40">
        <v>340</v>
      </c>
      <c r="R373" s="1">
        <v>211</v>
      </c>
      <c r="S373" s="1"/>
      <c r="T373" s="1">
        <v>232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>
        <f>COUNT(Q373:AD373)</f>
        <v>3</v>
      </c>
      <c r="AF373" s="1">
        <f t="shared" si="27"/>
        <v>261</v>
      </c>
      <c r="AG373" s="11" t="str">
        <f t="shared" si="28"/>
        <v>APROVADO</v>
      </c>
    </row>
    <row r="374" spans="2:33" ht="38.25" x14ac:dyDescent="0.25">
      <c r="B374" s="5">
        <v>369</v>
      </c>
      <c r="C374" s="16" t="s">
        <v>1862</v>
      </c>
      <c r="D374" s="5" t="s">
        <v>33</v>
      </c>
      <c r="E374" s="7" t="s">
        <v>1858</v>
      </c>
      <c r="F374" s="7" t="s">
        <v>1863</v>
      </c>
      <c r="G374" s="7" t="s">
        <v>36</v>
      </c>
      <c r="H374" s="8">
        <v>1410121.6</v>
      </c>
      <c r="I374" s="7" t="s">
        <v>538</v>
      </c>
      <c r="J374" s="7" t="s">
        <v>115</v>
      </c>
      <c r="K374" s="7" t="s">
        <v>1860</v>
      </c>
      <c r="L374" s="9" t="s">
        <v>1861</v>
      </c>
      <c r="M374" s="10">
        <v>45321</v>
      </c>
      <c r="N374" s="13" t="s">
        <v>226</v>
      </c>
      <c r="O374" s="7"/>
      <c r="P374" s="20"/>
      <c r="Q374" s="40">
        <v>0</v>
      </c>
      <c r="R374" s="1">
        <v>0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>
        <f t="shared" si="27"/>
        <v>0</v>
      </c>
      <c r="AG374" s="11" t="str">
        <f t="shared" si="28"/>
        <v>REPROVADO</v>
      </c>
    </row>
    <row r="375" spans="2:33" ht="26.25" x14ac:dyDescent="0.25">
      <c r="B375" s="5">
        <v>370</v>
      </c>
      <c r="C375" s="22" t="s">
        <v>1864</v>
      </c>
      <c r="D375" s="39" t="s">
        <v>51</v>
      </c>
      <c r="E375" s="9" t="s">
        <v>1865</v>
      </c>
      <c r="F375" s="1" t="s">
        <v>1866</v>
      </c>
      <c r="G375" s="14" t="s">
        <v>107</v>
      </c>
      <c r="H375" s="28">
        <v>364200</v>
      </c>
      <c r="I375" s="13" t="s">
        <v>1867</v>
      </c>
      <c r="J375" s="11" t="s">
        <v>223</v>
      </c>
      <c r="K375" s="14" t="s">
        <v>1868</v>
      </c>
      <c r="L375" s="43" t="s">
        <v>1869</v>
      </c>
      <c r="M375" s="26">
        <v>45321</v>
      </c>
      <c r="N375" s="9" t="s">
        <v>41</v>
      </c>
      <c r="O375" s="13"/>
      <c r="P375" s="20"/>
      <c r="Q375" s="1">
        <v>337</v>
      </c>
      <c r="R375" s="1">
        <v>150</v>
      </c>
      <c r="S375" s="1"/>
      <c r="T375" s="1">
        <v>215</v>
      </c>
      <c r="U375" s="1"/>
      <c r="V375" s="1"/>
      <c r="W375" s="1"/>
      <c r="X375" s="1"/>
      <c r="Y375" s="1"/>
      <c r="Z375" s="1"/>
      <c r="AA375" s="1"/>
      <c r="AB375" s="1"/>
      <c r="AC375" s="20"/>
      <c r="AD375" s="20"/>
      <c r="AE375" s="1">
        <f>COUNT(Q375:AD375)</f>
        <v>3</v>
      </c>
      <c r="AF375" s="1">
        <f t="shared" si="27"/>
        <v>234</v>
      </c>
      <c r="AG375" s="11" t="str">
        <f t="shared" si="28"/>
        <v>APROVADO</v>
      </c>
    </row>
    <row r="376" spans="2:33" ht="63.75" x14ac:dyDescent="0.25">
      <c r="B376" s="5">
        <v>371</v>
      </c>
      <c r="C376" s="6" t="s">
        <v>1870</v>
      </c>
      <c r="D376" s="5" t="s">
        <v>33</v>
      </c>
      <c r="E376" s="5" t="s">
        <v>1871</v>
      </c>
      <c r="F376" s="5" t="s">
        <v>1872</v>
      </c>
      <c r="G376" s="7" t="s">
        <v>36</v>
      </c>
      <c r="H376" s="17">
        <v>749942.88</v>
      </c>
      <c r="I376" s="7" t="s">
        <v>73</v>
      </c>
      <c r="J376" s="5" t="s">
        <v>74</v>
      </c>
      <c r="K376" s="5" t="s">
        <v>1873</v>
      </c>
      <c r="L376" s="9" t="s">
        <v>1874</v>
      </c>
      <c r="M376" s="10">
        <v>45321</v>
      </c>
      <c r="N376" s="5" t="s">
        <v>67</v>
      </c>
      <c r="O376" s="7" t="s">
        <v>90</v>
      </c>
      <c r="P376" s="20"/>
      <c r="Q376" s="39">
        <v>277</v>
      </c>
      <c r="R376" s="1">
        <v>142</v>
      </c>
      <c r="S376" s="1"/>
      <c r="T376" s="1"/>
      <c r="U376" s="1"/>
      <c r="V376" s="1">
        <v>264</v>
      </c>
      <c r="W376" s="1"/>
      <c r="X376" s="1"/>
      <c r="Y376" s="1"/>
      <c r="Z376" s="1"/>
      <c r="AA376" s="1"/>
      <c r="AB376" s="1"/>
      <c r="AC376" s="1"/>
      <c r="AD376" s="1"/>
      <c r="AE376" s="1">
        <f>COUNT(Q376:AD376)</f>
        <v>3</v>
      </c>
      <c r="AF376" s="1">
        <f t="shared" si="27"/>
        <v>227.66666666666666</v>
      </c>
      <c r="AG376" s="11" t="str">
        <f t="shared" si="28"/>
        <v>APROVADO</v>
      </c>
    </row>
    <row r="377" spans="2:33" ht="38.25" x14ac:dyDescent="0.25">
      <c r="B377" s="5">
        <v>372</v>
      </c>
      <c r="C377" s="16" t="s">
        <v>1875</v>
      </c>
      <c r="D377" s="5" t="s">
        <v>33</v>
      </c>
      <c r="E377" s="7" t="s">
        <v>1876</v>
      </c>
      <c r="F377" s="7" t="s">
        <v>1842</v>
      </c>
      <c r="G377" s="7" t="s">
        <v>36</v>
      </c>
      <c r="H377" s="8">
        <v>50000</v>
      </c>
      <c r="I377" s="7" t="s">
        <v>1877</v>
      </c>
      <c r="J377" s="7" t="s">
        <v>95</v>
      </c>
      <c r="K377" s="7" t="s">
        <v>1878</v>
      </c>
      <c r="L377" s="9" t="s">
        <v>1879</v>
      </c>
      <c r="M377" s="10">
        <v>45322</v>
      </c>
      <c r="N377" s="7" t="s">
        <v>82</v>
      </c>
      <c r="O377" s="7" t="s">
        <v>1640</v>
      </c>
      <c r="P377" s="20"/>
      <c r="Q377" s="40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 t="e">
        <f t="shared" si="27"/>
        <v>#DIV/0!</v>
      </c>
      <c r="AG377" s="11" t="e">
        <f t="shared" si="28"/>
        <v>#DIV/0!</v>
      </c>
    </row>
    <row r="378" spans="2:33" ht="38.25" x14ac:dyDescent="0.25">
      <c r="B378" s="5">
        <v>373</v>
      </c>
      <c r="C378" s="27" t="s">
        <v>1880</v>
      </c>
      <c r="D378" s="5" t="s">
        <v>33</v>
      </c>
      <c r="E378" s="7" t="s">
        <v>1881</v>
      </c>
      <c r="F378" s="7" t="s">
        <v>1882</v>
      </c>
      <c r="G378" s="7" t="s">
        <v>36</v>
      </c>
      <c r="H378" s="8">
        <v>980304</v>
      </c>
      <c r="I378" s="7" t="s">
        <v>73</v>
      </c>
      <c r="J378" s="7" t="s">
        <v>74</v>
      </c>
      <c r="K378" s="7" t="s">
        <v>1883</v>
      </c>
      <c r="L378" s="9" t="s">
        <v>1884</v>
      </c>
      <c r="M378" s="10">
        <v>45321</v>
      </c>
      <c r="N378" s="7" t="s">
        <v>41</v>
      </c>
      <c r="O378" s="7"/>
      <c r="P378" s="20"/>
      <c r="Q378" s="40">
        <v>332</v>
      </c>
      <c r="R378" s="1">
        <v>147</v>
      </c>
      <c r="S378" s="1"/>
      <c r="T378" s="1">
        <v>197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f>COUNT(Q378:AD378)</f>
        <v>3</v>
      </c>
      <c r="AF378" s="1">
        <f t="shared" si="27"/>
        <v>225.33333333333334</v>
      </c>
      <c r="AG378" s="11" t="str">
        <f t="shared" si="28"/>
        <v>APROVADO</v>
      </c>
    </row>
    <row r="379" spans="2:33" ht="25.5" x14ac:dyDescent="0.25">
      <c r="B379" s="5">
        <v>374</v>
      </c>
      <c r="C379" s="16" t="s">
        <v>1885</v>
      </c>
      <c r="D379" s="5" t="s">
        <v>33</v>
      </c>
      <c r="E379" s="7" t="s">
        <v>904</v>
      </c>
      <c r="F379" s="7" t="s">
        <v>1886</v>
      </c>
      <c r="G379" s="7" t="s">
        <v>36</v>
      </c>
      <c r="H379" s="8">
        <v>105500</v>
      </c>
      <c r="I379" s="7" t="s">
        <v>1887</v>
      </c>
      <c r="J379" s="7" t="s">
        <v>223</v>
      </c>
      <c r="K379" s="7" t="s">
        <v>1888</v>
      </c>
      <c r="L379" s="9" t="s">
        <v>1889</v>
      </c>
      <c r="M379" s="10">
        <v>45322</v>
      </c>
      <c r="N379" s="13" t="s">
        <v>226</v>
      </c>
      <c r="O379" s="7" t="s">
        <v>1890</v>
      </c>
      <c r="P379" s="20"/>
      <c r="Q379" s="40">
        <v>0</v>
      </c>
      <c r="R379" s="1">
        <v>0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>
        <f t="shared" si="27"/>
        <v>0</v>
      </c>
      <c r="AG379" s="11" t="str">
        <f t="shared" si="28"/>
        <v>REPROVADO</v>
      </c>
    </row>
    <row r="380" spans="2:33" x14ac:dyDescent="0.25">
      <c r="B380" s="5">
        <v>375</v>
      </c>
      <c r="C380" s="27" t="s">
        <v>1891</v>
      </c>
      <c r="D380" s="5" t="s">
        <v>33</v>
      </c>
      <c r="E380" s="7" t="s">
        <v>904</v>
      </c>
      <c r="F380" s="7" t="s">
        <v>1892</v>
      </c>
      <c r="G380" s="7" t="s">
        <v>36</v>
      </c>
      <c r="H380" s="8">
        <v>40000</v>
      </c>
      <c r="I380" s="7" t="s">
        <v>1887</v>
      </c>
      <c r="J380" s="7" t="s">
        <v>223</v>
      </c>
      <c r="K380" s="7" t="s">
        <v>1888</v>
      </c>
      <c r="L380" s="9" t="s">
        <v>1889</v>
      </c>
      <c r="M380" s="10">
        <v>45322</v>
      </c>
      <c r="N380" s="7" t="s">
        <v>41</v>
      </c>
      <c r="O380" s="7"/>
      <c r="P380" s="20"/>
      <c r="Q380" s="40">
        <v>340</v>
      </c>
      <c r="R380" s="1">
        <v>216</v>
      </c>
      <c r="S380" s="1"/>
      <c r="T380" s="1">
        <v>223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>
        <f>COUNT(Q380:AD380)</f>
        <v>3</v>
      </c>
      <c r="AF380" s="1">
        <f t="shared" si="27"/>
        <v>259.66666666666669</v>
      </c>
      <c r="AG380" s="11" t="str">
        <f t="shared" si="28"/>
        <v>APROVADO</v>
      </c>
    </row>
    <row r="381" spans="2:33" ht="25.5" x14ac:dyDescent="0.25">
      <c r="B381" s="5">
        <v>376</v>
      </c>
      <c r="C381" s="6" t="s">
        <v>1893</v>
      </c>
      <c r="D381" s="5" t="s">
        <v>33</v>
      </c>
      <c r="E381" s="7" t="s">
        <v>1894</v>
      </c>
      <c r="F381" s="7" t="s">
        <v>1895</v>
      </c>
      <c r="G381" s="7" t="s">
        <v>36</v>
      </c>
      <c r="H381" s="8">
        <v>120000</v>
      </c>
      <c r="I381" s="7" t="s">
        <v>1896</v>
      </c>
      <c r="J381" s="7" t="s">
        <v>154</v>
      </c>
      <c r="K381" s="7" t="s">
        <v>1897</v>
      </c>
      <c r="L381" s="9" t="s">
        <v>1898</v>
      </c>
      <c r="M381" s="10">
        <v>45322</v>
      </c>
      <c r="N381" s="7" t="s">
        <v>67</v>
      </c>
      <c r="O381" s="7"/>
      <c r="P381" s="20"/>
      <c r="Q381" s="40">
        <v>267</v>
      </c>
      <c r="R381" s="1"/>
      <c r="S381" s="1"/>
      <c r="T381" s="1"/>
      <c r="U381" s="1"/>
      <c r="V381" s="1">
        <v>260</v>
      </c>
      <c r="W381" s="1">
        <v>279</v>
      </c>
      <c r="X381" s="1"/>
      <c r="Y381" s="1"/>
      <c r="Z381" s="1"/>
      <c r="AA381" s="1"/>
      <c r="AB381" s="1"/>
      <c r="AC381" s="1"/>
      <c r="AD381" s="1"/>
      <c r="AE381" s="1">
        <f>COUNT(Q381:AD381)</f>
        <v>3</v>
      </c>
      <c r="AF381" s="1">
        <f t="shared" si="27"/>
        <v>268.66666666666669</v>
      </c>
      <c r="AG381" s="11" t="str">
        <f t="shared" si="28"/>
        <v>APROVADO</v>
      </c>
    </row>
    <row r="382" spans="2:33" ht="25.5" x14ac:dyDescent="0.25">
      <c r="B382" s="5">
        <v>377</v>
      </c>
      <c r="C382" s="6" t="s">
        <v>1899</v>
      </c>
      <c r="D382" s="5" t="s">
        <v>51</v>
      </c>
      <c r="E382" s="7" t="s">
        <v>1900</v>
      </c>
      <c r="F382" s="7" t="s">
        <v>1901</v>
      </c>
      <c r="G382" s="7" t="s">
        <v>107</v>
      </c>
      <c r="H382" s="28">
        <v>66000</v>
      </c>
      <c r="I382" s="13" t="s">
        <v>1902</v>
      </c>
      <c r="J382" s="11" t="s">
        <v>189</v>
      </c>
      <c r="K382" s="13" t="s">
        <v>1903</v>
      </c>
      <c r="L382" s="30" t="s">
        <v>1904</v>
      </c>
      <c r="M382" s="26">
        <v>45322</v>
      </c>
      <c r="N382" s="13" t="s">
        <v>57</v>
      </c>
      <c r="O382" s="13"/>
      <c r="P382" s="20"/>
      <c r="Q382" s="1">
        <v>300</v>
      </c>
      <c r="R382" s="1"/>
      <c r="S382" s="1"/>
      <c r="T382" s="1"/>
      <c r="U382" s="1"/>
      <c r="V382" s="1">
        <v>251</v>
      </c>
      <c r="W382" s="1">
        <v>291</v>
      </c>
      <c r="X382" s="1"/>
      <c r="Y382" s="1"/>
      <c r="Z382" s="1"/>
      <c r="AA382" s="1"/>
      <c r="AB382" s="1"/>
      <c r="AC382" s="20"/>
      <c r="AD382" s="20"/>
      <c r="AE382" s="1">
        <f>COUNT(Q382:AD382)</f>
        <v>3</v>
      </c>
      <c r="AF382" s="1">
        <f t="shared" si="27"/>
        <v>280.66666666666669</v>
      </c>
      <c r="AG382" s="11" t="str">
        <f t="shared" si="28"/>
        <v>APROVADO</v>
      </c>
    </row>
    <row r="383" spans="2:33" x14ac:dyDescent="0.25">
      <c r="B383" s="5">
        <v>378</v>
      </c>
      <c r="C383" s="6" t="s">
        <v>1905</v>
      </c>
      <c r="D383" s="5" t="s">
        <v>51</v>
      </c>
      <c r="E383" s="7" t="s">
        <v>1906</v>
      </c>
      <c r="F383" s="7" t="s">
        <v>1907</v>
      </c>
      <c r="G383" s="7" t="s">
        <v>62</v>
      </c>
      <c r="H383" s="28">
        <v>156000</v>
      </c>
      <c r="I383" s="13" t="s">
        <v>1908</v>
      </c>
      <c r="J383" s="11" t="s">
        <v>348</v>
      </c>
      <c r="K383" s="13" t="s">
        <v>1909</v>
      </c>
      <c r="L383" s="30" t="s">
        <v>1910</v>
      </c>
      <c r="M383" s="26">
        <v>45322</v>
      </c>
      <c r="N383" s="13" t="s">
        <v>57</v>
      </c>
      <c r="O383" s="13"/>
      <c r="P383" s="20"/>
      <c r="Q383" s="1">
        <v>340</v>
      </c>
      <c r="R383" s="1"/>
      <c r="S383" s="1"/>
      <c r="T383" s="1"/>
      <c r="U383" s="1"/>
      <c r="V383" s="1">
        <v>340</v>
      </c>
      <c r="W383" s="1">
        <v>340</v>
      </c>
      <c r="X383" s="1"/>
      <c r="Y383" s="1"/>
      <c r="Z383" s="1"/>
      <c r="AA383" s="1"/>
      <c r="AB383" s="1"/>
      <c r="AC383" s="20"/>
      <c r="AD383" s="20"/>
      <c r="AE383" s="1">
        <f>COUNT(Q383:AD383)</f>
        <v>3</v>
      </c>
      <c r="AF383" s="1">
        <f t="shared" si="27"/>
        <v>340</v>
      </c>
      <c r="AG383" s="11" t="str">
        <f t="shared" si="28"/>
        <v>APROVADO</v>
      </c>
    </row>
    <row r="384" spans="2:33" x14ac:dyDescent="0.25">
      <c r="B384" s="5">
        <v>379</v>
      </c>
      <c r="C384" s="16" t="s">
        <v>1911</v>
      </c>
      <c r="D384" s="5" t="s">
        <v>51</v>
      </c>
      <c r="E384" s="7" t="s">
        <v>1906</v>
      </c>
      <c r="F384" s="7" t="s">
        <v>1912</v>
      </c>
      <c r="G384" s="7" t="s">
        <v>174</v>
      </c>
      <c r="H384" s="28">
        <v>180000</v>
      </c>
      <c r="I384" s="13" t="s">
        <v>1908</v>
      </c>
      <c r="J384" s="11" t="s">
        <v>348</v>
      </c>
      <c r="K384" s="13" t="s">
        <v>1909</v>
      </c>
      <c r="L384" s="30" t="s">
        <v>1910</v>
      </c>
      <c r="M384" s="26">
        <v>45322</v>
      </c>
      <c r="N384" s="13" t="s">
        <v>226</v>
      </c>
      <c r="O384" s="13" t="s">
        <v>227</v>
      </c>
      <c r="P384" s="20"/>
      <c r="Q384" s="1">
        <v>0</v>
      </c>
      <c r="R384" s="1">
        <v>0</v>
      </c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0"/>
      <c r="AD384" s="20"/>
      <c r="AE384" s="20"/>
      <c r="AF384" s="1">
        <f t="shared" si="27"/>
        <v>0</v>
      </c>
      <c r="AG384" s="11" t="str">
        <f t="shared" si="28"/>
        <v>REPROVADO</v>
      </c>
    </row>
    <row r="385" spans="2:33" x14ac:dyDescent="0.25">
      <c r="B385" s="5">
        <v>380</v>
      </c>
      <c r="C385" s="6" t="s">
        <v>1913</v>
      </c>
      <c r="D385" s="5" t="s">
        <v>51</v>
      </c>
      <c r="E385" s="7" t="s">
        <v>1906</v>
      </c>
      <c r="F385" s="7" t="s">
        <v>1914</v>
      </c>
      <c r="G385" s="7" t="s">
        <v>174</v>
      </c>
      <c r="H385" s="28">
        <v>100000</v>
      </c>
      <c r="I385" s="13" t="s">
        <v>1908</v>
      </c>
      <c r="J385" s="11" t="s">
        <v>348</v>
      </c>
      <c r="K385" s="13" t="s">
        <v>1909</v>
      </c>
      <c r="L385" s="30" t="s">
        <v>1910</v>
      </c>
      <c r="M385" s="26">
        <v>45322</v>
      </c>
      <c r="N385" s="13" t="s">
        <v>57</v>
      </c>
      <c r="O385" s="13"/>
      <c r="P385" s="20"/>
      <c r="Q385" s="1">
        <v>334</v>
      </c>
      <c r="R385" s="1"/>
      <c r="S385" s="1"/>
      <c r="T385" s="1"/>
      <c r="U385" s="1"/>
      <c r="V385" s="1"/>
      <c r="W385" s="1"/>
      <c r="X385" s="1"/>
      <c r="Y385" s="1"/>
      <c r="Z385" s="1"/>
      <c r="AA385" s="1">
        <v>252</v>
      </c>
      <c r="AB385" s="1"/>
      <c r="AC385" s="20">
        <v>334</v>
      </c>
      <c r="AD385" s="20"/>
      <c r="AE385" s="1">
        <f>COUNT(Q385:AD385)</f>
        <v>3</v>
      </c>
      <c r="AF385" s="1">
        <f t="shared" si="27"/>
        <v>306.66666666666669</v>
      </c>
      <c r="AG385" s="11" t="str">
        <f t="shared" si="28"/>
        <v>APROVADO</v>
      </c>
    </row>
    <row r="386" spans="2:33" ht="25.5" x14ac:dyDescent="0.25">
      <c r="B386" s="5">
        <v>381</v>
      </c>
      <c r="C386" s="6" t="s">
        <v>1915</v>
      </c>
      <c r="D386" s="5" t="s">
        <v>33</v>
      </c>
      <c r="E386" s="5" t="s">
        <v>1916</v>
      </c>
      <c r="F386" s="5" t="s">
        <v>1917</v>
      </c>
      <c r="G386" s="7" t="s">
        <v>36</v>
      </c>
      <c r="H386" s="8">
        <v>64900</v>
      </c>
      <c r="I386" s="7" t="s">
        <v>1908</v>
      </c>
      <c r="J386" s="7" t="s">
        <v>348</v>
      </c>
      <c r="K386" s="7" t="s">
        <v>1918</v>
      </c>
      <c r="L386" s="9" t="s">
        <v>1919</v>
      </c>
      <c r="M386" s="10">
        <v>45322</v>
      </c>
      <c r="N386" s="5" t="s">
        <v>67</v>
      </c>
      <c r="O386" s="7"/>
      <c r="P386" s="20"/>
      <c r="Q386" s="39">
        <v>340</v>
      </c>
      <c r="R386" s="1">
        <v>222</v>
      </c>
      <c r="S386" s="1"/>
      <c r="T386" s="1"/>
      <c r="U386" s="1"/>
      <c r="V386" s="1"/>
      <c r="W386" s="1">
        <v>340</v>
      </c>
      <c r="X386" s="1"/>
      <c r="Y386" s="1"/>
      <c r="Z386" s="1"/>
      <c r="AA386" s="1"/>
      <c r="AB386" s="1"/>
      <c r="AC386" s="1"/>
      <c r="AD386" s="1"/>
      <c r="AE386" s="1">
        <f>COUNT(Q386:AD386)</f>
        <v>3</v>
      </c>
      <c r="AF386" s="1">
        <f t="shared" si="27"/>
        <v>300.66666666666669</v>
      </c>
      <c r="AG386" s="11" t="str">
        <f t="shared" si="28"/>
        <v>APROVADO</v>
      </c>
    </row>
    <row r="387" spans="2:33" x14ac:dyDescent="0.25">
      <c r="B387" s="5">
        <v>382</v>
      </c>
      <c r="C387" s="27" t="s">
        <v>1920</v>
      </c>
      <c r="D387" s="5" t="s">
        <v>51</v>
      </c>
      <c r="E387" s="7" t="s">
        <v>1921</v>
      </c>
      <c r="F387" s="7" t="s">
        <v>221</v>
      </c>
      <c r="G387" s="7" t="s">
        <v>36</v>
      </c>
      <c r="H387" s="28">
        <v>85449.78</v>
      </c>
      <c r="I387" s="13" t="s">
        <v>1922</v>
      </c>
      <c r="J387" s="11" t="s">
        <v>348</v>
      </c>
      <c r="K387" s="13" t="s">
        <v>1923</v>
      </c>
      <c r="L387" s="30" t="s">
        <v>1924</v>
      </c>
      <c r="M387" s="26">
        <v>45322</v>
      </c>
      <c r="N387" s="13" t="s">
        <v>41</v>
      </c>
      <c r="O387" s="13"/>
      <c r="P387" s="20"/>
      <c r="Q387" s="1">
        <v>139</v>
      </c>
      <c r="R387" s="1">
        <v>180</v>
      </c>
      <c r="S387" s="1"/>
      <c r="T387" s="1">
        <v>183</v>
      </c>
      <c r="U387" s="1"/>
      <c r="V387" s="1"/>
      <c r="W387" s="1"/>
      <c r="X387" s="1"/>
      <c r="Y387" s="1"/>
      <c r="Z387" s="1"/>
      <c r="AA387" s="1"/>
      <c r="AB387" s="1"/>
      <c r="AC387" s="20"/>
      <c r="AD387" s="20"/>
      <c r="AE387" s="1">
        <f>COUNT(Q387:AD387)</f>
        <v>3</v>
      </c>
      <c r="AF387" s="1">
        <f t="shared" si="27"/>
        <v>167.33333333333334</v>
      </c>
      <c r="AG387" s="11" t="str">
        <f t="shared" si="28"/>
        <v>REPROVADO</v>
      </c>
    </row>
    <row r="388" spans="2:33" x14ac:dyDescent="0.25">
      <c r="B388" s="5">
        <v>383</v>
      </c>
      <c r="C388" s="16" t="s">
        <v>1925</v>
      </c>
      <c r="D388" s="5" t="s">
        <v>33</v>
      </c>
      <c r="E388" s="5" t="s">
        <v>1926</v>
      </c>
      <c r="F388" s="5" t="s">
        <v>1927</v>
      </c>
      <c r="G388" s="7" t="s">
        <v>36</v>
      </c>
      <c r="H388" s="17">
        <v>334582.09999999998</v>
      </c>
      <c r="I388" s="7" t="s">
        <v>290</v>
      </c>
      <c r="J388" s="7" t="s">
        <v>154</v>
      </c>
      <c r="K388" s="7" t="s">
        <v>1928</v>
      </c>
      <c r="L388" s="9" t="s">
        <v>1929</v>
      </c>
      <c r="M388" s="10">
        <v>45322</v>
      </c>
      <c r="N388" s="7" t="s">
        <v>82</v>
      </c>
      <c r="O388" s="7" t="s">
        <v>1640</v>
      </c>
      <c r="P388" s="20"/>
      <c r="Q388" s="40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 t="e">
        <f t="shared" si="27"/>
        <v>#DIV/0!</v>
      </c>
      <c r="AG388" s="11" t="e">
        <f t="shared" si="28"/>
        <v>#DIV/0!</v>
      </c>
    </row>
    <row r="389" spans="2:33" x14ac:dyDescent="0.25">
      <c r="B389" s="5">
        <v>384</v>
      </c>
      <c r="C389" s="16" t="s">
        <v>1930</v>
      </c>
      <c r="D389" s="5" t="s">
        <v>51</v>
      </c>
      <c r="E389" s="7" t="s">
        <v>1931</v>
      </c>
      <c r="F389" s="7" t="s">
        <v>1932</v>
      </c>
      <c r="G389" s="7" t="s">
        <v>36</v>
      </c>
      <c r="H389" s="28">
        <v>350000</v>
      </c>
      <c r="I389" s="13" t="s">
        <v>1933</v>
      </c>
      <c r="J389" s="11" t="s">
        <v>115</v>
      </c>
      <c r="K389" s="13" t="s">
        <v>1934</v>
      </c>
      <c r="L389" s="30" t="s">
        <v>1935</v>
      </c>
      <c r="M389" s="26">
        <v>45322</v>
      </c>
      <c r="N389" s="13" t="s">
        <v>226</v>
      </c>
      <c r="O389" s="13" t="s">
        <v>227</v>
      </c>
      <c r="P389" s="20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0"/>
      <c r="AD389" s="20"/>
      <c r="AE389" s="20"/>
      <c r="AF389" s="1" t="e">
        <f t="shared" ref="AF389:AF452" si="31">AVERAGE(Q389:AD389)</f>
        <v>#DIV/0!</v>
      </c>
      <c r="AG389" s="11" t="e">
        <f t="shared" ref="AG389:AG452" si="32">IF(AF389&gt;=$AG$1,"APROVADO","REPROVADO")</f>
        <v>#DIV/0!</v>
      </c>
    </row>
    <row r="390" spans="2:33" ht="25.5" x14ac:dyDescent="0.25">
      <c r="B390" s="5">
        <v>385</v>
      </c>
      <c r="C390" s="16" t="s">
        <v>1936</v>
      </c>
      <c r="D390" s="5" t="s">
        <v>33</v>
      </c>
      <c r="E390" s="5" t="s">
        <v>1937</v>
      </c>
      <c r="F390" s="5" t="s">
        <v>1938</v>
      </c>
      <c r="G390" s="7" t="s">
        <v>36</v>
      </c>
      <c r="H390" s="17">
        <v>3000000</v>
      </c>
      <c r="I390" s="7" t="s">
        <v>1939</v>
      </c>
      <c r="J390" s="5" t="s">
        <v>597</v>
      </c>
      <c r="K390" s="5" t="s">
        <v>1940</v>
      </c>
      <c r="L390" s="9" t="s">
        <v>1941</v>
      </c>
      <c r="M390" s="10">
        <v>45322</v>
      </c>
      <c r="N390" s="7" t="s">
        <v>82</v>
      </c>
      <c r="O390" s="7" t="s">
        <v>845</v>
      </c>
      <c r="P390" s="20"/>
      <c r="Q390" s="40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 t="e">
        <f t="shared" si="31"/>
        <v>#DIV/0!</v>
      </c>
      <c r="AG390" s="11" t="e">
        <f t="shared" si="32"/>
        <v>#DIV/0!</v>
      </c>
    </row>
    <row r="391" spans="2:33" ht="25.5" x14ac:dyDescent="0.25">
      <c r="B391" s="5">
        <v>386</v>
      </c>
      <c r="C391" s="16" t="s">
        <v>1942</v>
      </c>
      <c r="D391" s="5" t="s">
        <v>33</v>
      </c>
      <c r="E391" s="7" t="s">
        <v>1937</v>
      </c>
      <c r="F391" s="7" t="s">
        <v>1943</v>
      </c>
      <c r="G391" s="7" t="s">
        <v>36</v>
      </c>
      <c r="H391" s="8">
        <v>3000000</v>
      </c>
      <c r="I391" s="7" t="s">
        <v>1939</v>
      </c>
      <c r="J391" s="5" t="s">
        <v>597</v>
      </c>
      <c r="K391" s="7" t="s">
        <v>1944</v>
      </c>
      <c r="L391" s="9" t="s">
        <v>1941</v>
      </c>
      <c r="M391" s="10">
        <v>45322</v>
      </c>
      <c r="N391" s="7" t="s">
        <v>82</v>
      </c>
      <c r="O391" s="7" t="s">
        <v>845</v>
      </c>
      <c r="P391" s="20"/>
      <c r="Q391" s="40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 t="e">
        <f t="shared" si="31"/>
        <v>#DIV/0!</v>
      </c>
      <c r="AG391" s="11" t="e">
        <f t="shared" si="32"/>
        <v>#DIV/0!</v>
      </c>
    </row>
    <row r="392" spans="2:33" ht="25.5" x14ac:dyDescent="0.25">
      <c r="B392" s="5">
        <v>387</v>
      </c>
      <c r="C392" s="6" t="s">
        <v>1945</v>
      </c>
      <c r="D392" s="5" t="s">
        <v>33</v>
      </c>
      <c r="E392" s="5" t="s">
        <v>1946</v>
      </c>
      <c r="F392" s="5" t="s">
        <v>1947</v>
      </c>
      <c r="G392" s="7" t="s">
        <v>107</v>
      </c>
      <c r="H392" s="8">
        <v>79200</v>
      </c>
      <c r="I392" s="7" t="s">
        <v>728</v>
      </c>
      <c r="J392" s="7" t="s">
        <v>123</v>
      </c>
      <c r="K392" s="7" t="s">
        <v>1948</v>
      </c>
      <c r="L392" s="9" t="s">
        <v>1949</v>
      </c>
      <c r="M392" s="10">
        <v>45322</v>
      </c>
      <c r="N392" s="5" t="s">
        <v>67</v>
      </c>
      <c r="O392" s="7"/>
      <c r="P392" s="20"/>
      <c r="Q392" s="39">
        <v>310</v>
      </c>
      <c r="R392" s="1">
        <v>250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>
        <v>336</v>
      </c>
      <c r="AD392" s="1"/>
      <c r="AE392" s="1">
        <f>COUNT(Q392:AD392)</f>
        <v>3</v>
      </c>
      <c r="AF392" s="1">
        <f t="shared" si="31"/>
        <v>298.66666666666669</v>
      </c>
      <c r="AG392" s="11" t="str">
        <f t="shared" si="32"/>
        <v>APROVADO</v>
      </c>
    </row>
    <row r="393" spans="2:33" ht="38.25" x14ac:dyDescent="0.25">
      <c r="B393" s="5">
        <v>388</v>
      </c>
      <c r="C393" s="6" t="s">
        <v>1950</v>
      </c>
      <c r="D393" s="5" t="s">
        <v>33</v>
      </c>
      <c r="E393" s="7" t="s">
        <v>1951</v>
      </c>
      <c r="F393" s="7" t="s">
        <v>1952</v>
      </c>
      <c r="G393" s="7" t="s">
        <v>36</v>
      </c>
      <c r="H393" s="8">
        <v>40500</v>
      </c>
      <c r="I393" s="7" t="s">
        <v>1939</v>
      </c>
      <c r="J393" s="5" t="s">
        <v>597</v>
      </c>
      <c r="K393" s="7" t="s">
        <v>1953</v>
      </c>
      <c r="L393" s="9" t="s">
        <v>1954</v>
      </c>
      <c r="M393" s="10">
        <v>45322</v>
      </c>
      <c r="N393" s="7" t="s">
        <v>67</v>
      </c>
      <c r="O393" s="9"/>
      <c r="P393" s="20" t="s">
        <v>1955</v>
      </c>
      <c r="Q393" s="40">
        <v>340</v>
      </c>
      <c r="R393" s="1"/>
      <c r="S393" s="1"/>
      <c r="T393" s="1"/>
      <c r="U393" s="1"/>
      <c r="V393" s="1"/>
      <c r="W393" s="1"/>
      <c r="X393" s="1">
        <v>340</v>
      </c>
      <c r="Y393" s="1">
        <v>340</v>
      </c>
      <c r="Z393" s="1"/>
      <c r="AA393" s="1"/>
      <c r="AB393" s="1"/>
      <c r="AC393" s="1"/>
      <c r="AD393" s="1"/>
      <c r="AE393" s="1">
        <f>COUNT(Q393:AD393)</f>
        <v>3</v>
      </c>
      <c r="AF393" s="1">
        <f t="shared" si="31"/>
        <v>340</v>
      </c>
      <c r="AG393" s="11" t="str">
        <f t="shared" si="32"/>
        <v>APROVADO</v>
      </c>
    </row>
    <row r="394" spans="2:33" ht="51" x14ac:dyDescent="0.25">
      <c r="B394" s="5">
        <v>389</v>
      </c>
      <c r="C394" s="16" t="s">
        <v>1956</v>
      </c>
      <c r="D394" s="5" t="s">
        <v>33</v>
      </c>
      <c r="E394" s="5" t="s">
        <v>1937</v>
      </c>
      <c r="F394" s="5" t="s">
        <v>1957</v>
      </c>
      <c r="G394" s="5" t="s">
        <v>36</v>
      </c>
      <c r="H394" s="17">
        <v>1000000</v>
      </c>
      <c r="I394" s="7" t="s">
        <v>1939</v>
      </c>
      <c r="J394" s="5" t="s">
        <v>597</v>
      </c>
      <c r="K394" s="5" t="s">
        <v>1940</v>
      </c>
      <c r="L394" s="9" t="s">
        <v>1941</v>
      </c>
      <c r="M394" s="10">
        <v>45322</v>
      </c>
      <c r="N394" s="7" t="s">
        <v>82</v>
      </c>
      <c r="O394" s="7" t="s">
        <v>845</v>
      </c>
      <c r="P394" s="20"/>
      <c r="Q394" s="40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 t="e">
        <f t="shared" si="31"/>
        <v>#DIV/0!</v>
      </c>
      <c r="AG394" s="11" t="e">
        <f t="shared" si="32"/>
        <v>#DIV/0!</v>
      </c>
    </row>
    <row r="395" spans="2:33" ht="25.5" x14ac:dyDescent="0.25">
      <c r="B395" s="5">
        <v>390</v>
      </c>
      <c r="C395" s="27" t="s">
        <v>1958</v>
      </c>
      <c r="D395" s="5" t="s">
        <v>33</v>
      </c>
      <c r="E395" s="7" t="s">
        <v>1959</v>
      </c>
      <c r="F395" s="7" t="s">
        <v>1960</v>
      </c>
      <c r="G395" s="7" t="s">
        <v>107</v>
      </c>
      <c r="H395" s="8">
        <v>1851640</v>
      </c>
      <c r="I395" s="7" t="s">
        <v>290</v>
      </c>
      <c r="J395" s="7" t="s">
        <v>154</v>
      </c>
      <c r="K395" s="7" t="s">
        <v>1961</v>
      </c>
      <c r="L395" s="9" t="s">
        <v>1962</v>
      </c>
      <c r="M395" s="10">
        <v>45322</v>
      </c>
      <c r="N395" s="7" t="s">
        <v>41</v>
      </c>
      <c r="O395" s="7"/>
      <c r="P395" s="20"/>
      <c r="Q395" s="40">
        <v>332</v>
      </c>
      <c r="R395" s="1">
        <v>239</v>
      </c>
      <c r="S395" s="1"/>
      <c r="T395" s="1">
        <v>247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>
        <f>COUNT(Q395:AD395)</f>
        <v>3</v>
      </c>
      <c r="AF395" s="1">
        <f t="shared" si="31"/>
        <v>272.66666666666669</v>
      </c>
      <c r="AG395" s="11" t="str">
        <f t="shared" si="32"/>
        <v>APROVADO</v>
      </c>
    </row>
    <row r="396" spans="2:33" ht="25.5" x14ac:dyDescent="0.25">
      <c r="B396" s="5">
        <v>391</v>
      </c>
      <c r="C396" s="6" t="s">
        <v>1963</v>
      </c>
      <c r="D396" s="5" t="s">
        <v>33</v>
      </c>
      <c r="E396" s="5" t="s">
        <v>1964</v>
      </c>
      <c r="F396" s="5" t="s">
        <v>1965</v>
      </c>
      <c r="G396" s="7" t="s">
        <v>36</v>
      </c>
      <c r="H396" s="17">
        <v>180000</v>
      </c>
      <c r="I396" s="7" t="s">
        <v>728</v>
      </c>
      <c r="J396" s="7" t="s">
        <v>123</v>
      </c>
      <c r="K396" s="5" t="s">
        <v>1966</v>
      </c>
      <c r="L396" s="31" t="s">
        <v>1967</v>
      </c>
      <c r="M396" s="10">
        <v>45322</v>
      </c>
      <c r="N396" s="5" t="s">
        <v>67</v>
      </c>
      <c r="O396" s="7"/>
      <c r="P396" s="20"/>
      <c r="Q396" s="39">
        <v>303</v>
      </c>
      <c r="R396" s="1">
        <v>210</v>
      </c>
      <c r="S396" s="1"/>
      <c r="T396" s="1"/>
      <c r="U396" s="1"/>
      <c r="V396" s="1">
        <v>307</v>
      </c>
      <c r="W396" s="1"/>
      <c r="X396" s="1"/>
      <c r="Y396" s="1"/>
      <c r="Z396" s="1"/>
      <c r="AA396" s="1"/>
      <c r="AB396" s="1"/>
      <c r="AC396" s="1"/>
      <c r="AD396" s="1"/>
      <c r="AE396" s="1">
        <f>COUNT(Q396:AD396)</f>
        <v>3</v>
      </c>
      <c r="AF396" s="1">
        <f t="shared" si="31"/>
        <v>273.33333333333331</v>
      </c>
      <c r="AG396" s="11" t="str">
        <f t="shared" si="32"/>
        <v>APROVADO</v>
      </c>
    </row>
    <row r="397" spans="2:33" x14ac:dyDescent="0.25">
      <c r="B397" s="5">
        <v>392</v>
      </c>
      <c r="C397" s="27" t="s">
        <v>1968</v>
      </c>
      <c r="D397" s="5" t="s">
        <v>51</v>
      </c>
      <c r="E397" s="7" t="s">
        <v>726</v>
      </c>
      <c r="F397" s="7" t="s">
        <v>1969</v>
      </c>
      <c r="G397" s="7" t="s">
        <v>36</v>
      </c>
      <c r="H397" s="28">
        <v>132794.13</v>
      </c>
      <c r="I397" s="13" t="s">
        <v>728</v>
      </c>
      <c r="J397" s="11" t="s">
        <v>123</v>
      </c>
      <c r="K397" s="13" t="s">
        <v>1970</v>
      </c>
      <c r="L397" s="30" t="s">
        <v>1971</v>
      </c>
      <c r="M397" s="26">
        <v>45322</v>
      </c>
      <c r="N397" s="13" t="s">
        <v>82</v>
      </c>
      <c r="O397" s="13" t="s">
        <v>2913</v>
      </c>
      <c r="P397" s="20"/>
      <c r="Q397" s="1">
        <v>230</v>
      </c>
      <c r="R397" s="1">
        <v>220</v>
      </c>
      <c r="S397" s="1"/>
      <c r="T397" s="1">
        <v>207</v>
      </c>
      <c r="U397" s="1"/>
      <c r="V397" s="1"/>
      <c r="W397" s="1"/>
      <c r="X397" s="1"/>
      <c r="Y397" s="1"/>
      <c r="Z397" s="1"/>
      <c r="AA397" s="1"/>
      <c r="AB397" s="1"/>
      <c r="AC397" s="20"/>
      <c r="AD397" s="20"/>
      <c r="AE397" s="1">
        <f>COUNT(Q397:AD397)</f>
        <v>3</v>
      </c>
      <c r="AF397" s="1">
        <f t="shared" si="31"/>
        <v>219</v>
      </c>
      <c r="AG397" s="11" t="str">
        <f t="shared" si="32"/>
        <v>APROVADO</v>
      </c>
    </row>
    <row r="398" spans="2:33" x14ac:dyDescent="0.25">
      <c r="B398" s="5">
        <v>393</v>
      </c>
      <c r="C398" s="27" t="s">
        <v>1972</v>
      </c>
      <c r="D398" s="5" t="s">
        <v>33</v>
      </c>
      <c r="E398" s="7" t="s">
        <v>1973</v>
      </c>
      <c r="F398" s="7" t="s">
        <v>1974</v>
      </c>
      <c r="G398" s="7" t="s">
        <v>36</v>
      </c>
      <c r="H398" s="8">
        <v>552712</v>
      </c>
      <c r="I398" s="7" t="s">
        <v>425</v>
      </c>
      <c r="J398" s="7" t="s">
        <v>348</v>
      </c>
      <c r="K398" s="7" t="s">
        <v>1975</v>
      </c>
      <c r="L398" s="9" t="s">
        <v>1976</v>
      </c>
      <c r="M398" s="10">
        <v>45322</v>
      </c>
      <c r="N398" s="7" t="s">
        <v>41</v>
      </c>
      <c r="O398" s="7"/>
      <c r="P398" s="20"/>
      <c r="Q398" s="40">
        <v>321</v>
      </c>
      <c r="R398" s="1">
        <v>194</v>
      </c>
      <c r="S398" s="1"/>
      <c r="T398" s="1">
        <v>194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f>COUNT(Q398:AD398)</f>
        <v>3</v>
      </c>
      <c r="AF398" s="1">
        <f t="shared" si="31"/>
        <v>236.33333333333334</v>
      </c>
      <c r="AG398" s="11" t="str">
        <f t="shared" si="32"/>
        <v>APROVADO</v>
      </c>
    </row>
    <row r="399" spans="2:33" x14ac:dyDescent="0.25">
      <c r="B399" s="5">
        <v>394</v>
      </c>
      <c r="C399" s="16" t="s">
        <v>1977</v>
      </c>
      <c r="D399" s="5" t="s">
        <v>33</v>
      </c>
      <c r="E399" s="7" t="s">
        <v>1973</v>
      </c>
      <c r="F399" s="7" t="s">
        <v>1978</v>
      </c>
      <c r="G399" s="7" t="s">
        <v>36</v>
      </c>
      <c r="H399" s="8">
        <v>1489280</v>
      </c>
      <c r="I399" s="7" t="s">
        <v>425</v>
      </c>
      <c r="J399" s="7" t="s">
        <v>348</v>
      </c>
      <c r="K399" s="7" t="s">
        <v>1975</v>
      </c>
      <c r="L399" s="9" t="s">
        <v>1976</v>
      </c>
      <c r="M399" s="10">
        <v>45322</v>
      </c>
      <c r="N399" s="13" t="s">
        <v>226</v>
      </c>
      <c r="O399" s="7" t="s">
        <v>600</v>
      </c>
      <c r="P399" s="20"/>
      <c r="Q399" s="40">
        <v>0</v>
      </c>
      <c r="R399" s="1">
        <v>0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>
        <f t="shared" si="31"/>
        <v>0</v>
      </c>
      <c r="AG399" s="11" t="str">
        <f t="shared" si="32"/>
        <v>REPROVADO</v>
      </c>
    </row>
    <row r="400" spans="2:33" ht="25.5" x14ac:dyDescent="0.25">
      <c r="B400" s="5">
        <v>395</v>
      </c>
      <c r="C400" s="27" t="s">
        <v>1979</v>
      </c>
      <c r="D400" s="5" t="s">
        <v>33</v>
      </c>
      <c r="E400" s="7" t="s">
        <v>1959</v>
      </c>
      <c r="F400" s="7" t="s">
        <v>1980</v>
      </c>
      <c r="G400" s="7" t="s">
        <v>107</v>
      </c>
      <c r="H400" s="8">
        <v>254000</v>
      </c>
      <c r="I400" s="7" t="s">
        <v>290</v>
      </c>
      <c r="J400" s="7" t="s">
        <v>154</v>
      </c>
      <c r="K400" s="7" t="s">
        <v>1961</v>
      </c>
      <c r="L400" s="9" t="s">
        <v>1962</v>
      </c>
      <c r="M400" s="10">
        <v>45322</v>
      </c>
      <c r="N400" s="7" t="s">
        <v>41</v>
      </c>
      <c r="O400" s="7"/>
      <c r="P400" s="20"/>
      <c r="Q400" s="40">
        <v>340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>
        <v>340</v>
      </c>
      <c r="AC400" s="1">
        <v>302</v>
      </c>
      <c r="AD400" s="1"/>
      <c r="AE400" s="1">
        <f t="shared" ref="AE400:AE414" si="33">COUNT(Q400:AD400)</f>
        <v>3</v>
      </c>
      <c r="AF400" s="1">
        <f t="shared" si="31"/>
        <v>327.33333333333331</v>
      </c>
      <c r="AG400" s="11" t="str">
        <f t="shared" si="32"/>
        <v>APROVADO</v>
      </c>
    </row>
    <row r="401" spans="2:33" ht="25.5" x14ac:dyDescent="0.25">
      <c r="B401" s="5">
        <v>396</v>
      </c>
      <c r="C401" s="6" t="s">
        <v>1981</v>
      </c>
      <c r="D401" s="5" t="s">
        <v>33</v>
      </c>
      <c r="E401" s="5" t="s">
        <v>1946</v>
      </c>
      <c r="F401" s="5" t="s">
        <v>1982</v>
      </c>
      <c r="G401" s="7" t="s">
        <v>107</v>
      </c>
      <c r="H401" s="8">
        <v>148800</v>
      </c>
      <c r="I401" s="7" t="s">
        <v>728</v>
      </c>
      <c r="J401" s="7" t="s">
        <v>123</v>
      </c>
      <c r="K401" s="7" t="s">
        <v>1948</v>
      </c>
      <c r="L401" s="9" t="s">
        <v>1949</v>
      </c>
      <c r="M401" s="10">
        <v>45322</v>
      </c>
      <c r="N401" s="5" t="s">
        <v>67</v>
      </c>
      <c r="O401" s="7"/>
      <c r="P401" s="20"/>
      <c r="Q401" s="39">
        <v>299</v>
      </c>
      <c r="R401" s="1">
        <v>229</v>
      </c>
      <c r="S401" s="1"/>
      <c r="T401" s="1"/>
      <c r="U401" s="1"/>
      <c r="V401" s="1"/>
      <c r="W401" s="1">
        <v>284</v>
      </c>
      <c r="X401" s="1"/>
      <c r="Y401" s="1"/>
      <c r="Z401" s="1"/>
      <c r="AA401" s="1"/>
      <c r="AB401" s="1"/>
      <c r="AC401" s="1"/>
      <c r="AD401" s="1"/>
      <c r="AE401" s="1">
        <f t="shared" si="33"/>
        <v>3</v>
      </c>
      <c r="AF401" s="1">
        <f t="shared" si="31"/>
        <v>270.66666666666669</v>
      </c>
      <c r="AG401" s="11" t="str">
        <f t="shared" si="32"/>
        <v>APROVADO</v>
      </c>
    </row>
    <row r="402" spans="2:33" ht="25.5" x14ac:dyDescent="0.25">
      <c r="B402" s="5">
        <v>397</v>
      </c>
      <c r="C402" s="6" t="s">
        <v>1983</v>
      </c>
      <c r="D402" s="5" t="s">
        <v>33</v>
      </c>
      <c r="E402" s="7" t="s">
        <v>1946</v>
      </c>
      <c r="F402" s="7" t="s">
        <v>1982</v>
      </c>
      <c r="G402" s="7" t="s">
        <v>107</v>
      </c>
      <c r="H402" s="8">
        <v>92400</v>
      </c>
      <c r="I402" s="7" t="s">
        <v>728</v>
      </c>
      <c r="J402" s="7" t="s">
        <v>123</v>
      </c>
      <c r="K402" s="7" t="s">
        <v>1948</v>
      </c>
      <c r="L402" s="9" t="s">
        <v>1949</v>
      </c>
      <c r="M402" s="10">
        <v>45322</v>
      </c>
      <c r="N402" s="7" t="s">
        <v>67</v>
      </c>
      <c r="O402" s="7"/>
      <c r="P402" s="20"/>
      <c r="Q402" s="40">
        <v>304</v>
      </c>
      <c r="R402" s="1"/>
      <c r="S402" s="1"/>
      <c r="T402" s="1"/>
      <c r="U402" s="1"/>
      <c r="V402" s="1"/>
      <c r="W402" s="1"/>
      <c r="X402" s="1">
        <v>316</v>
      </c>
      <c r="Y402" s="1">
        <v>320</v>
      </c>
      <c r="Z402" s="1"/>
      <c r="AA402" s="1"/>
      <c r="AB402" s="1"/>
      <c r="AC402" s="1"/>
      <c r="AD402" s="1"/>
      <c r="AE402" s="1">
        <f t="shared" si="33"/>
        <v>3</v>
      </c>
      <c r="AF402" s="1">
        <f t="shared" si="31"/>
        <v>313.33333333333331</v>
      </c>
      <c r="AG402" s="11" t="str">
        <f t="shared" si="32"/>
        <v>APROVADO</v>
      </c>
    </row>
    <row r="403" spans="2:33" ht="25.5" x14ac:dyDescent="0.25">
      <c r="B403" s="5">
        <v>398</v>
      </c>
      <c r="C403" s="24" t="s">
        <v>1984</v>
      </c>
      <c r="D403" s="5" t="s">
        <v>51</v>
      </c>
      <c r="E403" s="13" t="s">
        <v>1985</v>
      </c>
      <c r="F403" s="13" t="s">
        <v>1986</v>
      </c>
      <c r="G403" s="14" t="s">
        <v>36</v>
      </c>
      <c r="H403" s="28">
        <v>162450</v>
      </c>
      <c r="I403" s="13" t="s">
        <v>1987</v>
      </c>
      <c r="J403" s="11" t="s">
        <v>189</v>
      </c>
      <c r="K403" s="13" t="s">
        <v>1988</v>
      </c>
      <c r="L403" s="30" t="s">
        <v>1989</v>
      </c>
      <c r="M403" s="26">
        <v>45322</v>
      </c>
      <c r="N403" s="13" t="s">
        <v>57</v>
      </c>
      <c r="O403" s="13"/>
      <c r="P403" s="20"/>
      <c r="Q403" s="1">
        <v>260</v>
      </c>
      <c r="R403" s="1"/>
      <c r="S403" s="1"/>
      <c r="T403" s="1"/>
      <c r="U403" s="1"/>
      <c r="V403" s="1">
        <v>284</v>
      </c>
      <c r="W403" s="1">
        <v>279</v>
      </c>
      <c r="X403" s="1"/>
      <c r="Y403" s="1"/>
      <c r="Z403" s="1"/>
      <c r="AA403" s="1"/>
      <c r="AB403" s="1"/>
      <c r="AC403" s="20"/>
      <c r="AD403" s="20"/>
      <c r="AE403" s="1">
        <f t="shared" si="33"/>
        <v>3</v>
      </c>
      <c r="AF403" s="1">
        <f t="shared" si="31"/>
        <v>274.33333333333331</v>
      </c>
      <c r="AG403" s="11" t="str">
        <f t="shared" si="32"/>
        <v>APROVADO</v>
      </c>
    </row>
    <row r="404" spans="2:33" ht="25.5" x14ac:dyDescent="0.25">
      <c r="B404" s="5">
        <v>399</v>
      </c>
      <c r="C404" s="27" t="s">
        <v>1990</v>
      </c>
      <c r="D404" s="5" t="s">
        <v>33</v>
      </c>
      <c r="E404" s="7" t="s">
        <v>1959</v>
      </c>
      <c r="F404" s="7" t="s">
        <v>1991</v>
      </c>
      <c r="G404" s="7" t="s">
        <v>36</v>
      </c>
      <c r="H404" s="8">
        <v>1318600</v>
      </c>
      <c r="I404" s="7" t="s">
        <v>290</v>
      </c>
      <c r="J404" s="7" t="s">
        <v>154</v>
      </c>
      <c r="K404" s="7" t="s">
        <v>1961</v>
      </c>
      <c r="L404" s="9" t="s">
        <v>1962</v>
      </c>
      <c r="M404" s="10">
        <v>45322</v>
      </c>
      <c r="N404" s="7" t="s">
        <v>41</v>
      </c>
      <c r="O404" s="7"/>
      <c r="P404" s="20"/>
      <c r="Q404" s="40">
        <v>294</v>
      </c>
      <c r="R404" s="1">
        <v>218</v>
      </c>
      <c r="S404" s="1"/>
      <c r="T404" s="1">
        <v>254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f t="shared" si="33"/>
        <v>3</v>
      </c>
      <c r="AF404" s="1">
        <f t="shared" si="31"/>
        <v>255.33333333333334</v>
      </c>
      <c r="AG404" s="11" t="str">
        <f t="shared" si="32"/>
        <v>APROVADO</v>
      </c>
    </row>
    <row r="405" spans="2:33" ht="29.25" customHeight="1" x14ac:dyDescent="0.25">
      <c r="B405" s="5">
        <v>400</v>
      </c>
      <c r="C405" s="27" t="s">
        <v>1992</v>
      </c>
      <c r="D405" s="5" t="s">
        <v>33</v>
      </c>
      <c r="E405" s="7" t="s">
        <v>1993</v>
      </c>
      <c r="F405" s="7" t="s">
        <v>1994</v>
      </c>
      <c r="G405" s="7" t="s">
        <v>174</v>
      </c>
      <c r="H405" s="8">
        <v>206291.5</v>
      </c>
      <c r="I405" s="7" t="s">
        <v>1995</v>
      </c>
      <c r="J405" s="7" t="s">
        <v>1414</v>
      </c>
      <c r="K405" s="7" t="s">
        <v>1996</v>
      </c>
      <c r="L405" s="9" t="s">
        <v>1997</v>
      </c>
      <c r="M405" s="10">
        <v>45322</v>
      </c>
      <c r="N405" s="7" t="s">
        <v>41</v>
      </c>
      <c r="O405" s="7"/>
      <c r="P405" s="20"/>
      <c r="Q405" s="40">
        <v>340</v>
      </c>
      <c r="R405" s="1">
        <v>189</v>
      </c>
      <c r="S405" s="1"/>
      <c r="T405" s="1"/>
      <c r="U405" s="1"/>
      <c r="V405" s="1"/>
      <c r="W405" s="1"/>
      <c r="X405" s="1"/>
      <c r="Y405" s="1"/>
      <c r="Z405" s="1"/>
      <c r="AA405" s="1"/>
      <c r="AB405" s="1">
        <v>321</v>
      </c>
      <c r="AC405" s="1"/>
      <c r="AD405" s="1"/>
      <c r="AE405" s="1">
        <f t="shared" si="33"/>
        <v>3</v>
      </c>
      <c r="AF405" s="1">
        <f t="shared" si="31"/>
        <v>283.33333333333331</v>
      </c>
      <c r="AG405" s="11" t="str">
        <f t="shared" si="32"/>
        <v>APROVADO</v>
      </c>
    </row>
    <row r="406" spans="2:33" ht="38.25" x14ac:dyDescent="0.25">
      <c r="B406" s="5">
        <v>401</v>
      </c>
      <c r="C406" s="27" t="s">
        <v>1998</v>
      </c>
      <c r="D406" s="5" t="s">
        <v>33</v>
      </c>
      <c r="E406" s="7" t="s">
        <v>1999</v>
      </c>
      <c r="F406" s="7" t="s">
        <v>2000</v>
      </c>
      <c r="G406" s="7" t="s">
        <v>36</v>
      </c>
      <c r="H406" s="8">
        <v>250000</v>
      </c>
      <c r="I406" s="7" t="s">
        <v>94</v>
      </c>
      <c r="J406" s="5" t="s">
        <v>95</v>
      </c>
      <c r="K406" s="7" t="s">
        <v>2001</v>
      </c>
      <c r="L406" s="9" t="s">
        <v>2002</v>
      </c>
      <c r="M406" s="10">
        <v>45322</v>
      </c>
      <c r="N406" s="7" t="s">
        <v>41</v>
      </c>
      <c r="O406" s="7"/>
      <c r="P406" s="20"/>
      <c r="Q406" s="40">
        <v>312</v>
      </c>
      <c r="R406" s="1">
        <v>161</v>
      </c>
      <c r="S406" s="1"/>
      <c r="T406" s="1">
        <v>202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f t="shared" si="33"/>
        <v>3</v>
      </c>
      <c r="AF406" s="1">
        <f t="shared" si="31"/>
        <v>225</v>
      </c>
      <c r="AG406" s="11" t="str">
        <f t="shared" si="32"/>
        <v>APROVADO</v>
      </c>
    </row>
    <row r="407" spans="2:33" ht="38.25" x14ac:dyDescent="0.25">
      <c r="B407" s="5">
        <v>402</v>
      </c>
      <c r="C407" s="27" t="s">
        <v>2003</v>
      </c>
      <c r="D407" s="5" t="s">
        <v>33</v>
      </c>
      <c r="E407" s="7" t="s">
        <v>1999</v>
      </c>
      <c r="F407" s="7" t="s">
        <v>2004</v>
      </c>
      <c r="G407" s="7" t="s">
        <v>36</v>
      </c>
      <c r="H407" s="8">
        <v>136400</v>
      </c>
      <c r="I407" s="7" t="s">
        <v>94</v>
      </c>
      <c r="J407" s="5" t="s">
        <v>95</v>
      </c>
      <c r="K407" s="7" t="s">
        <v>2001</v>
      </c>
      <c r="L407" s="9" t="s">
        <v>2002</v>
      </c>
      <c r="M407" s="10">
        <v>45322</v>
      </c>
      <c r="N407" s="7" t="s">
        <v>41</v>
      </c>
      <c r="O407" s="7"/>
      <c r="P407" s="20"/>
      <c r="Q407" s="40">
        <v>340</v>
      </c>
      <c r="R407" s="1">
        <v>195</v>
      </c>
      <c r="S407" s="1"/>
      <c r="T407" s="1">
        <v>208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f t="shared" si="33"/>
        <v>3</v>
      </c>
      <c r="AF407" s="1">
        <f t="shared" si="31"/>
        <v>247.66666666666666</v>
      </c>
      <c r="AG407" s="11" t="str">
        <f t="shared" si="32"/>
        <v>APROVADO</v>
      </c>
    </row>
    <row r="408" spans="2:33" ht="25.5" x14ac:dyDescent="0.25">
      <c r="B408" s="5">
        <v>403</v>
      </c>
      <c r="C408" s="27" t="s">
        <v>2005</v>
      </c>
      <c r="D408" s="5" t="s">
        <v>51</v>
      </c>
      <c r="E408" s="7" t="s">
        <v>2006</v>
      </c>
      <c r="F408" s="7" t="s">
        <v>2007</v>
      </c>
      <c r="G408" s="7" t="s">
        <v>107</v>
      </c>
      <c r="H408" s="28">
        <v>200000</v>
      </c>
      <c r="I408" s="13" t="s">
        <v>2008</v>
      </c>
      <c r="J408" s="11" t="s">
        <v>141</v>
      </c>
      <c r="K408" s="13" t="s">
        <v>2009</v>
      </c>
      <c r="L408" s="30" t="s">
        <v>2010</v>
      </c>
      <c r="M408" s="26">
        <v>45322</v>
      </c>
      <c r="N408" s="9" t="s">
        <v>41</v>
      </c>
      <c r="O408" s="13"/>
      <c r="P408" s="20"/>
      <c r="Q408" s="1">
        <v>322</v>
      </c>
      <c r="R408" s="1">
        <v>175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>
        <v>340</v>
      </c>
      <c r="AD408" s="20"/>
      <c r="AE408" s="1">
        <f t="shared" si="33"/>
        <v>3</v>
      </c>
      <c r="AF408" s="1">
        <f t="shared" si="31"/>
        <v>279</v>
      </c>
      <c r="AG408" s="11" t="str">
        <f t="shared" si="32"/>
        <v>APROVADO</v>
      </c>
    </row>
    <row r="409" spans="2:33" x14ac:dyDescent="0.25">
      <c r="B409" s="5">
        <v>404</v>
      </c>
      <c r="C409" s="27" t="s">
        <v>2011</v>
      </c>
      <c r="D409" s="5" t="s">
        <v>33</v>
      </c>
      <c r="E409" s="7" t="s">
        <v>2012</v>
      </c>
      <c r="F409" s="7" t="s">
        <v>2013</v>
      </c>
      <c r="G409" s="7" t="s">
        <v>36</v>
      </c>
      <c r="H409" s="8">
        <v>337705.54</v>
      </c>
      <c r="I409" s="7" t="s">
        <v>921</v>
      </c>
      <c r="J409" s="7" t="s">
        <v>162</v>
      </c>
      <c r="K409" s="7" t="s">
        <v>2014</v>
      </c>
      <c r="L409" s="9" t="s">
        <v>2015</v>
      </c>
      <c r="M409" s="10">
        <v>45322</v>
      </c>
      <c r="N409" s="7" t="s">
        <v>41</v>
      </c>
      <c r="O409" s="7" t="s">
        <v>600</v>
      </c>
      <c r="P409" s="20"/>
      <c r="Q409" s="40">
        <v>327</v>
      </c>
      <c r="R409" s="1">
        <v>64</v>
      </c>
      <c r="S409" s="1"/>
      <c r="T409" s="1">
        <v>97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>
        <f t="shared" si="33"/>
        <v>3</v>
      </c>
      <c r="AF409" s="1">
        <f t="shared" si="31"/>
        <v>162.66666666666666</v>
      </c>
      <c r="AG409" s="11" t="str">
        <f t="shared" si="32"/>
        <v>REPROVADO</v>
      </c>
    </row>
    <row r="410" spans="2:33" ht="25.5" x14ac:dyDescent="0.25">
      <c r="B410" s="5">
        <v>405</v>
      </c>
      <c r="C410" s="6" t="s">
        <v>2016</v>
      </c>
      <c r="D410" s="5" t="s">
        <v>33</v>
      </c>
      <c r="E410" s="7" t="s">
        <v>2017</v>
      </c>
      <c r="F410" s="7" t="s">
        <v>2018</v>
      </c>
      <c r="G410" s="7" t="s">
        <v>107</v>
      </c>
      <c r="H410" s="8">
        <v>718800</v>
      </c>
      <c r="I410" s="7" t="s">
        <v>73</v>
      </c>
      <c r="J410" s="7" t="s">
        <v>74</v>
      </c>
      <c r="K410" s="7" t="s">
        <v>2019</v>
      </c>
      <c r="L410" s="9" t="s">
        <v>2020</v>
      </c>
      <c r="M410" s="10">
        <v>45322</v>
      </c>
      <c r="N410" s="7" t="s">
        <v>67</v>
      </c>
      <c r="O410" s="7"/>
      <c r="P410" s="20"/>
      <c r="Q410" s="40">
        <v>257</v>
      </c>
      <c r="R410" s="1"/>
      <c r="S410" s="1"/>
      <c r="T410" s="1"/>
      <c r="U410" s="1"/>
      <c r="V410" s="1"/>
      <c r="W410" s="1">
        <v>275</v>
      </c>
      <c r="X410" s="1"/>
      <c r="Y410" s="1">
        <v>340</v>
      </c>
      <c r="Z410" s="1"/>
      <c r="AA410" s="1"/>
      <c r="AB410" s="1"/>
      <c r="AC410" s="1"/>
      <c r="AD410" s="1"/>
      <c r="AE410" s="1">
        <f t="shared" si="33"/>
        <v>3</v>
      </c>
      <c r="AF410" s="1">
        <f t="shared" si="31"/>
        <v>290.66666666666669</v>
      </c>
      <c r="AG410" s="11" t="str">
        <f t="shared" si="32"/>
        <v>APROVADO</v>
      </c>
    </row>
    <row r="411" spans="2:33" ht="25.5" x14ac:dyDescent="0.25">
      <c r="B411" s="5">
        <v>406</v>
      </c>
      <c r="C411" s="27" t="s">
        <v>2021</v>
      </c>
      <c r="D411" s="5" t="s">
        <v>33</v>
      </c>
      <c r="E411" s="7" t="s">
        <v>2022</v>
      </c>
      <c r="F411" s="7" t="s">
        <v>2023</v>
      </c>
      <c r="G411" s="7" t="s">
        <v>36</v>
      </c>
      <c r="H411" s="8">
        <v>168000</v>
      </c>
      <c r="I411" s="7" t="s">
        <v>2024</v>
      </c>
      <c r="J411" s="7" t="s">
        <v>47</v>
      </c>
      <c r="K411" s="7" t="s">
        <v>2025</v>
      </c>
      <c r="L411" s="9" t="s">
        <v>2026</v>
      </c>
      <c r="M411" s="10">
        <v>45322</v>
      </c>
      <c r="N411" s="7" t="s">
        <v>41</v>
      </c>
      <c r="O411" s="7"/>
      <c r="P411" s="20"/>
      <c r="Q411" s="40">
        <v>340</v>
      </c>
      <c r="R411" s="1">
        <v>177</v>
      </c>
      <c r="S411" s="1"/>
      <c r="T411" s="1">
        <v>203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>
        <f t="shared" si="33"/>
        <v>3</v>
      </c>
      <c r="AF411" s="1">
        <f t="shared" si="31"/>
        <v>240</v>
      </c>
      <c r="AG411" s="11" t="str">
        <f t="shared" si="32"/>
        <v>APROVADO</v>
      </c>
    </row>
    <row r="412" spans="2:33" ht="25.5" x14ac:dyDescent="0.25">
      <c r="B412" s="5">
        <v>407</v>
      </c>
      <c r="C412" s="6" t="s">
        <v>2027</v>
      </c>
      <c r="D412" s="5" t="s">
        <v>33</v>
      </c>
      <c r="E412" s="7" t="s">
        <v>2028</v>
      </c>
      <c r="F412" s="7" t="s">
        <v>2029</v>
      </c>
      <c r="G412" s="7" t="s">
        <v>107</v>
      </c>
      <c r="H412" s="8">
        <v>400000</v>
      </c>
      <c r="I412" s="7" t="s">
        <v>73</v>
      </c>
      <c r="J412" s="5" t="s">
        <v>74</v>
      </c>
      <c r="K412" s="7" t="s">
        <v>2030</v>
      </c>
      <c r="L412" s="9" t="s">
        <v>2031</v>
      </c>
      <c r="M412" s="10">
        <v>45322</v>
      </c>
      <c r="N412" s="7" t="s">
        <v>67</v>
      </c>
      <c r="O412" s="7"/>
      <c r="P412" s="20"/>
      <c r="Q412" s="40">
        <v>285</v>
      </c>
      <c r="R412" s="1"/>
      <c r="S412" s="1"/>
      <c r="T412" s="1"/>
      <c r="U412" s="1"/>
      <c r="V412" s="1"/>
      <c r="W412" s="1"/>
      <c r="X412" s="1">
        <v>320</v>
      </c>
      <c r="Y412" s="1"/>
      <c r="Z412" s="1"/>
      <c r="AA412" s="1"/>
      <c r="AB412" s="1"/>
      <c r="AC412" s="1">
        <v>152</v>
      </c>
      <c r="AD412" s="1"/>
      <c r="AE412" s="1">
        <f t="shared" si="33"/>
        <v>3</v>
      </c>
      <c r="AF412" s="1">
        <f t="shared" si="31"/>
        <v>252.33333333333334</v>
      </c>
      <c r="AG412" s="11" t="str">
        <f t="shared" si="32"/>
        <v>APROVADO</v>
      </c>
    </row>
    <row r="413" spans="2:33" ht="25.5" x14ac:dyDescent="0.25">
      <c r="B413" s="5">
        <v>408</v>
      </c>
      <c r="C413" s="6" t="s">
        <v>2032</v>
      </c>
      <c r="D413" s="5" t="s">
        <v>33</v>
      </c>
      <c r="E413" s="5" t="s">
        <v>2028</v>
      </c>
      <c r="F413" s="5" t="s">
        <v>2033</v>
      </c>
      <c r="G413" s="7" t="s">
        <v>300</v>
      </c>
      <c r="H413" s="8">
        <v>500000</v>
      </c>
      <c r="I413" s="7" t="s">
        <v>73</v>
      </c>
      <c r="J413" s="5" t="s">
        <v>74</v>
      </c>
      <c r="K413" s="7" t="s">
        <v>2030</v>
      </c>
      <c r="L413" s="9" t="s">
        <v>2031</v>
      </c>
      <c r="M413" s="10">
        <v>45322</v>
      </c>
      <c r="N413" s="5" t="s">
        <v>67</v>
      </c>
      <c r="O413" s="7"/>
      <c r="P413" s="20"/>
      <c r="Q413" s="39">
        <v>305</v>
      </c>
      <c r="R413" s="1"/>
      <c r="S413" s="1"/>
      <c r="T413" s="1"/>
      <c r="U413" s="1"/>
      <c r="V413" s="1"/>
      <c r="W413" s="1"/>
      <c r="X413" s="1">
        <v>340</v>
      </c>
      <c r="Y413" s="1">
        <v>317</v>
      </c>
      <c r="Z413" s="1"/>
      <c r="AA413" s="1"/>
      <c r="AB413" s="1"/>
      <c r="AC413" s="1"/>
      <c r="AD413" s="1"/>
      <c r="AE413" s="1">
        <f t="shared" si="33"/>
        <v>3</v>
      </c>
      <c r="AF413" s="1">
        <f t="shared" si="31"/>
        <v>320.66666666666669</v>
      </c>
      <c r="AG413" s="11" t="str">
        <f t="shared" si="32"/>
        <v>APROVADO</v>
      </c>
    </row>
    <row r="414" spans="2:33" ht="25.5" x14ac:dyDescent="0.25">
      <c r="B414" s="5">
        <v>409</v>
      </c>
      <c r="C414" s="6" t="s">
        <v>2034</v>
      </c>
      <c r="D414" s="5" t="s">
        <v>33</v>
      </c>
      <c r="E414" s="7" t="s">
        <v>2028</v>
      </c>
      <c r="F414" s="7" t="s">
        <v>2035</v>
      </c>
      <c r="G414" s="7" t="s">
        <v>107</v>
      </c>
      <c r="H414" s="8">
        <v>300000</v>
      </c>
      <c r="I414" s="7" t="s">
        <v>73</v>
      </c>
      <c r="J414" s="5" t="s">
        <v>74</v>
      </c>
      <c r="K414" s="7" t="s">
        <v>2030</v>
      </c>
      <c r="L414" s="9" t="s">
        <v>2031</v>
      </c>
      <c r="M414" s="10">
        <v>45322</v>
      </c>
      <c r="N414" s="7" t="s">
        <v>67</v>
      </c>
      <c r="O414" s="7"/>
      <c r="P414" s="20"/>
      <c r="Q414" s="40">
        <v>284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>
        <v>275</v>
      </c>
      <c r="AC414" s="1">
        <v>175</v>
      </c>
      <c r="AD414" s="1"/>
      <c r="AE414" s="1">
        <f t="shared" si="33"/>
        <v>3</v>
      </c>
      <c r="AF414" s="1">
        <f t="shared" si="31"/>
        <v>244.66666666666666</v>
      </c>
      <c r="AG414" s="11" t="str">
        <f t="shared" si="32"/>
        <v>APROVADO</v>
      </c>
    </row>
    <row r="415" spans="2:33" ht="25.5" x14ac:dyDescent="0.25">
      <c r="B415" s="5">
        <v>410</v>
      </c>
      <c r="C415" s="16" t="s">
        <v>2036</v>
      </c>
      <c r="D415" s="5" t="s">
        <v>51</v>
      </c>
      <c r="E415" s="7" t="s">
        <v>2006</v>
      </c>
      <c r="F415" s="7" t="s">
        <v>2037</v>
      </c>
      <c r="G415" s="7" t="s">
        <v>107</v>
      </c>
      <c r="H415" s="28">
        <v>27175</v>
      </c>
      <c r="I415" s="13" t="s">
        <v>2008</v>
      </c>
      <c r="J415" s="11" t="s">
        <v>141</v>
      </c>
      <c r="K415" s="13" t="s">
        <v>2009</v>
      </c>
      <c r="L415" s="30" t="s">
        <v>2010</v>
      </c>
      <c r="M415" s="26">
        <v>45322</v>
      </c>
      <c r="N415" s="7" t="s">
        <v>82</v>
      </c>
      <c r="O415" s="13" t="s">
        <v>419</v>
      </c>
      <c r="P415" s="20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0"/>
      <c r="AD415" s="20"/>
      <c r="AE415" s="20"/>
      <c r="AF415" s="1" t="e">
        <f t="shared" si="31"/>
        <v>#DIV/0!</v>
      </c>
      <c r="AG415" s="11" t="e">
        <f t="shared" si="32"/>
        <v>#DIV/0!</v>
      </c>
    </row>
    <row r="416" spans="2:33" ht="38.25" x14ac:dyDescent="0.25">
      <c r="B416" s="5">
        <v>411</v>
      </c>
      <c r="C416" s="27" t="s">
        <v>2038</v>
      </c>
      <c r="D416" s="5" t="s">
        <v>33</v>
      </c>
      <c r="E416" s="7" t="s">
        <v>2039</v>
      </c>
      <c r="F416" s="7" t="s">
        <v>2040</v>
      </c>
      <c r="G416" s="7" t="s">
        <v>36</v>
      </c>
      <c r="H416" s="8">
        <v>78400</v>
      </c>
      <c r="I416" s="7" t="s">
        <v>2024</v>
      </c>
      <c r="J416" s="7" t="s">
        <v>47</v>
      </c>
      <c r="K416" s="7" t="s">
        <v>2041</v>
      </c>
      <c r="L416" s="9" t="s">
        <v>2042</v>
      </c>
      <c r="M416" s="10">
        <v>45322</v>
      </c>
      <c r="N416" s="7" t="s">
        <v>41</v>
      </c>
      <c r="O416" s="7"/>
      <c r="P416" s="20"/>
      <c r="Q416" s="40">
        <v>335</v>
      </c>
      <c r="R416" s="1">
        <v>177</v>
      </c>
      <c r="S416" s="1"/>
      <c r="T416" s="1">
        <v>201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>
        <f>COUNT(Q416:AD416)</f>
        <v>3</v>
      </c>
      <c r="AF416" s="1">
        <f t="shared" si="31"/>
        <v>237.66666666666666</v>
      </c>
      <c r="AG416" s="11" t="str">
        <f t="shared" si="32"/>
        <v>APROVADO</v>
      </c>
    </row>
    <row r="417" spans="2:33" ht="25.5" x14ac:dyDescent="0.25">
      <c r="B417" s="5">
        <v>412</v>
      </c>
      <c r="C417" s="36" t="s">
        <v>2043</v>
      </c>
      <c r="D417" s="5" t="s">
        <v>33</v>
      </c>
      <c r="E417" s="7" t="s">
        <v>2044</v>
      </c>
      <c r="F417" s="7" t="s">
        <v>2045</v>
      </c>
      <c r="G417" s="7" t="s">
        <v>36</v>
      </c>
      <c r="H417" s="8">
        <v>430300</v>
      </c>
      <c r="I417" s="7" t="s">
        <v>73</v>
      </c>
      <c r="J417" s="7" t="s">
        <v>74</v>
      </c>
      <c r="K417" s="7" t="s">
        <v>2046</v>
      </c>
      <c r="L417" s="9" t="s">
        <v>2047</v>
      </c>
      <c r="M417" s="10">
        <v>45322</v>
      </c>
      <c r="N417" s="7" t="s">
        <v>226</v>
      </c>
      <c r="O417" s="7" t="s">
        <v>227</v>
      </c>
      <c r="P417" s="20"/>
      <c r="Q417" s="40">
        <v>0</v>
      </c>
      <c r="R417" s="1">
        <v>51</v>
      </c>
      <c r="S417" s="1"/>
      <c r="T417" s="1">
        <v>68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>
        <f t="shared" si="31"/>
        <v>39.666666666666664</v>
      </c>
      <c r="AG417" s="11" t="str">
        <f t="shared" si="32"/>
        <v>REPROVADO</v>
      </c>
    </row>
    <row r="418" spans="2:33" ht="25.5" x14ac:dyDescent="0.25">
      <c r="B418" s="5">
        <v>413</v>
      </c>
      <c r="C418" s="36" t="s">
        <v>2048</v>
      </c>
      <c r="D418" s="5" t="s">
        <v>33</v>
      </c>
      <c r="E418" s="7" t="s">
        <v>2044</v>
      </c>
      <c r="F418" s="7" t="s">
        <v>2049</v>
      </c>
      <c r="G418" s="7" t="s">
        <v>36</v>
      </c>
      <c r="H418" s="8">
        <v>242400</v>
      </c>
      <c r="I418" s="7" t="s">
        <v>73</v>
      </c>
      <c r="J418" s="7" t="s">
        <v>74</v>
      </c>
      <c r="K418" s="7" t="s">
        <v>2046</v>
      </c>
      <c r="L418" s="9" t="s">
        <v>2047</v>
      </c>
      <c r="M418" s="10">
        <v>45322</v>
      </c>
      <c r="N418" s="7" t="s">
        <v>226</v>
      </c>
      <c r="O418" s="7" t="s">
        <v>227</v>
      </c>
      <c r="P418" s="20"/>
      <c r="Q418" s="40">
        <v>0</v>
      </c>
      <c r="R418" s="1">
        <v>51</v>
      </c>
      <c r="S418" s="1"/>
      <c r="T418" s="1">
        <v>56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f t="shared" si="31"/>
        <v>35.666666666666664</v>
      </c>
      <c r="AG418" s="11" t="str">
        <f t="shared" si="32"/>
        <v>REPROVADO</v>
      </c>
    </row>
    <row r="419" spans="2:33" ht="25.5" x14ac:dyDescent="0.25">
      <c r="B419" s="5">
        <v>414</v>
      </c>
      <c r="C419" s="36" t="s">
        <v>2050</v>
      </c>
      <c r="D419" s="5" t="s">
        <v>33</v>
      </c>
      <c r="E419" s="7" t="s">
        <v>2044</v>
      </c>
      <c r="F419" s="7" t="s">
        <v>2051</v>
      </c>
      <c r="G419" s="7" t="s">
        <v>36</v>
      </c>
      <c r="H419" s="8">
        <v>375800</v>
      </c>
      <c r="I419" s="7" t="s">
        <v>73</v>
      </c>
      <c r="J419" s="7" t="s">
        <v>74</v>
      </c>
      <c r="K419" s="7" t="s">
        <v>2046</v>
      </c>
      <c r="L419" s="9" t="s">
        <v>2047</v>
      </c>
      <c r="M419" s="10">
        <v>45322</v>
      </c>
      <c r="N419" s="7" t="s">
        <v>226</v>
      </c>
      <c r="O419" s="7" t="s">
        <v>227</v>
      </c>
      <c r="P419" s="20"/>
      <c r="Q419" s="40">
        <v>0</v>
      </c>
      <c r="R419" s="1">
        <v>0</v>
      </c>
      <c r="S419" s="1"/>
      <c r="T419" s="1">
        <v>58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>
        <f t="shared" si="31"/>
        <v>19.333333333333332</v>
      </c>
      <c r="AG419" s="11" t="str">
        <f t="shared" si="32"/>
        <v>REPROVADO</v>
      </c>
    </row>
    <row r="420" spans="2:33" ht="38.25" x14ac:dyDescent="0.25">
      <c r="B420" s="5">
        <v>415</v>
      </c>
      <c r="C420" s="27" t="s">
        <v>2052</v>
      </c>
      <c r="D420" s="5" t="s">
        <v>33</v>
      </c>
      <c r="E420" s="7" t="s">
        <v>2053</v>
      </c>
      <c r="F420" s="7" t="s">
        <v>2054</v>
      </c>
      <c r="G420" s="7" t="s">
        <v>36</v>
      </c>
      <c r="H420" s="49">
        <v>236635.08</v>
      </c>
      <c r="I420" s="7" t="s">
        <v>253</v>
      </c>
      <c r="J420" s="7" t="s">
        <v>254</v>
      </c>
      <c r="K420" s="9" t="s">
        <v>2055</v>
      </c>
      <c r="L420" s="9" t="s">
        <v>2056</v>
      </c>
      <c r="M420" s="10">
        <v>45322</v>
      </c>
      <c r="N420" s="7" t="s">
        <v>41</v>
      </c>
      <c r="O420" s="9"/>
      <c r="P420" s="20"/>
      <c r="Q420" s="40">
        <v>338</v>
      </c>
      <c r="R420" s="1">
        <v>98</v>
      </c>
      <c r="S420" s="1"/>
      <c r="T420" s="1">
        <v>125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>
        <f>COUNT(Q420:AD420)</f>
        <v>3</v>
      </c>
      <c r="AF420" s="1">
        <f t="shared" si="31"/>
        <v>187</v>
      </c>
      <c r="AG420" s="11" t="str">
        <f t="shared" si="32"/>
        <v>REPROVADO</v>
      </c>
    </row>
    <row r="421" spans="2:33" x14ac:dyDescent="0.25">
      <c r="B421" s="5">
        <v>416</v>
      </c>
      <c r="C421" s="27" t="s">
        <v>2057</v>
      </c>
      <c r="D421" s="5" t="s">
        <v>33</v>
      </c>
      <c r="E421" s="7" t="s">
        <v>2053</v>
      </c>
      <c r="F421" s="7" t="s">
        <v>2058</v>
      </c>
      <c r="G421" s="7" t="s">
        <v>36</v>
      </c>
      <c r="H421" s="49">
        <v>323278.44</v>
      </c>
      <c r="I421" s="7" t="s">
        <v>253</v>
      </c>
      <c r="J421" s="7" t="s">
        <v>254</v>
      </c>
      <c r="K421" s="9" t="s">
        <v>2055</v>
      </c>
      <c r="L421" s="9" t="s">
        <v>2056</v>
      </c>
      <c r="M421" s="10">
        <v>45322</v>
      </c>
      <c r="N421" s="7" t="s">
        <v>41</v>
      </c>
      <c r="O421" s="9"/>
      <c r="P421" s="20"/>
      <c r="Q421" s="40">
        <v>334</v>
      </c>
      <c r="R421" s="1">
        <v>86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>
        <v>319</v>
      </c>
      <c r="AD421" s="1"/>
      <c r="AE421" s="1">
        <f>COUNT(Q421:AD421)</f>
        <v>3</v>
      </c>
      <c r="AF421" s="1">
        <f t="shared" si="31"/>
        <v>246.33333333333334</v>
      </c>
      <c r="AG421" s="11" t="str">
        <f t="shared" si="32"/>
        <v>APROVADO</v>
      </c>
    </row>
    <row r="422" spans="2:33" x14ac:dyDescent="0.25">
      <c r="B422" s="5">
        <v>417</v>
      </c>
      <c r="C422" s="6" t="s">
        <v>2059</v>
      </c>
      <c r="D422" s="5" t="s">
        <v>33</v>
      </c>
      <c r="E422" s="7" t="s">
        <v>2060</v>
      </c>
      <c r="F422" s="7" t="s">
        <v>2061</v>
      </c>
      <c r="G422" s="7" t="s">
        <v>36</v>
      </c>
      <c r="H422" s="8">
        <v>259200</v>
      </c>
      <c r="I422" s="7" t="s">
        <v>859</v>
      </c>
      <c r="J422" s="7" t="s">
        <v>181</v>
      </c>
      <c r="K422" s="7" t="s">
        <v>2062</v>
      </c>
      <c r="L422" s="9" t="s">
        <v>2063</v>
      </c>
      <c r="M422" s="10">
        <v>45322</v>
      </c>
      <c r="N422" s="7" t="s">
        <v>67</v>
      </c>
      <c r="O422" s="7"/>
      <c r="P422" s="20"/>
      <c r="Q422" s="40">
        <v>301</v>
      </c>
      <c r="R422" s="1"/>
      <c r="S422" s="1"/>
      <c r="T422" s="1"/>
      <c r="U422" s="1"/>
      <c r="V422" s="1">
        <v>340</v>
      </c>
      <c r="W422" s="1">
        <v>317</v>
      </c>
      <c r="X422" s="1"/>
      <c r="Y422" s="1"/>
      <c r="Z422" s="1"/>
      <c r="AA422" s="1"/>
      <c r="AB422" s="1"/>
      <c r="AC422" s="1"/>
      <c r="AD422" s="1"/>
      <c r="AE422" s="1">
        <f>COUNT(Q422:AD422)</f>
        <v>3</v>
      </c>
      <c r="AF422" s="1">
        <f t="shared" si="31"/>
        <v>319.33333333333331</v>
      </c>
      <c r="AG422" s="11" t="str">
        <f t="shared" si="32"/>
        <v>APROVADO</v>
      </c>
    </row>
    <row r="423" spans="2:33" ht="25.5" x14ac:dyDescent="0.25">
      <c r="B423" s="5">
        <v>418</v>
      </c>
      <c r="C423" s="16" t="s">
        <v>2064</v>
      </c>
      <c r="D423" s="5" t="s">
        <v>33</v>
      </c>
      <c r="E423" s="7" t="s">
        <v>2065</v>
      </c>
      <c r="F423" s="7" t="s">
        <v>2066</v>
      </c>
      <c r="G423" s="7" t="s">
        <v>107</v>
      </c>
      <c r="H423" s="8">
        <v>253200</v>
      </c>
      <c r="I423" s="7" t="s">
        <v>859</v>
      </c>
      <c r="J423" s="7" t="s">
        <v>181</v>
      </c>
      <c r="K423" s="7" t="s">
        <v>2067</v>
      </c>
      <c r="L423" s="9" t="s">
        <v>2068</v>
      </c>
      <c r="M423" s="10">
        <v>45322</v>
      </c>
      <c r="N423" s="7" t="s">
        <v>82</v>
      </c>
      <c r="O423" s="7" t="s">
        <v>845</v>
      </c>
      <c r="P423" s="20"/>
      <c r="Q423" s="40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 t="e">
        <f t="shared" si="31"/>
        <v>#DIV/0!</v>
      </c>
      <c r="AG423" s="11" t="e">
        <f t="shared" si="32"/>
        <v>#DIV/0!</v>
      </c>
    </row>
    <row r="424" spans="2:33" ht="25.5" x14ac:dyDescent="0.25">
      <c r="B424" s="5">
        <v>419</v>
      </c>
      <c r="C424" s="6" t="s">
        <v>2069</v>
      </c>
      <c r="D424" s="5" t="s">
        <v>33</v>
      </c>
      <c r="E424" s="5" t="s">
        <v>2070</v>
      </c>
      <c r="F424" s="5" t="s">
        <v>2071</v>
      </c>
      <c r="G424" s="5" t="s">
        <v>36</v>
      </c>
      <c r="H424" s="17">
        <v>240000</v>
      </c>
      <c r="I424" s="7" t="s">
        <v>648</v>
      </c>
      <c r="J424" s="7" t="s">
        <v>254</v>
      </c>
      <c r="K424" s="5" t="s">
        <v>2072</v>
      </c>
      <c r="L424" s="9" t="s">
        <v>2073</v>
      </c>
      <c r="M424" s="10">
        <v>45322</v>
      </c>
      <c r="N424" s="5" t="s">
        <v>67</v>
      </c>
      <c r="O424" s="7" t="s">
        <v>1357</v>
      </c>
      <c r="P424" s="20"/>
      <c r="Q424" s="39">
        <v>183</v>
      </c>
      <c r="R424" s="1"/>
      <c r="S424" s="1"/>
      <c r="T424" s="1"/>
      <c r="U424" s="1"/>
      <c r="V424" s="1">
        <v>249</v>
      </c>
      <c r="W424" s="1">
        <v>249</v>
      </c>
      <c r="X424" s="1"/>
      <c r="Y424" s="1"/>
      <c r="Z424" s="1"/>
      <c r="AA424" s="1"/>
      <c r="AB424" s="1"/>
      <c r="AC424" s="1"/>
      <c r="AD424" s="1"/>
      <c r="AE424" s="1">
        <f t="shared" ref="AE424:AE433" si="34">COUNT(Q424:AD424)</f>
        <v>3</v>
      </c>
      <c r="AF424" s="1">
        <f t="shared" si="31"/>
        <v>227</v>
      </c>
      <c r="AG424" s="11" t="str">
        <f t="shared" si="32"/>
        <v>APROVADO</v>
      </c>
    </row>
    <row r="425" spans="2:33" x14ac:dyDescent="0.25">
      <c r="B425" s="5">
        <v>420</v>
      </c>
      <c r="C425" s="6" t="s">
        <v>2074</v>
      </c>
      <c r="D425" s="5" t="s">
        <v>51</v>
      </c>
      <c r="E425" s="7" t="s">
        <v>2075</v>
      </c>
      <c r="F425" s="7" t="s">
        <v>2076</v>
      </c>
      <c r="G425" s="7" t="s">
        <v>36</v>
      </c>
      <c r="H425" s="28">
        <v>515500</v>
      </c>
      <c r="I425" s="7" t="s">
        <v>648</v>
      </c>
      <c r="J425" s="11" t="s">
        <v>254</v>
      </c>
      <c r="K425" s="7" t="s">
        <v>2077</v>
      </c>
      <c r="L425" s="30" t="s">
        <v>2078</v>
      </c>
      <c r="M425" s="26">
        <v>45322</v>
      </c>
      <c r="N425" s="7" t="s">
        <v>57</v>
      </c>
      <c r="O425" s="13"/>
      <c r="P425" s="20"/>
      <c r="Q425" s="1">
        <v>340</v>
      </c>
      <c r="R425" s="1"/>
      <c r="S425" s="1"/>
      <c r="T425" s="1"/>
      <c r="U425" s="1"/>
      <c r="V425" s="1">
        <v>340</v>
      </c>
      <c r="W425" s="1"/>
      <c r="X425" s="1"/>
      <c r="Y425" s="1">
        <v>340</v>
      </c>
      <c r="Z425" s="1"/>
      <c r="AA425" s="1"/>
      <c r="AB425" s="1"/>
      <c r="AC425" s="20"/>
      <c r="AD425" s="20"/>
      <c r="AE425" s="1">
        <f t="shared" si="34"/>
        <v>3</v>
      </c>
      <c r="AF425" s="1">
        <f t="shared" si="31"/>
        <v>340</v>
      </c>
      <c r="AG425" s="11" t="str">
        <f t="shared" si="32"/>
        <v>APROVADO</v>
      </c>
    </row>
    <row r="426" spans="2:33" ht="25.5" x14ac:dyDescent="0.25">
      <c r="B426" s="5">
        <v>421</v>
      </c>
      <c r="C426" s="27" t="s">
        <v>2079</v>
      </c>
      <c r="D426" s="5" t="s">
        <v>33</v>
      </c>
      <c r="E426" s="7" t="s">
        <v>2080</v>
      </c>
      <c r="F426" s="7" t="s">
        <v>2081</v>
      </c>
      <c r="G426" s="7" t="s">
        <v>36</v>
      </c>
      <c r="H426" s="8">
        <v>1370825</v>
      </c>
      <c r="I426" s="7" t="s">
        <v>2082</v>
      </c>
      <c r="J426" s="7" t="s">
        <v>677</v>
      </c>
      <c r="K426" s="7" t="s">
        <v>2083</v>
      </c>
      <c r="L426" s="9" t="s">
        <v>2084</v>
      </c>
      <c r="M426" s="10">
        <v>45322</v>
      </c>
      <c r="N426" s="7" t="s">
        <v>41</v>
      </c>
      <c r="O426" s="7"/>
      <c r="P426" s="20"/>
      <c r="Q426" s="40">
        <v>311</v>
      </c>
      <c r="R426" s="1">
        <v>112</v>
      </c>
      <c r="S426" s="1"/>
      <c r="T426" s="1">
        <v>137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>
        <f t="shared" si="34"/>
        <v>3</v>
      </c>
      <c r="AF426" s="1">
        <f t="shared" si="31"/>
        <v>186.66666666666666</v>
      </c>
      <c r="AG426" s="11" t="str">
        <f t="shared" si="32"/>
        <v>REPROVADO</v>
      </c>
    </row>
    <row r="427" spans="2:33" ht="38.25" x14ac:dyDescent="0.25">
      <c r="B427" s="5">
        <v>422</v>
      </c>
      <c r="C427" s="27" t="s">
        <v>2085</v>
      </c>
      <c r="D427" s="5" t="s">
        <v>51</v>
      </c>
      <c r="E427" s="7" t="s">
        <v>2086</v>
      </c>
      <c r="F427" s="7" t="s">
        <v>2087</v>
      </c>
      <c r="G427" s="7" t="s">
        <v>36</v>
      </c>
      <c r="H427" s="28">
        <v>1046576.89</v>
      </c>
      <c r="I427" s="7" t="s">
        <v>2088</v>
      </c>
      <c r="J427" s="7" t="s">
        <v>95</v>
      </c>
      <c r="K427" s="13" t="s">
        <v>2089</v>
      </c>
      <c r="L427" s="43" t="s">
        <v>2090</v>
      </c>
      <c r="M427" s="26">
        <v>45322</v>
      </c>
      <c r="N427" s="9" t="s">
        <v>41</v>
      </c>
      <c r="O427" s="13"/>
      <c r="P427" s="20"/>
      <c r="Q427" s="1">
        <v>340</v>
      </c>
      <c r="R427" s="1">
        <v>84</v>
      </c>
      <c r="S427" s="1"/>
      <c r="T427" s="1"/>
      <c r="U427" s="1"/>
      <c r="V427" s="1"/>
      <c r="W427" s="1"/>
      <c r="X427" s="1"/>
      <c r="Y427" s="1"/>
      <c r="Z427" s="1">
        <v>253</v>
      </c>
      <c r="AA427" s="1"/>
      <c r="AB427" s="1"/>
      <c r="AC427" s="20"/>
      <c r="AD427" s="20"/>
      <c r="AE427" s="1">
        <f t="shared" si="34"/>
        <v>3</v>
      </c>
      <c r="AF427" s="1">
        <f t="shared" si="31"/>
        <v>225.66666666666666</v>
      </c>
      <c r="AG427" s="11" t="str">
        <f t="shared" si="32"/>
        <v>APROVADO</v>
      </c>
    </row>
    <row r="428" spans="2:33" ht="38.25" x14ac:dyDescent="0.25">
      <c r="B428" s="5">
        <v>423</v>
      </c>
      <c r="C428" s="27" t="s">
        <v>2091</v>
      </c>
      <c r="D428" s="5" t="s">
        <v>51</v>
      </c>
      <c r="E428" s="7" t="s">
        <v>2086</v>
      </c>
      <c r="F428" s="7" t="s">
        <v>2092</v>
      </c>
      <c r="G428" s="7" t="s">
        <v>1453</v>
      </c>
      <c r="H428" s="28">
        <v>250000</v>
      </c>
      <c r="I428" s="7" t="s">
        <v>2088</v>
      </c>
      <c r="J428" s="7" t="s">
        <v>95</v>
      </c>
      <c r="K428" s="13" t="s">
        <v>2089</v>
      </c>
      <c r="L428" s="43" t="s">
        <v>2090</v>
      </c>
      <c r="M428" s="26">
        <v>45322</v>
      </c>
      <c r="N428" s="13" t="s">
        <v>41</v>
      </c>
      <c r="O428" s="13"/>
      <c r="P428" s="20"/>
      <c r="Q428" s="1">
        <v>312</v>
      </c>
      <c r="R428" s="1">
        <v>84</v>
      </c>
      <c r="S428" s="1"/>
      <c r="T428" s="1"/>
      <c r="U428" s="1"/>
      <c r="V428" s="1"/>
      <c r="W428" s="1"/>
      <c r="X428" s="1"/>
      <c r="Y428" s="1"/>
      <c r="Z428" s="1">
        <v>259</v>
      </c>
      <c r="AA428" s="1"/>
      <c r="AB428" s="1"/>
      <c r="AC428" s="20"/>
      <c r="AD428" s="20"/>
      <c r="AE428" s="1">
        <f t="shared" si="34"/>
        <v>3</v>
      </c>
      <c r="AF428" s="1">
        <f t="shared" si="31"/>
        <v>218.33333333333334</v>
      </c>
      <c r="AG428" s="11" t="str">
        <f t="shared" si="32"/>
        <v>APROVADO</v>
      </c>
    </row>
    <row r="429" spans="2:33" ht="38.25" x14ac:dyDescent="0.25">
      <c r="B429" s="5">
        <v>424</v>
      </c>
      <c r="C429" s="27" t="s">
        <v>2093</v>
      </c>
      <c r="D429" s="5" t="s">
        <v>51</v>
      </c>
      <c r="E429" s="7" t="s">
        <v>2086</v>
      </c>
      <c r="F429" s="7" t="s">
        <v>2094</v>
      </c>
      <c r="G429" s="7" t="s">
        <v>107</v>
      </c>
      <c r="H429" s="28">
        <v>177890</v>
      </c>
      <c r="I429" s="7" t="s">
        <v>2088</v>
      </c>
      <c r="J429" s="7" t="s">
        <v>95</v>
      </c>
      <c r="K429" s="13" t="s">
        <v>2089</v>
      </c>
      <c r="L429" s="43" t="s">
        <v>2090</v>
      </c>
      <c r="M429" s="26">
        <v>45322</v>
      </c>
      <c r="N429" s="13" t="s">
        <v>41</v>
      </c>
      <c r="O429" s="13"/>
      <c r="P429" s="20"/>
      <c r="Q429" s="1">
        <v>309</v>
      </c>
      <c r="R429" s="1">
        <v>78</v>
      </c>
      <c r="S429" s="1"/>
      <c r="T429" s="1"/>
      <c r="U429" s="1"/>
      <c r="V429" s="1"/>
      <c r="W429" s="1"/>
      <c r="X429" s="1"/>
      <c r="Y429" s="1"/>
      <c r="Z429" s="1">
        <v>302</v>
      </c>
      <c r="AA429" s="1"/>
      <c r="AB429" s="1"/>
      <c r="AC429" s="20"/>
      <c r="AD429" s="20"/>
      <c r="AE429" s="1">
        <f t="shared" si="34"/>
        <v>3</v>
      </c>
      <c r="AF429" s="1">
        <f t="shared" si="31"/>
        <v>229.66666666666666</v>
      </c>
      <c r="AG429" s="11" t="str">
        <f t="shared" si="32"/>
        <v>APROVADO</v>
      </c>
    </row>
    <row r="430" spans="2:33" ht="25.5" x14ac:dyDescent="0.25">
      <c r="B430" s="5">
        <v>425</v>
      </c>
      <c r="C430" s="6" t="s">
        <v>2095</v>
      </c>
      <c r="D430" s="5" t="s">
        <v>51</v>
      </c>
      <c r="E430" s="7" t="s">
        <v>2096</v>
      </c>
      <c r="F430" s="7" t="s">
        <v>2097</v>
      </c>
      <c r="G430" s="7" t="s">
        <v>36</v>
      </c>
      <c r="H430" s="28">
        <v>145000</v>
      </c>
      <c r="I430" s="13" t="s">
        <v>1780</v>
      </c>
      <c r="J430" s="11" t="s">
        <v>154</v>
      </c>
      <c r="K430" s="13" t="s">
        <v>2098</v>
      </c>
      <c r="L430" s="30" t="s">
        <v>2099</v>
      </c>
      <c r="M430" s="26">
        <v>45322</v>
      </c>
      <c r="N430" s="13" t="s">
        <v>57</v>
      </c>
      <c r="O430" s="13"/>
      <c r="P430" s="20"/>
      <c r="Q430" s="1">
        <v>264</v>
      </c>
      <c r="R430" s="1"/>
      <c r="S430" s="1"/>
      <c r="T430" s="1"/>
      <c r="U430" s="1"/>
      <c r="V430" s="1"/>
      <c r="W430" s="1"/>
      <c r="X430" s="1">
        <v>330</v>
      </c>
      <c r="Y430" s="1">
        <v>340</v>
      </c>
      <c r="Z430" s="1"/>
      <c r="AA430" s="1"/>
      <c r="AB430" s="1"/>
      <c r="AC430" s="20"/>
      <c r="AD430" s="20"/>
      <c r="AE430" s="1">
        <f t="shared" si="34"/>
        <v>3</v>
      </c>
      <c r="AF430" s="1">
        <f t="shared" si="31"/>
        <v>311.33333333333331</v>
      </c>
      <c r="AG430" s="11" t="str">
        <f t="shared" si="32"/>
        <v>APROVADO</v>
      </c>
    </row>
    <row r="431" spans="2:33" ht="140.25" x14ac:dyDescent="0.25">
      <c r="B431" s="5">
        <v>426</v>
      </c>
      <c r="C431" s="6" t="s">
        <v>2100</v>
      </c>
      <c r="D431" s="5" t="s">
        <v>33</v>
      </c>
      <c r="E431" s="7" t="s">
        <v>1964</v>
      </c>
      <c r="F431" s="7" t="s">
        <v>2101</v>
      </c>
      <c r="G431" s="7" t="s">
        <v>36</v>
      </c>
      <c r="H431" s="8">
        <v>328800</v>
      </c>
      <c r="I431" s="7" t="s">
        <v>63</v>
      </c>
      <c r="J431" s="5" t="s">
        <v>64</v>
      </c>
      <c r="K431" s="7" t="s">
        <v>1966</v>
      </c>
      <c r="L431" s="37" t="s">
        <v>2102</v>
      </c>
      <c r="M431" s="10">
        <v>45322</v>
      </c>
      <c r="N431" s="7" t="s">
        <v>67</v>
      </c>
      <c r="O431" s="9"/>
      <c r="P431" s="20"/>
      <c r="Q431" s="40">
        <v>301</v>
      </c>
      <c r="R431" s="1"/>
      <c r="S431" s="1"/>
      <c r="T431" s="1"/>
      <c r="U431" s="1"/>
      <c r="V431" s="1"/>
      <c r="W431" s="1"/>
      <c r="X431" s="1">
        <v>333</v>
      </c>
      <c r="Y431" s="1">
        <v>340</v>
      </c>
      <c r="Z431" s="1"/>
      <c r="AA431" s="1"/>
      <c r="AB431" s="1"/>
      <c r="AC431" s="1"/>
      <c r="AD431" s="1"/>
      <c r="AE431" s="1">
        <f t="shared" si="34"/>
        <v>3</v>
      </c>
      <c r="AF431" s="1">
        <f t="shared" si="31"/>
        <v>324.66666666666669</v>
      </c>
      <c r="AG431" s="11" t="str">
        <f t="shared" si="32"/>
        <v>APROVADO</v>
      </c>
    </row>
    <row r="432" spans="2:33" ht="25.5" x14ac:dyDescent="0.25">
      <c r="B432" s="5">
        <v>427</v>
      </c>
      <c r="C432" s="6" t="s">
        <v>2103</v>
      </c>
      <c r="D432" s="5" t="s">
        <v>33</v>
      </c>
      <c r="E432" s="5" t="s">
        <v>2104</v>
      </c>
      <c r="F432" s="5" t="s">
        <v>2105</v>
      </c>
      <c r="G432" s="7" t="s">
        <v>36</v>
      </c>
      <c r="H432" s="17">
        <v>1881455</v>
      </c>
      <c r="I432" s="7" t="s">
        <v>73</v>
      </c>
      <c r="J432" s="5" t="s">
        <v>74</v>
      </c>
      <c r="K432" s="5" t="s">
        <v>2106</v>
      </c>
      <c r="L432" s="9" t="s">
        <v>2107</v>
      </c>
      <c r="M432" s="10">
        <v>45322</v>
      </c>
      <c r="N432" s="5" t="s">
        <v>67</v>
      </c>
      <c r="O432" s="7" t="s">
        <v>1357</v>
      </c>
      <c r="P432" s="20"/>
      <c r="Q432" s="39">
        <v>303</v>
      </c>
      <c r="R432" s="1"/>
      <c r="S432" s="1"/>
      <c r="T432" s="1"/>
      <c r="U432" s="1"/>
      <c r="V432" s="1"/>
      <c r="W432" s="1"/>
      <c r="X432" s="1">
        <v>321</v>
      </c>
      <c r="Y432" s="1">
        <v>318</v>
      </c>
      <c r="Z432" s="1"/>
      <c r="AA432" s="1"/>
      <c r="AB432" s="1"/>
      <c r="AC432" s="1"/>
      <c r="AD432" s="1"/>
      <c r="AE432" s="1">
        <f t="shared" si="34"/>
        <v>3</v>
      </c>
      <c r="AF432" s="1">
        <f t="shared" si="31"/>
        <v>314</v>
      </c>
      <c r="AG432" s="11" t="str">
        <f t="shared" si="32"/>
        <v>APROVADO</v>
      </c>
    </row>
    <row r="433" spans="2:33" ht="25.5" x14ac:dyDescent="0.25">
      <c r="B433" s="5">
        <v>428</v>
      </c>
      <c r="C433" s="6" t="s">
        <v>2108</v>
      </c>
      <c r="D433" s="5" t="s">
        <v>33</v>
      </c>
      <c r="E433" s="5" t="s">
        <v>2104</v>
      </c>
      <c r="F433" s="5" t="s">
        <v>2109</v>
      </c>
      <c r="G433" s="5" t="s">
        <v>36</v>
      </c>
      <c r="H433" s="17">
        <v>5500000</v>
      </c>
      <c r="I433" s="7" t="s">
        <v>73</v>
      </c>
      <c r="J433" s="5" t="s">
        <v>74</v>
      </c>
      <c r="K433" s="5" t="s">
        <v>2110</v>
      </c>
      <c r="L433" s="9" t="s">
        <v>2107</v>
      </c>
      <c r="M433" s="10">
        <v>45322</v>
      </c>
      <c r="N433" s="5" t="s">
        <v>67</v>
      </c>
      <c r="O433" s="7" t="s">
        <v>2111</v>
      </c>
      <c r="P433" s="20"/>
      <c r="Q433" s="39">
        <v>301</v>
      </c>
      <c r="R433" s="1"/>
      <c r="S433" s="1"/>
      <c r="T433" s="1"/>
      <c r="U433" s="1"/>
      <c r="V433" s="1"/>
      <c r="W433" s="1"/>
      <c r="X433" s="1">
        <v>292</v>
      </c>
      <c r="Y433" s="1">
        <v>303</v>
      </c>
      <c r="Z433" s="1"/>
      <c r="AA433" s="1"/>
      <c r="AB433" s="1"/>
      <c r="AC433" s="1"/>
      <c r="AD433" s="1"/>
      <c r="AE433" s="1">
        <f t="shared" si="34"/>
        <v>3</v>
      </c>
      <c r="AF433" s="1">
        <f t="shared" si="31"/>
        <v>298.66666666666669</v>
      </c>
      <c r="AG433" s="11" t="str">
        <f t="shared" si="32"/>
        <v>APROVADO</v>
      </c>
    </row>
    <row r="434" spans="2:33" ht="25.5" x14ac:dyDescent="0.25">
      <c r="B434" s="5">
        <v>429</v>
      </c>
      <c r="C434" s="16" t="s">
        <v>2112</v>
      </c>
      <c r="D434" s="5" t="s">
        <v>33</v>
      </c>
      <c r="E434" s="5" t="s">
        <v>2113</v>
      </c>
      <c r="F434" s="5" t="s">
        <v>2114</v>
      </c>
      <c r="G434" s="5" t="s">
        <v>107</v>
      </c>
      <c r="H434" s="17">
        <v>661500</v>
      </c>
      <c r="I434" s="7" t="s">
        <v>73</v>
      </c>
      <c r="J434" s="7" t="s">
        <v>74</v>
      </c>
      <c r="K434" s="5" t="s">
        <v>2115</v>
      </c>
      <c r="L434" s="9" t="s">
        <v>2116</v>
      </c>
      <c r="M434" s="10">
        <v>45322</v>
      </c>
      <c r="N434" s="7" t="s">
        <v>82</v>
      </c>
      <c r="O434" s="7" t="s">
        <v>845</v>
      </c>
      <c r="P434" s="20"/>
      <c r="Q434" s="40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 t="e">
        <f t="shared" si="31"/>
        <v>#DIV/0!</v>
      </c>
      <c r="AG434" s="11" t="e">
        <f t="shared" si="32"/>
        <v>#DIV/0!</v>
      </c>
    </row>
    <row r="435" spans="2:33" ht="25.5" x14ac:dyDescent="0.25">
      <c r="B435" s="5">
        <v>430</v>
      </c>
      <c r="C435" s="16" t="s">
        <v>2117</v>
      </c>
      <c r="D435" s="5" t="s">
        <v>51</v>
      </c>
      <c r="E435" s="7" t="s">
        <v>2118</v>
      </c>
      <c r="F435" s="7" t="s">
        <v>2119</v>
      </c>
      <c r="G435" s="7" t="s">
        <v>36</v>
      </c>
      <c r="H435" s="28">
        <v>350940</v>
      </c>
      <c r="I435" s="13" t="s">
        <v>2120</v>
      </c>
      <c r="J435" s="11" t="s">
        <v>202</v>
      </c>
      <c r="K435" s="13" t="s">
        <v>1172</v>
      </c>
      <c r="L435" s="30" t="s">
        <v>2121</v>
      </c>
      <c r="M435" s="26">
        <v>45322</v>
      </c>
      <c r="N435" s="7" t="s">
        <v>82</v>
      </c>
      <c r="O435" s="13" t="s">
        <v>419</v>
      </c>
      <c r="P435" s="20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0"/>
      <c r="AD435" s="20"/>
      <c r="AE435" s="20"/>
      <c r="AF435" s="1" t="e">
        <f t="shared" si="31"/>
        <v>#DIV/0!</v>
      </c>
      <c r="AG435" s="11" t="e">
        <f t="shared" si="32"/>
        <v>#DIV/0!</v>
      </c>
    </row>
    <row r="436" spans="2:33" ht="26.25" x14ac:dyDescent="0.25">
      <c r="B436" s="5">
        <v>431</v>
      </c>
      <c r="C436" s="16" t="s">
        <v>2122</v>
      </c>
      <c r="D436" s="5" t="s">
        <v>51</v>
      </c>
      <c r="E436" s="7" t="s">
        <v>2123</v>
      </c>
      <c r="F436" s="7" t="s">
        <v>2124</v>
      </c>
      <c r="G436" s="7" t="s">
        <v>107</v>
      </c>
      <c r="H436" s="28">
        <v>98000</v>
      </c>
      <c r="I436" s="13" t="s">
        <v>2125</v>
      </c>
      <c r="J436" s="11" t="s">
        <v>123</v>
      </c>
      <c r="K436" s="7" t="s">
        <v>2126</v>
      </c>
      <c r="L436" s="43" t="s">
        <v>2127</v>
      </c>
      <c r="M436" s="26">
        <v>45322</v>
      </c>
      <c r="N436" s="7" t="s">
        <v>82</v>
      </c>
      <c r="O436" s="14" t="s">
        <v>2128</v>
      </c>
      <c r="P436" s="20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0"/>
      <c r="AD436" s="20"/>
      <c r="AE436" s="20"/>
      <c r="AF436" s="1" t="e">
        <f t="shared" si="31"/>
        <v>#DIV/0!</v>
      </c>
      <c r="AG436" s="11" t="e">
        <f t="shared" si="32"/>
        <v>#DIV/0!</v>
      </c>
    </row>
    <row r="437" spans="2:33" ht="39" x14ac:dyDescent="0.25">
      <c r="B437" s="5">
        <v>432</v>
      </c>
      <c r="C437" s="6" t="s">
        <v>2129</v>
      </c>
      <c r="D437" s="5" t="s">
        <v>51</v>
      </c>
      <c r="E437" s="7" t="s">
        <v>2123</v>
      </c>
      <c r="F437" s="7" t="s">
        <v>2124</v>
      </c>
      <c r="G437" s="7" t="s">
        <v>107</v>
      </c>
      <c r="H437" s="28">
        <v>98000</v>
      </c>
      <c r="I437" s="13" t="s">
        <v>2125</v>
      </c>
      <c r="J437" s="11" t="s">
        <v>123</v>
      </c>
      <c r="K437" s="7" t="s">
        <v>2126</v>
      </c>
      <c r="L437" s="43" t="s">
        <v>2127</v>
      </c>
      <c r="M437" s="26">
        <v>45322</v>
      </c>
      <c r="N437" s="13" t="s">
        <v>57</v>
      </c>
      <c r="O437" s="14" t="s">
        <v>2130</v>
      </c>
      <c r="P437" s="20"/>
      <c r="Q437" s="1">
        <v>315</v>
      </c>
      <c r="R437" s="1"/>
      <c r="S437" s="1"/>
      <c r="T437" s="1"/>
      <c r="U437" s="1"/>
      <c r="V437" s="1">
        <v>311</v>
      </c>
      <c r="W437" s="1">
        <v>298</v>
      </c>
      <c r="X437" s="1"/>
      <c r="Y437" s="1"/>
      <c r="Z437" s="1"/>
      <c r="AA437" s="1"/>
      <c r="AB437" s="1"/>
      <c r="AC437" s="20"/>
      <c r="AD437" s="20"/>
      <c r="AE437" s="1">
        <f t="shared" ref="AE437:AE449" si="35">COUNT(Q437:AD437)</f>
        <v>3</v>
      </c>
      <c r="AF437" s="1">
        <f t="shared" si="31"/>
        <v>308</v>
      </c>
      <c r="AG437" s="11" t="str">
        <f t="shared" si="32"/>
        <v>APROVADO</v>
      </c>
    </row>
    <row r="438" spans="2:33" ht="25.5" x14ac:dyDescent="0.25">
      <c r="B438" s="5">
        <v>433</v>
      </c>
      <c r="C438" s="6" t="s">
        <v>2131</v>
      </c>
      <c r="D438" s="5" t="s">
        <v>51</v>
      </c>
      <c r="E438" s="7" t="s">
        <v>594</v>
      </c>
      <c r="F438" s="7" t="s">
        <v>2132</v>
      </c>
      <c r="G438" s="7" t="s">
        <v>36</v>
      </c>
      <c r="H438" s="28">
        <v>1764030</v>
      </c>
      <c r="I438" s="13" t="s">
        <v>596</v>
      </c>
      <c r="J438" s="11" t="s">
        <v>597</v>
      </c>
      <c r="K438" s="13" t="s">
        <v>2133</v>
      </c>
      <c r="L438" s="30" t="s">
        <v>2134</v>
      </c>
      <c r="M438" s="26">
        <v>45322</v>
      </c>
      <c r="N438" s="13" t="s">
        <v>57</v>
      </c>
      <c r="O438" s="13"/>
      <c r="P438" s="20"/>
      <c r="Q438" s="1">
        <v>253</v>
      </c>
      <c r="R438" s="1"/>
      <c r="S438" s="1">
        <v>265</v>
      </c>
      <c r="T438" s="1"/>
      <c r="U438" s="1"/>
      <c r="V438" s="1"/>
      <c r="W438" s="1"/>
      <c r="X438" s="1">
        <v>335</v>
      </c>
      <c r="Y438" s="1"/>
      <c r="Z438" s="1"/>
      <c r="AA438" s="1"/>
      <c r="AB438" s="1"/>
      <c r="AC438" s="20"/>
      <c r="AD438" s="20"/>
      <c r="AE438" s="1">
        <f t="shared" si="35"/>
        <v>3</v>
      </c>
      <c r="AF438" s="1">
        <f t="shared" si="31"/>
        <v>284.33333333333331</v>
      </c>
      <c r="AG438" s="11" t="str">
        <f t="shared" si="32"/>
        <v>APROVADO</v>
      </c>
    </row>
    <row r="439" spans="2:33" ht="25.5" x14ac:dyDescent="0.25">
      <c r="B439" s="5">
        <v>434</v>
      </c>
      <c r="C439" s="6" t="s">
        <v>2135</v>
      </c>
      <c r="D439" s="5" t="s">
        <v>33</v>
      </c>
      <c r="E439" s="5" t="s">
        <v>2136</v>
      </c>
      <c r="F439" s="5" t="s">
        <v>2137</v>
      </c>
      <c r="G439" s="7" t="s">
        <v>336</v>
      </c>
      <c r="H439" s="8">
        <v>306290</v>
      </c>
      <c r="I439" s="7" t="s">
        <v>2138</v>
      </c>
      <c r="J439" s="7" t="s">
        <v>254</v>
      </c>
      <c r="K439" s="7" t="s">
        <v>2139</v>
      </c>
      <c r="L439" s="9" t="s">
        <v>2140</v>
      </c>
      <c r="M439" s="10">
        <v>45322</v>
      </c>
      <c r="N439" s="5" t="s">
        <v>67</v>
      </c>
      <c r="O439" s="9"/>
      <c r="P439" s="20"/>
      <c r="Q439" s="39">
        <v>336</v>
      </c>
      <c r="R439" s="1"/>
      <c r="S439" s="1"/>
      <c r="T439" s="1"/>
      <c r="U439" s="1"/>
      <c r="V439" s="1">
        <v>340</v>
      </c>
      <c r="W439" s="1">
        <v>340</v>
      </c>
      <c r="X439" s="1"/>
      <c r="Y439" s="1"/>
      <c r="Z439" s="1"/>
      <c r="AA439" s="1"/>
      <c r="AB439" s="1"/>
      <c r="AC439" s="1"/>
      <c r="AD439" s="1"/>
      <c r="AE439" s="1">
        <f t="shared" si="35"/>
        <v>3</v>
      </c>
      <c r="AF439" s="1">
        <f t="shared" si="31"/>
        <v>338.66666666666669</v>
      </c>
      <c r="AG439" s="11" t="str">
        <f t="shared" si="32"/>
        <v>APROVADO</v>
      </c>
    </row>
    <row r="440" spans="2:33" ht="25.5" x14ac:dyDescent="0.25">
      <c r="B440" s="5">
        <v>435</v>
      </c>
      <c r="C440" s="6" t="s">
        <v>2141</v>
      </c>
      <c r="D440" s="5" t="s">
        <v>33</v>
      </c>
      <c r="E440" s="7" t="s">
        <v>2136</v>
      </c>
      <c r="F440" s="7" t="s">
        <v>2142</v>
      </c>
      <c r="G440" s="7" t="s">
        <v>336</v>
      </c>
      <c r="H440" s="8">
        <v>238400</v>
      </c>
      <c r="I440" s="7" t="s">
        <v>2138</v>
      </c>
      <c r="J440" s="7" t="s">
        <v>254</v>
      </c>
      <c r="K440" s="7" t="s">
        <v>2139</v>
      </c>
      <c r="L440" s="9" t="s">
        <v>2140</v>
      </c>
      <c r="M440" s="10">
        <v>45322</v>
      </c>
      <c r="N440" s="7" t="s">
        <v>67</v>
      </c>
      <c r="O440" s="9"/>
      <c r="P440" s="20"/>
      <c r="Q440" s="40">
        <v>309</v>
      </c>
      <c r="R440" s="1"/>
      <c r="S440" s="1"/>
      <c r="T440" s="1"/>
      <c r="U440" s="1"/>
      <c r="V440" s="1">
        <v>340</v>
      </c>
      <c r="W440" s="1">
        <v>313</v>
      </c>
      <c r="X440" s="1"/>
      <c r="Y440" s="1"/>
      <c r="Z440" s="1"/>
      <c r="AA440" s="1"/>
      <c r="AB440" s="1"/>
      <c r="AC440" s="1"/>
      <c r="AD440" s="1"/>
      <c r="AE440" s="1">
        <f t="shared" si="35"/>
        <v>3</v>
      </c>
      <c r="AF440" s="1">
        <f t="shared" si="31"/>
        <v>320.66666666666669</v>
      </c>
      <c r="AG440" s="11" t="str">
        <f t="shared" si="32"/>
        <v>APROVADO</v>
      </c>
    </row>
    <row r="441" spans="2:33" ht="25.5" x14ac:dyDescent="0.25">
      <c r="B441" s="5">
        <v>436</v>
      </c>
      <c r="C441" s="6" t="s">
        <v>2143</v>
      </c>
      <c r="D441" s="5" t="s">
        <v>33</v>
      </c>
      <c r="E441" s="5" t="s">
        <v>2136</v>
      </c>
      <c r="F441" s="5" t="s">
        <v>2144</v>
      </c>
      <c r="G441" s="7" t="s">
        <v>107</v>
      </c>
      <c r="H441" s="8">
        <v>580000</v>
      </c>
      <c r="I441" s="7" t="s">
        <v>2138</v>
      </c>
      <c r="J441" s="7" t="s">
        <v>254</v>
      </c>
      <c r="K441" s="7" t="s">
        <v>2139</v>
      </c>
      <c r="L441" s="9" t="s">
        <v>2140</v>
      </c>
      <c r="M441" s="10">
        <v>45322</v>
      </c>
      <c r="N441" s="5" t="s">
        <v>67</v>
      </c>
      <c r="O441" s="9"/>
      <c r="P441" s="20"/>
      <c r="Q441" s="39">
        <v>311</v>
      </c>
      <c r="R441" s="1"/>
      <c r="S441" s="1"/>
      <c r="T441" s="1"/>
      <c r="U441" s="1"/>
      <c r="V441" s="1"/>
      <c r="W441" s="1">
        <v>317</v>
      </c>
      <c r="X441" s="1">
        <v>327</v>
      </c>
      <c r="Y441" s="1"/>
      <c r="Z441" s="1"/>
      <c r="AA441" s="1"/>
      <c r="AB441" s="1"/>
      <c r="AC441" s="1"/>
      <c r="AD441" s="1"/>
      <c r="AE441" s="1">
        <f t="shared" si="35"/>
        <v>3</v>
      </c>
      <c r="AF441" s="1">
        <f t="shared" si="31"/>
        <v>318.33333333333331</v>
      </c>
      <c r="AG441" s="11" t="str">
        <f t="shared" si="32"/>
        <v>APROVADO</v>
      </c>
    </row>
    <row r="442" spans="2:33" ht="38.25" x14ac:dyDescent="0.25">
      <c r="B442" s="5">
        <v>437</v>
      </c>
      <c r="C442" s="6" t="s">
        <v>2145</v>
      </c>
      <c r="D442" s="5" t="s">
        <v>33</v>
      </c>
      <c r="E442" s="7" t="s">
        <v>2146</v>
      </c>
      <c r="F442" s="7" t="s">
        <v>2147</v>
      </c>
      <c r="G442" s="7" t="s">
        <v>107</v>
      </c>
      <c r="H442" s="8">
        <v>424690</v>
      </c>
      <c r="I442" s="7" t="s">
        <v>73</v>
      </c>
      <c r="J442" s="5" t="s">
        <v>74</v>
      </c>
      <c r="K442" s="7" t="s">
        <v>2148</v>
      </c>
      <c r="L442" s="9" t="s">
        <v>2149</v>
      </c>
      <c r="M442" s="10">
        <v>45322</v>
      </c>
      <c r="N442" s="7" t="s">
        <v>67</v>
      </c>
      <c r="O442" s="9"/>
      <c r="P442" s="20"/>
      <c r="Q442" s="40">
        <v>279</v>
      </c>
      <c r="R442" s="1"/>
      <c r="S442" s="1"/>
      <c r="T442" s="1"/>
      <c r="U442" s="1"/>
      <c r="V442" s="1">
        <v>283</v>
      </c>
      <c r="W442" s="1">
        <v>299</v>
      </c>
      <c r="X442" s="1"/>
      <c r="Y442" s="1"/>
      <c r="Z442" s="1"/>
      <c r="AA442" s="1"/>
      <c r="AB442" s="1"/>
      <c r="AC442" s="1"/>
      <c r="AD442" s="1"/>
      <c r="AE442" s="1">
        <f t="shared" si="35"/>
        <v>3</v>
      </c>
      <c r="AF442" s="1">
        <f t="shared" si="31"/>
        <v>287</v>
      </c>
      <c r="AG442" s="11" t="str">
        <f t="shared" si="32"/>
        <v>APROVADO</v>
      </c>
    </row>
    <row r="443" spans="2:33" ht="38.25" x14ac:dyDescent="0.25">
      <c r="B443" s="5">
        <v>438</v>
      </c>
      <c r="C443" s="6" t="s">
        <v>2150</v>
      </c>
      <c r="D443" s="5" t="s">
        <v>33</v>
      </c>
      <c r="E443" s="7" t="s">
        <v>2146</v>
      </c>
      <c r="F443" s="7" t="s">
        <v>2151</v>
      </c>
      <c r="G443" s="7" t="s">
        <v>107</v>
      </c>
      <c r="H443" s="8">
        <v>378300</v>
      </c>
      <c r="I443" s="7" t="s">
        <v>73</v>
      </c>
      <c r="J443" s="5" t="s">
        <v>74</v>
      </c>
      <c r="K443" s="7" t="s">
        <v>2148</v>
      </c>
      <c r="L443" s="9" t="s">
        <v>2149</v>
      </c>
      <c r="M443" s="10">
        <v>45322</v>
      </c>
      <c r="N443" s="7" t="s">
        <v>67</v>
      </c>
      <c r="O443" s="9"/>
      <c r="P443" s="20"/>
      <c r="Q443" s="40">
        <v>279</v>
      </c>
      <c r="R443" s="1"/>
      <c r="S443" s="1"/>
      <c r="T443" s="1"/>
      <c r="U443" s="1"/>
      <c r="V443" s="1">
        <v>331</v>
      </c>
      <c r="W443" s="1">
        <v>317</v>
      </c>
      <c r="X443" s="1"/>
      <c r="Y443" s="1"/>
      <c r="Z443" s="1"/>
      <c r="AA443" s="1"/>
      <c r="AB443" s="1"/>
      <c r="AC443" s="1"/>
      <c r="AD443" s="1"/>
      <c r="AE443" s="1">
        <f t="shared" si="35"/>
        <v>3</v>
      </c>
      <c r="AF443" s="1">
        <f t="shared" si="31"/>
        <v>309</v>
      </c>
      <c r="AG443" s="11" t="str">
        <f t="shared" si="32"/>
        <v>APROVADO</v>
      </c>
    </row>
    <row r="444" spans="2:33" ht="38.25" x14ac:dyDescent="0.25">
      <c r="B444" s="5">
        <v>439</v>
      </c>
      <c r="C444" s="6" t="s">
        <v>2152</v>
      </c>
      <c r="D444" s="5" t="s">
        <v>33</v>
      </c>
      <c r="E444" s="7" t="s">
        <v>2146</v>
      </c>
      <c r="F444" s="7" t="s">
        <v>2153</v>
      </c>
      <c r="G444" s="7" t="s">
        <v>107</v>
      </c>
      <c r="H444" s="8">
        <v>358226</v>
      </c>
      <c r="I444" s="7" t="s">
        <v>73</v>
      </c>
      <c r="J444" s="5" t="s">
        <v>74</v>
      </c>
      <c r="K444" s="7" t="s">
        <v>2148</v>
      </c>
      <c r="L444" s="9" t="s">
        <v>2149</v>
      </c>
      <c r="M444" s="10">
        <v>45322</v>
      </c>
      <c r="N444" s="7" t="s">
        <v>67</v>
      </c>
      <c r="O444" s="9"/>
      <c r="P444" s="20"/>
      <c r="Q444" s="40">
        <v>279</v>
      </c>
      <c r="R444" s="1"/>
      <c r="S444" s="1"/>
      <c r="T444" s="1"/>
      <c r="U444" s="1"/>
      <c r="V444" s="1">
        <v>269</v>
      </c>
      <c r="W444" s="1">
        <v>286</v>
      </c>
      <c r="X444" s="1"/>
      <c r="Y444" s="1"/>
      <c r="Z444" s="1"/>
      <c r="AA444" s="1"/>
      <c r="AB444" s="1"/>
      <c r="AC444" s="1"/>
      <c r="AD444" s="1"/>
      <c r="AE444" s="1">
        <f t="shared" si="35"/>
        <v>3</v>
      </c>
      <c r="AF444" s="1">
        <f t="shared" si="31"/>
        <v>278</v>
      </c>
      <c r="AG444" s="11" t="str">
        <f t="shared" si="32"/>
        <v>APROVADO</v>
      </c>
    </row>
    <row r="445" spans="2:33" ht="25.5" x14ac:dyDescent="0.25">
      <c r="B445" s="5">
        <v>440</v>
      </c>
      <c r="C445" s="27" t="s">
        <v>2154</v>
      </c>
      <c r="D445" s="5" t="s">
        <v>33</v>
      </c>
      <c r="E445" s="7" t="s">
        <v>2155</v>
      </c>
      <c r="F445" s="7" t="s">
        <v>2156</v>
      </c>
      <c r="G445" s="7" t="s">
        <v>36</v>
      </c>
      <c r="H445" s="8">
        <v>307058.67</v>
      </c>
      <c r="I445" s="7" t="s">
        <v>73</v>
      </c>
      <c r="J445" s="7" t="s">
        <v>74</v>
      </c>
      <c r="K445" s="7" t="s">
        <v>2157</v>
      </c>
      <c r="L445" s="9" t="s">
        <v>2158</v>
      </c>
      <c r="M445" s="10">
        <v>45322</v>
      </c>
      <c r="N445" s="7" t="s">
        <v>41</v>
      </c>
      <c r="O445" s="9"/>
      <c r="P445" s="20"/>
      <c r="Q445" s="40">
        <v>326</v>
      </c>
      <c r="R445" s="1">
        <v>140</v>
      </c>
      <c r="S445" s="1"/>
      <c r="T445" s="1">
        <v>149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>
        <f t="shared" si="35"/>
        <v>3</v>
      </c>
      <c r="AF445" s="1">
        <f t="shared" si="31"/>
        <v>205</v>
      </c>
      <c r="AG445" s="11" t="str">
        <f t="shared" si="32"/>
        <v>APROVADO</v>
      </c>
    </row>
    <row r="446" spans="2:33" ht="25.5" x14ac:dyDescent="0.25">
      <c r="B446" s="5">
        <v>441</v>
      </c>
      <c r="C446" s="27" t="s">
        <v>2159</v>
      </c>
      <c r="D446" s="5" t="s">
        <v>33</v>
      </c>
      <c r="E446" s="7" t="s">
        <v>2155</v>
      </c>
      <c r="F446" s="7" t="s">
        <v>2160</v>
      </c>
      <c r="G446" s="7" t="s">
        <v>36</v>
      </c>
      <c r="H446" s="8">
        <v>106832</v>
      </c>
      <c r="I446" s="7" t="s">
        <v>73</v>
      </c>
      <c r="J446" s="7" t="s">
        <v>74</v>
      </c>
      <c r="K446" s="7" t="s">
        <v>2157</v>
      </c>
      <c r="L446" s="9" t="s">
        <v>2158</v>
      </c>
      <c r="M446" s="10">
        <v>45322</v>
      </c>
      <c r="N446" s="7" t="s">
        <v>41</v>
      </c>
      <c r="O446" s="9"/>
      <c r="P446" s="20"/>
      <c r="Q446" s="40">
        <v>330</v>
      </c>
      <c r="R446" s="1">
        <v>147</v>
      </c>
      <c r="S446" s="1"/>
      <c r="T446" s="1">
        <v>152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>
        <f t="shared" si="35"/>
        <v>3</v>
      </c>
      <c r="AF446" s="1">
        <f t="shared" si="31"/>
        <v>209.66666666666666</v>
      </c>
      <c r="AG446" s="11" t="str">
        <f t="shared" si="32"/>
        <v>APROVADO</v>
      </c>
    </row>
    <row r="447" spans="2:33" ht="25.5" x14ac:dyDescent="0.25">
      <c r="B447" s="5">
        <v>442</v>
      </c>
      <c r="C447" s="27" t="s">
        <v>2161</v>
      </c>
      <c r="D447" s="5" t="s">
        <v>33</v>
      </c>
      <c r="E447" s="7" t="s">
        <v>2162</v>
      </c>
      <c r="F447" s="7" t="s">
        <v>2163</v>
      </c>
      <c r="G447" s="7" t="s">
        <v>107</v>
      </c>
      <c r="H447" s="8">
        <v>500000</v>
      </c>
      <c r="I447" s="7" t="s">
        <v>253</v>
      </c>
      <c r="J447" s="7" t="s">
        <v>254</v>
      </c>
      <c r="K447" s="7" t="s">
        <v>2164</v>
      </c>
      <c r="L447" s="9" t="s">
        <v>2165</v>
      </c>
      <c r="M447" s="10">
        <v>45322</v>
      </c>
      <c r="N447" s="7" t="s">
        <v>41</v>
      </c>
      <c r="O447" s="9"/>
      <c r="P447" s="20"/>
      <c r="Q447" s="40">
        <v>294</v>
      </c>
      <c r="R447" s="1">
        <v>207</v>
      </c>
      <c r="S447" s="1"/>
      <c r="T447" s="1">
        <v>227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>
        <f t="shared" si="35"/>
        <v>3</v>
      </c>
      <c r="AF447" s="1">
        <f t="shared" si="31"/>
        <v>242.66666666666666</v>
      </c>
      <c r="AG447" s="11" t="str">
        <f t="shared" si="32"/>
        <v>APROVADO</v>
      </c>
    </row>
    <row r="448" spans="2:33" x14ac:dyDescent="0.25">
      <c r="B448" s="5">
        <v>443</v>
      </c>
      <c r="C448" s="6" t="s">
        <v>2166</v>
      </c>
      <c r="D448" s="5" t="s">
        <v>33</v>
      </c>
      <c r="E448" s="5" t="s">
        <v>2167</v>
      </c>
      <c r="F448" s="5" t="s">
        <v>2168</v>
      </c>
      <c r="G448" s="5" t="s">
        <v>62</v>
      </c>
      <c r="H448" s="8">
        <v>220000</v>
      </c>
      <c r="I448" s="7" t="s">
        <v>290</v>
      </c>
      <c r="J448" s="7" t="s">
        <v>154</v>
      </c>
      <c r="K448" s="7" t="s">
        <v>2169</v>
      </c>
      <c r="L448" s="9" t="s">
        <v>2170</v>
      </c>
      <c r="M448" s="10">
        <v>45322</v>
      </c>
      <c r="N448" s="5" t="s">
        <v>57</v>
      </c>
      <c r="O448" s="7" t="s">
        <v>2171</v>
      </c>
      <c r="P448" s="20"/>
      <c r="Q448" s="39">
        <v>329</v>
      </c>
      <c r="R448" s="1"/>
      <c r="S448" s="1"/>
      <c r="T448" s="1"/>
      <c r="U448" s="1"/>
      <c r="V448" s="1">
        <v>340</v>
      </c>
      <c r="W448" s="1">
        <v>335</v>
      </c>
      <c r="X448" s="1"/>
      <c r="Y448" s="1"/>
      <c r="Z448" s="1"/>
      <c r="AA448" s="1"/>
      <c r="AB448" s="1"/>
      <c r="AC448" s="1"/>
      <c r="AD448" s="1"/>
      <c r="AE448" s="1">
        <f t="shared" si="35"/>
        <v>3</v>
      </c>
      <c r="AF448" s="1">
        <f t="shared" si="31"/>
        <v>334.66666666666669</v>
      </c>
      <c r="AG448" s="11" t="str">
        <f t="shared" si="32"/>
        <v>APROVADO</v>
      </c>
    </row>
    <row r="449" spans="2:33" ht="25.5" x14ac:dyDescent="0.25">
      <c r="B449" s="5">
        <v>444</v>
      </c>
      <c r="C449" s="6" t="s">
        <v>2172</v>
      </c>
      <c r="D449" s="5" t="s">
        <v>33</v>
      </c>
      <c r="E449" s="7" t="s">
        <v>2173</v>
      </c>
      <c r="F449" s="7" t="s">
        <v>2174</v>
      </c>
      <c r="G449" s="7" t="s">
        <v>336</v>
      </c>
      <c r="H449" s="49">
        <v>2997082.04</v>
      </c>
      <c r="I449" s="7" t="s">
        <v>73</v>
      </c>
      <c r="J449" s="5" t="s">
        <v>74</v>
      </c>
      <c r="K449" s="9" t="s">
        <v>2175</v>
      </c>
      <c r="L449" s="9" t="s">
        <v>2176</v>
      </c>
      <c r="M449" s="10">
        <v>45322</v>
      </c>
      <c r="N449" s="7" t="s">
        <v>67</v>
      </c>
      <c r="O449" s="9"/>
      <c r="P449" s="20"/>
      <c r="Q449" s="40">
        <v>293</v>
      </c>
      <c r="R449" s="1"/>
      <c r="S449" s="1"/>
      <c r="T449" s="1"/>
      <c r="U449" s="1"/>
      <c r="V449" s="1">
        <v>296</v>
      </c>
      <c r="W449" s="1">
        <v>307</v>
      </c>
      <c r="X449" s="1"/>
      <c r="Y449" s="1"/>
      <c r="Z449" s="1"/>
      <c r="AA449" s="1"/>
      <c r="AB449" s="1"/>
      <c r="AC449" s="1"/>
      <c r="AD449" s="1"/>
      <c r="AE449" s="1">
        <f t="shared" si="35"/>
        <v>3</v>
      </c>
      <c r="AF449" s="1">
        <f t="shared" si="31"/>
        <v>298.66666666666669</v>
      </c>
      <c r="AG449" s="11" t="str">
        <f t="shared" si="32"/>
        <v>APROVADO</v>
      </c>
    </row>
    <row r="450" spans="2:33" ht="38.25" x14ac:dyDescent="0.25">
      <c r="B450" s="5">
        <v>445</v>
      </c>
      <c r="C450" s="16" t="s">
        <v>2177</v>
      </c>
      <c r="D450" s="5" t="s">
        <v>33</v>
      </c>
      <c r="E450" s="5" t="s">
        <v>2178</v>
      </c>
      <c r="F450" s="5" t="s">
        <v>2179</v>
      </c>
      <c r="G450" s="7" t="s">
        <v>36</v>
      </c>
      <c r="H450" s="17">
        <v>250000</v>
      </c>
      <c r="I450" s="7" t="s">
        <v>1146</v>
      </c>
      <c r="J450" s="7" t="s">
        <v>123</v>
      </c>
      <c r="K450" s="5" t="s">
        <v>2180</v>
      </c>
      <c r="L450" s="9" t="s">
        <v>2181</v>
      </c>
      <c r="M450" s="10">
        <v>45322</v>
      </c>
      <c r="N450" s="7" t="s">
        <v>82</v>
      </c>
      <c r="O450" s="7" t="s">
        <v>845</v>
      </c>
      <c r="P450" s="20"/>
      <c r="Q450" s="40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 t="e">
        <f t="shared" si="31"/>
        <v>#DIV/0!</v>
      </c>
      <c r="AG450" s="11" t="e">
        <f t="shared" si="32"/>
        <v>#DIV/0!</v>
      </c>
    </row>
    <row r="451" spans="2:33" ht="24" customHeight="1" x14ac:dyDescent="0.25">
      <c r="B451" s="5">
        <v>446</v>
      </c>
      <c r="C451" s="6" t="s">
        <v>2182</v>
      </c>
      <c r="D451" s="5" t="s">
        <v>51</v>
      </c>
      <c r="E451" s="7" t="s">
        <v>2183</v>
      </c>
      <c r="F451" s="7" t="s">
        <v>2184</v>
      </c>
      <c r="G451" s="7" t="s">
        <v>107</v>
      </c>
      <c r="H451" s="28">
        <v>73120.100000000006</v>
      </c>
      <c r="I451" s="13" t="s">
        <v>2185</v>
      </c>
      <c r="J451" s="11" t="s">
        <v>189</v>
      </c>
      <c r="K451" s="13" t="s">
        <v>2186</v>
      </c>
      <c r="L451" s="30" t="s">
        <v>2187</v>
      </c>
      <c r="M451" s="26">
        <v>45322</v>
      </c>
      <c r="N451" s="13" t="s">
        <v>57</v>
      </c>
      <c r="O451" s="13"/>
      <c r="P451" s="20"/>
      <c r="Q451" s="1">
        <v>340</v>
      </c>
      <c r="R451" s="1"/>
      <c r="S451" s="1"/>
      <c r="T451" s="1"/>
      <c r="U451" s="1"/>
      <c r="V451" s="1"/>
      <c r="W451" s="1"/>
      <c r="X451" s="1">
        <v>340</v>
      </c>
      <c r="Y451" s="1">
        <v>282</v>
      </c>
      <c r="Z451" s="1"/>
      <c r="AA451" s="1"/>
      <c r="AB451" s="1"/>
      <c r="AC451" s="20"/>
      <c r="AD451" s="20"/>
      <c r="AE451" s="1">
        <f t="shared" ref="AE451:AE466" si="36">COUNT(Q451:AD451)</f>
        <v>3</v>
      </c>
      <c r="AF451" s="1">
        <f t="shared" si="31"/>
        <v>320.66666666666669</v>
      </c>
      <c r="AG451" s="11" t="str">
        <f t="shared" si="32"/>
        <v>APROVADO</v>
      </c>
    </row>
    <row r="452" spans="2:33" ht="25.5" x14ac:dyDescent="0.25">
      <c r="B452" s="5">
        <v>447</v>
      </c>
      <c r="C452" s="27" t="s">
        <v>2188</v>
      </c>
      <c r="D452" s="5" t="s">
        <v>33</v>
      </c>
      <c r="E452" s="9" t="s">
        <v>2189</v>
      </c>
      <c r="F452" s="9" t="s">
        <v>2190</v>
      </c>
      <c r="G452" s="9" t="s">
        <v>300</v>
      </c>
      <c r="H452" s="49">
        <v>927704.17</v>
      </c>
      <c r="I452" s="7" t="s">
        <v>73</v>
      </c>
      <c r="J452" s="7" t="s">
        <v>74</v>
      </c>
      <c r="K452" s="9" t="s">
        <v>2191</v>
      </c>
      <c r="L452" s="9" t="s">
        <v>2192</v>
      </c>
      <c r="M452" s="10">
        <v>45322</v>
      </c>
      <c r="N452" s="7" t="s">
        <v>41</v>
      </c>
      <c r="O452" s="9"/>
      <c r="P452" s="20"/>
      <c r="Q452" s="40">
        <v>328</v>
      </c>
      <c r="R452" s="1">
        <v>212</v>
      </c>
      <c r="S452" s="1"/>
      <c r="T452" s="1">
        <v>236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>
        <f t="shared" si="36"/>
        <v>3</v>
      </c>
      <c r="AF452" s="1">
        <f t="shared" si="31"/>
        <v>258.66666666666669</v>
      </c>
      <c r="AG452" s="11" t="str">
        <f t="shared" si="32"/>
        <v>APROVADO</v>
      </c>
    </row>
    <row r="453" spans="2:33" ht="25.5" x14ac:dyDescent="0.25">
      <c r="B453" s="5">
        <v>448</v>
      </c>
      <c r="C453" s="6" t="s">
        <v>2193</v>
      </c>
      <c r="D453" s="5" t="s">
        <v>33</v>
      </c>
      <c r="E453" s="5" t="s">
        <v>2194</v>
      </c>
      <c r="F453" s="5" t="s">
        <v>2195</v>
      </c>
      <c r="G453" s="5" t="s">
        <v>62</v>
      </c>
      <c r="H453" s="49">
        <v>16476.169999999998</v>
      </c>
      <c r="I453" s="7" t="s">
        <v>2196</v>
      </c>
      <c r="J453" s="9" t="s">
        <v>115</v>
      </c>
      <c r="K453" s="7" t="s">
        <v>2197</v>
      </c>
      <c r="L453" s="9" t="s">
        <v>2198</v>
      </c>
      <c r="M453" s="10">
        <v>45322</v>
      </c>
      <c r="N453" s="5" t="s">
        <v>67</v>
      </c>
      <c r="O453" s="9"/>
      <c r="P453" s="20"/>
      <c r="Q453" s="39">
        <v>340</v>
      </c>
      <c r="R453" s="1"/>
      <c r="S453" s="1"/>
      <c r="T453" s="1"/>
      <c r="U453" s="1"/>
      <c r="V453" s="1">
        <v>340</v>
      </c>
      <c r="W453" s="1">
        <v>340</v>
      </c>
      <c r="X453" s="1"/>
      <c r="Y453" s="1"/>
      <c r="Z453" s="1"/>
      <c r="AA453" s="1"/>
      <c r="AB453" s="1"/>
      <c r="AC453" s="1"/>
      <c r="AD453" s="1"/>
      <c r="AE453" s="1">
        <f t="shared" si="36"/>
        <v>3</v>
      </c>
      <c r="AF453" s="1">
        <f t="shared" ref="AF453:AF516" si="37">AVERAGE(Q453:AD453)</f>
        <v>340</v>
      </c>
      <c r="AG453" s="11" t="str">
        <f t="shared" ref="AG453:AG516" si="38">IF(AF453&gt;=$AG$1,"APROVADO","REPROVADO")</f>
        <v>APROVADO</v>
      </c>
    </row>
    <row r="454" spans="2:33" ht="51" x14ac:dyDescent="0.25">
      <c r="B454" s="5">
        <v>449</v>
      </c>
      <c r="C454" s="6" t="s">
        <v>2199</v>
      </c>
      <c r="D454" s="5" t="s">
        <v>33</v>
      </c>
      <c r="E454" s="9" t="s">
        <v>2200</v>
      </c>
      <c r="F454" s="11" t="s">
        <v>2201</v>
      </c>
      <c r="G454" s="11" t="s">
        <v>36</v>
      </c>
      <c r="H454" s="49">
        <v>111000</v>
      </c>
      <c r="I454" s="7" t="s">
        <v>2202</v>
      </c>
      <c r="J454" s="9" t="s">
        <v>115</v>
      </c>
      <c r="K454" s="9" t="s">
        <v>2203</v>
      </c>
      <c r="L454" s="9" t="s">
        <v>2204</v>
      </c>
      <c r="M454" s="10">
        <v>45322</v>
      </c>
      <c r="N454" s="5" t="s">
        <v>67</v>
      </c>
      <c r="O454" s="9"/>
      <c r="P454" s="20"/>
      <c r="Q454" s="39">
        <v>340</v>
      </c>
      <c r="R454" s="1"/>
      <c r="S454" s="1"/>
      <c r="T454" s="1"/>
      <c r="U454" s="1"/>
      <c r="V454" s="1">
        <v>340</v>
      </c>
      <c r="W454" s="1">
        <v>340</v>
      </c>
      <c r="X454" s="1"/>
      <c r="Y454" s="1"/>
      <c r="Z454" s="1"/>
      <c r="AA454" s="1"/>
      <c r="AB454" s="1"/>
      <c r="AC454" s="1"/>
      <c r="AD454" s="1"/>
      <c r="AE454" s="1">
        <f t="shared" si="36"/>
        <v>3</v>
      </c>
      <c r="AF454" s="1">
        <f t="shared" si="37"/>
        <v>340</v>
      </c>
      <c r="AG454" s="11" t="str">
        <f t="shared" si="38"/>
        <v>APROVADO</v>
      </c>
    </row>
    <row r="455" spans="2:33" ht="25.5" x14ac:dyDescent="0.25">
      <c r="B455" s="5">
        <v>450</v>
      </c>
      <c r="C455" s="6" t="s">
        <v>2205</v>
      </c>
      <c r="D455" s="5" t="s">
        <v>33</v>
      </c>
      <c r="E455" s="9" t="s">
        <v>2200</v>
      </c>
      <c r="F455" s="11" t="s">
        <v>2206</v>
      </c>
      <c r="G455" s="11" t="s">
        <v>36</v>
      </c>
      <c r="H455" s="49">
        <v>198000</v>
      </c>
      <c r="I455" s="7" t="s">
        <v>2202</v>
      </c>
      <c r="J455" s="9" t="s">
        <v>115</v>
      </c>
      <c r="K455" s="9" t="s">
        <v>2203</v>
      </c>
      <c r="L455" s="9" t="s">
        <v>2204</v>
      </c>
      <c r="M455" s="10">
        <v>45322</v>
      </c>
      <c r="N455" s="7" t="s">
        <v>67</v>
      </c>
      <c r="O455" s="9"/>
      <c r="P455" s="20"/>
      <c r="Q455" s="40">
        <v>331</v>
      </c>
      <c r="R455" s="1"/>
      <c r="S455" s="1"/>
      <c r="T455" s="1"/>
      <c r="U455" s="1"/>
      <c r="V455" s="1">
        <v>340</v>
      </c>
      <c r="W455" s="1">
        <v>335</v>
      </c>
      <c r="X455" s="1"/>
      <c r="Y455" s="1"/>
      <c r="Z455" s="1"/>
      <c r="AA455" s="1"/>
      <c r="AB455" s="1"/>
      <c r="AC455" s="1"/>
      <c r="AD455" s="1"/>
      <c r="AE455" s="1">
        <f t="shared" si="36"/>
        <v>3</v>
      </c>
      <c r="AF455" s="1">
        <f t="shared" si="37"/>
        <v>335.33333333333331</v>
      </c>
      <c r="AG455" s="11" t="str">
        <f t="shared" si="38"/>
        <v>APROVADO</v>
      </c>
    </row>
    <row r="456" spans="2:33" x14ac:dyDescent="0.25">
      <c r="B456" s="5">
        <v>451</v>
      </c>
      <c r="C456" s="6" t="s">
        <v>2207</v>
      </c>
      <c r="D456" s="5" t="s">
        <v>51</v>
      </c>
      <c r="E456" s="7" t="s">
        <v>2208</v>
      </c>
      <c r="F456" s="7" t="s">
        <v>2209</v>
      </c>
      <c r="G456" s="7" t="s">
        <v>62</v>
      </c>
      <c r="H456" s="28">
        <v>394000</v>
      </c>
      <c r="I456" s="13" t="s">
        <v>2210</v>
      </c>
      <c r="J456" s="11" t="s">
        <v>391</v>
      </c>
      <c r="K456" s="13" t="s">
        <v>2211</v>
      </c>
      <c r="L456" s="30" t="s">
        <v>2212</v>
      </c>
      <c r="M456" s="26">
        <v>45322</v>
      </c>
      <c r="N456" s="13" t="s">
        <v>57</v>
      </c>
      <c r="O456" s="13"/>
      <c r="P456" s="20"/>
      <c r="Q456" s="1">
        <v>267</v>
      </c>
      <c r="R456" s="1"/>
      <c r="S456" s="1"/>
      <c r="T456" s="1"/>
      <c r="U456" s="1"/>
      <c r="V456" s="1">
        <v>311</v>
      </c>
      <c r="W456" s="1"/>
      <c r="X456" s="1">
        <v>311</v>
      </c>
      <c r="Y456" s="1"/>
      <c r="Z456" s="1"/>
      <c r="AA456" s="1"/>
      <c r="AB456" s="1"/>
      <c r="AC456" s="20"/>
      <c r="AD456" s="20"/>
      <c r="AE456" s="1">
        <f t="shared" si="36"/>
        <v>3</v>
      </c>
      <c r="AF456" s="1">
        <f t="shared" si="37"/>
        <v>296.33333333333331</v>
      </c>
      <c r="AG456" s="11" t="str">
        <f t="shared" si="38"/>
        <v>APROVADO</v>
      </c>
    </row>
    <row r="457" spans="2:33" x14ac:dyDescent="0.25">
      <c r="B457" s="5">
        <v>452</v>
      </c>
      <c r="C457" s="6" t="s">
        <v>2213</v>
      </c>
      <c r="D457" s="5" t="s">
        <v>51</v>
      </c>
      <c r="E457" s="7" t="s">
        <v>2208</v>
      </c>
      <c r="F457" s="7" t="s">
        <v>2214</v>
      </c>
      <c r="G457" s="7" t="s">
        <v>107</v>
      </c>
      <c r="H457" s="28">
        <v>144000</v>
      </c>
      <c r="I457" s="13" t="s">
        <v>2210</v>
      </c>
      <c r="J457" s="11" t="s">
        <v>391</v>
      </c>
      <c r="K457" s="13" t="s">
        <v>2211</v>
      </c>
      <c r="L457" s="30" t="s">
        <v>2212</v>
      </c>
      <c r="M457" s="26">
        <v>45322</v>
      </c>
      <c r="N457" s="13" t="s">
        <v>57</v>
      </c>
      <c r="O457" s="13"/>
      <c r="P457" s="20"/>
      <c r="Q457" s="1">
        <v>304</v>
      </c>
      <c r="R457" s="1"/>
      <c r="S457" s="1"/>
      <c r="T457" s="1"/>
      <c r="U457" s="1"/>
      <c r="V457" s="1">
        <v>340</v>
      </c>
      <c r="W457" s="1">
        <v>322</v>
      </c>
      <c r="X457" s="1"/>
      <c r="Y457" s="1"/>
      <c r="Z457" s="1"/>
      <c r="AA457" s="1"/>
      <c r="AB457" s="1"/>
      <c r="AC457" s="20"/>
      <c r="AD457" s="20"/>
      <c r="AE457" s="1">
        <f t="shared" si="36"/>
        <v>3</v>
      </c>
      <c r="AF457" s="1">
        <f t="shared" si="37"/>
        <v>322</v>
      </c>
      <c r="AG457" s="11" t="str">
        <f t="shared" si="38"/>
        <v>APROVADO</v>
      </c>
    </row>
    <row r="458" spans="2:33" x14ac:dyDescent="0.25">
      <c r="B458" s="5">
        <v>453</v>
      </c>
      <c r="C458" s="6" t="s">
        <v>2215</v>
      </c>
      <c r="D458" s="5" t="s">
        <v>51</v>
      </c>
      <c r="E458" s="7" t="s">
        <v>2208</v>
      </c>
      <c r="F458" s="7" t="s">
        <v>2216</v>
      </c>
      <c r="G458" s="7" t="s">
        <v>107</v>
      </c>
      <c r="H458" s="28">
        <v>415522</v>
      </c>
      <c r="I458" s="13" t="s">
        <v>2210</v>
      </c>
      <c r="J458" s="11" t="s">
        <v>391</v>
      </c>
      <c r="K458" s="13" t="s">
        <v>2211</v>
      </c>
      <c r="L458" s="30" t="s">
        <v>2212</v>
      </c>
      <c r="M458" s="26">
        <v>45322</v>
      </c>
      <c r="N458" s="13" t="s">
        <v>57</v>
      </c>
      <c r="O458" s="13"/>
      <c r="P458" s="20"/>
      <c r="Q458" s="1">
        <v>223</v>
      </c>
      <c r="R458" s="1"/>
      <c r="S458" s="1"/>
      <c r="T458" s="1"/>
      <c r="U458" s="1"/>
      <c r="V458" s="1">
        <v>221</v>
      </c>
      <c r="W458" s="1">
        <v>244</v>
      </c>
      <c r="X458" s="1"/>
      <c r="Y458" s="1"/>
      <c r="Z458" s="1"/>
      <c r="AA458" s="1"/>
      <c r="AB458" s="1"/>
      <c r="AC458" s="20"/>
      <c r="AD458" s="20"/>
      <c r="AE458" s="1">
        <f t="shared" si="36"/>
        <v>3</v>
      </c>
      <c r="AF458" s="1">
        <f t="shared" si="37"/>
        <v>229.33333333333334</v>
      </c>
      <c r="AG458" s="11" t="str">
        <f t="shared" si="38"/>
        <v>APROVADO</v>
      </c>
    </row>
    <row r="459" spans="2:33" ht="25.5" x14ac:dyDescent="0.25">
      <c r="B459" s="5">
        <v>454</v>
      </c>
      <c r="C459" s="6" t="s">
        <v>2217</v>
      </c>
      <c r="D459" s="5" t="s">
        <v>33</v>
      </c>
      <c r="E459" s="7" t="s">
        <v>2218</v>
      </c>
      <c r="F459" s="7" t="s">
        <v>2219</v>
      </c>
      <c r="G459" s="7" t="s">
        <v>36</v>
      </c>
      <c r="H459" s="8">
        <v>0</v>
      </c>
      <c r="I459" s="7" t="s">
        <v>2220</v>
      </c>
      <c r="J459" s="7" t="s">
        <v>38</v>
      </c>
      <c r="K459" s="7" t="s">
        <v>2221</v>
      </c>
      <c r="L459" s="9" t="s">
        <v>2222</v>
      </c>
      <c r="M459" s="10">
        <v>45322</v>
      </c>
      <c r="N459" s="13" t="s">
        <v>41</v>
      </c>
      <c r="O459" s="7" t="s">
        <v>2223</v>
      </c>
      <c r="P459" s="20"/>
      <c r="Q459" s="40">
        <v>260</v>
      </c>
      <c r="R459" s="1"/>
      <c r="S459" s="1"/>
      <c r="T459" s="1"/>
      <c r="U459" s="1"/>
      <c r="V459" s="1"/>
      <c r="W459" s="1">
        <v>273</v>
      </c>
      <c r="X459" s="1"/>
      <c r="Y459" s="1">
        <v>340</v>
      </c>
      <c r="Z459" s="1"/>
      <c r="AA459" s="1"/>
      <c r="AB459" s="1"/>
      <c r="AC459" s="1"/>
      <c r="AD459" s="1"/>
      <c r="AE459" s="1">
        <f t="shared" si="36"/>
        <v>3</v>
      </c>
      <c r="AF459" s="1">
        <f t="shared" si="37"/>
        <v>291</v>
      </c>
      <c r="AG459" s="11" t="str">
        <f t="shared" si="38"/>
        <v>APROVADO</v>
      </c>
    </row>
    <row r="460" spans="2:33" x14ac:dyDescent="0.25">
      <c r="B460" s="5">
        <v>455</v>
      </c>
      <c r="C460" s="27" t="s">
        <v>2224</v>
      </c>
      <c r="D460" s="5" t="s">
        <v>33</v>
      </c>
      <c r="E460" s="7" t="s">
        <v>2225</v>
      </c>
      <c r="F460" s="7" t="s">
        <v>2226</v>
      </c>
      <c r="G460" s="7" t="s">
        <v>107</v>
      </c>
      <c r="H460" s="8">
        <v>821100</v>
      </c>
      <c r="I460" s="7" t="s">
        <v>2220</v>
      </c>
      <c r="J460" s="7" t="s">
        <v>38</v>
      </c>
      <c r="K460" s="7" t="s">
        <v>2227</v>
      </c>
      <c r="L460" s="9" t="s">
        <v>2228</v>
      </c>
      <c r="M460" s="10">
        <v>45322</v>
      </c>
      <c r="N460" s="7" t="s">
        <v>41</v>
      </c>
      <c r="O460" s="9"/>
      <c r="P460" s="20"/>
      <c r="Q460" s="40">
        <v>332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>
        <v>340</v>
      </c>
      <c r="AC460" s="1"/>
      <c r="AD460" s="1">
        <v>340</v>
      </c>
      <c r="AE460" s="1">
        <f t="shared" si="36"/>
        <v>3</v>
      </c>
      <c r="AF460" s="1">
        <f t="shared" si="37"/>
        <v>337.33333333333331</v>
      </c>
      <c r="AG460" s="11" t="str">
        <f t="shared" si="38"/>
        <v>APROVADO</v>
      </c>
    </row>
    <row r="461" spans="2:33" x14ac:dyDescent="0.25">
      <c r="B461" s="5">
        <v>456</v>
      </c>
      <c r="C461" s="27" t="s">
        <v>2229</v>
      </c>
      <c r="D461" s="5" t="s">
        <v>33</v>
      </c>
      <c r="E461" s="7" t="s">
        <v>2225</v>
      </c>
      <c r="F461" s="7" t="s">
        <v>2230</v>
      </c>
      <c r="G461" s="7" t="s">
        <v>107</v>
      </c>
      <c r="H461" s="8">
        <v>1139100</v>
      </c>
      <c r="I461" s="7" t="s">
        <v>2220</v>
      </c>
      <c r="J461" s="7" t="s">
        <v>38</v>
      </c>
      <c r="K461" s="7" t="s">
        <v>2227</v>
      </c>
      <c r="L461" s="9" t="s">
        <v>2228</v>
      </c>
      <c r="M461" s="10">
        <v>45322</v>
      </c>
      <c r="N461" s="7" t="s">
        <v>41</v>
      </c>
      <c r="O461" s="9"/>
      <c r="P461" s="20"/>
      <c r="Q461" s="40">
        <v>324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>
        <v>253</v>
      </c>
      <c r="AD461" s="1">
        <v>340</v>
      </c>
      <c r="AE461" s="1">
        <f t="shared" si="36"/>
        <v>3</v>
      </c>
      <c r="AF461" s="1">
        <f t="shared" si="37"/>
        <v>305.66666666666669</v>
      </c>
      <c r="AG461" s="11" t="str">
        <f t="shared" si="38"/>
        <v>APROVADO</v>
      </c>
    </row>
    <row r="462" spans="2:33" x14ac:dyDescent="0.25">
      <c r="B462" s="5">
        <v>457</v>
      </c>
      <c r="C462" s="27" t="s">
        <v>2231</v>
      </c>
      <c r="D462" s="5" t="s">
        <v>33</v>
      </c>
      <c r="E462" s="7" t="s">
        <v>2225</v>
      </c>
      <c r="F462" s="7" t="s">
        <v>2232</v>
      </c>
      <c r="G462" s="7" t="s">
        <v>107</v>
      </c>
      <c r="H462" s="8">
        <v>812100</v>
      </c>
      <c r="I462" s="7" t="s">
        <v>2220</v>
      </c>
      <c r="J462" s="7" t="s">
        <v>38</v>
      </c>
      <c r="K462" s="7" t="s">
        <v>2227</v>
      </c>
      <c r="L462" s="9" t="s">
        <v>2228</v>
      </c>
      <c r="M462" s="10">
        <v>45322</v>
      </c>
      <c r="N462" s="7" t="s">
        <v>41</v>
      </c>
      <c r="O462" s="9"/>
      <c r="P462" s="20"/>
      <c r="Q462" s="40">
        <v>335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>
        <v>334</v>
      </c>
      <c r="AC462" s="1">
        <v>312</v>
      </c>
      <c r="AD462" s="1"/>
      <c r="AE462" s="1">
        <f t="shared" si="36"/>
        <v>3</v>
      </c>
      <c r="AF462" s="1">
        <f t="shared" si="37"/>
        <v>327</v>
      </c>
      <c r="AG462" s="11" t="str">
        <f t="shared" si="38"/>
        <v>APROVADO</v>
      </c>
    </row>
    <row r="463" spans="2:33" x14ac:dyDescent="0.25">
      <c r="B463" s="5">
        <v>458</v>
      </c>
      <c r="C463" s="6" t="s">
        <v>2233</v>
      </c>
      <c r="D463" s="5" t="s">
        <v>51</v>
      </c>
      <c r="E463" s="7" t="s">
        <v>2234</v>
      </c>
      <c r="F463" s="7" t="s">
        <v>2235</v>
      </c>
      <c r="G463" s="7" t="s">
        <v>107</v>
      </c>
      <c r="H463" s="28">
        <v>340000</v>
      </c>
      <c r="I463" s="13" t="s">
        <v>2236</v>
      </c>
      <c r="J463" s="11" t="s">
        <v>223</v>
      </c>
      <c r="K463" s="13" t="s">
        <v>2237</v>
      </c>
      <c r="L463" s="30" t="s">
        <v>2238</v>
      </c>
      <c r="M463" s="26">
        <v>45322</v>
      </c>
      <c r="N463" s="13" t="s">
        <v>57</v>
      </c>
      <c r="O463" s="13"/>
      <c r="P463" s="20"/>
      <c r="Q463" s="1">
        <v>299</v>
      </c>
      <c r="R463" s="1"/>
      <c r="S463" s="1"/>
      <c r="T463" s="1"/>
      <c r="U463" s="1"/>
      <c r="V463" s="1"/>
      <c r="W463" s="1"/>
      <c r="X463" s="1">
        <v>312</v>
      </c>
      <c r="Y463" s="1">
        <v>340</v>
      </c>
      <c r="Z463" s="1"/>
      <c r="AA463" s="1"/>
      <c r="AB463" s="1"/>
      <c r="AC463" s="20"/>
      <c r="AD463" s="20"/>
      <c r="AE463" s="1">
        <f t="shared" si="36"/>
        <v>3</v>
      </c>
      <c r="AF463" s="1">
        <f t="shared" si="37"/>
        <v>317</v>
      </c>
      <c r="AG463" s="11" t="str">
        <f t="shared" si="38"/>
        <v>APROVADO</v>
      </c>
    </row>
    <row r="464" spans="2:33" ht="25.5" x14ac:dyDescent="0.25">
      <c r="B464" s="5">
        <v>459</v>
      </c>
      <c r="C464" s="6" t="s">
        <v>2239</v>
      </c>
      <c r="D464" s="5" t="s">
        <v>51</v>
      </c>
      <c r="E464" s="7" t="s">
        <v>2240</v>
      </c>
      <c r="F464" s="7" t="s">
        <v>2241</v>
      </c>
      <c r="G464" s="7" t="s">
        <v>107</v>
      </c>
      <c r="H464" s="28">
        <v>75600</v>
      </c>
      <c r="I464" s="13" t="s">
        <v>2242</v>
      </c>
      <c r="J464" s="11" t="s">
        <v>189</v>
      </c>
      <c r="K464" s="13" t="s">
        <v>2243</v>
      </c>
      <c r="L464" s="30" t="s">
        <v>2244</v>
      </c>
      <c r="M464" s="26">
        <v>45322</v>
      </c>
      <c r="N464" s="13" t="s">
        <v>57</v>
      </c>
      <c r="O464" s="13"/>
      <c r="P464" s="20"/>
      <c r="Q464" s="1">
        <v>330</v>
      </c>
      <c r="R464" s="1"/>
      <c r="S464" s="1"/>
      <c r="T464" s="1"/>
      <c r="U464" s="1"/>
      <c r="V464" s="1">
        <v>340</v>
      </c>
      <c r="W464" s="1">
        <v>338</v>
      </c>
      <c r="X464" s="1"/>
      <c r="Y464" s="1"/>
      <c r="Z464" s="1"/>
      <c r="AA464" s="1"/>
      <c r="AB464" s="1"/>
      <c r="AC464" s="20"/>
      <c r="AD464" s="20"/>
      <c r="AE464" s="1">
        <f t="shared" si="36"/>
        <v>3</v>
      </c>
      <c r="AF464" s="1">
        <f t="shared" si="37"/>
        <v>336</v>
      </c>
      <c r="AG464" s="11" t="str">
        <f t="shared" si="38"/>
        <v>APROVADO</v>
      </c>
    </row>
    <row r="465" spans="2:33" ht="38.25" x14ac:dyDescent="0.25">
      <c r="B465" s="5">
        <v>460</v>
      </c>
      <c r="C465" s="6" t="s">
        <v>2245</v>
      </c>
      <c r="D465" s="5" t="s">
        <v>33</v>
      </c>
      <c r="E465" s="7" t="s">
        <v>2246</v>
      </c>
      <c r="F465" s="7" t="s">
        <v>2247</v>
      </c>
      <c r="G465" s="7" t="s">
        <v>36</v>
      </c>
      <c r="H465" s="8">
        <v>300000</v>
      </c>
      <c r="I465" s="7" t="s">
        <v>1442</v>
      </c>
      <c r="J465" s="7" t="s">
        <v>254</v>
      </c>
      <c r="K465" s="7" t="s">
        <v>2248</v>
      </c>
      <c r="L465" s="9" t="s">
        <v>2249</v>
      </c>
      <c r="M465" s="10">
        <v>45322</v>
      </c>
      <c r="N465" s="7" t="s">
        <v>67</v>
      </c>
      <c r="O465" s="7"/>
      <c r="P465" s="20"/>
      <c r="Q465" s="40"/>
      <c r="R465" s="1"/>
      <c r="S465" s="1"/>
      <c r="T465" s="1"/>
      <c r="U465" s="1"/>
      <c r="V465" s="1"/>
      <c r="W465" s="1">
        <v>340</v>
      </c>
      <c r="X465" s="1">
        <v>317</v>
      </c>
      <c r="Y465" s="1">
        <v>335</v>
      </c>
      <c r="Z465" s="1"/>
      <c r="AA465" s="1"/>
      <c r="AB465" s="1"/>
      <c r="AC465" s="1"/>
      <c r="AD465" s="1"/>
      <c r="AE465" s="1">
        <f t="shared" si="36"/>
        <v>3</v>
      </c>
      <c r="AF465" s="1">
        <f t="shared" si="37"/>
        <v>330.66666666666669</v>
      </c>
      <c r="AG465" s="11" t="str">
        <f t="shared" si="38"/>
        <v>APROVADO</v>
      </c>
    </row>
    <row r="466" spans="2:33" ht="25.5" x14ac:dyDescent="0.25">
      <c r="B466" s="5">
        <v>461</v>
      </c>
      <c r="C466" s="6" t="s">
        <v>2250</v>
      </c>
      <c r="D466" s="5" t="s">
        <v>33</v>
      </c>
      <c r="E466" s="7" t="s">
        <v>2251</v>
      </c>
      <c r="F466" s="7" t="s">
        <v>2252</v>
      </c>
      <c r="G466" s="7" t="s">
        <v>174</v>
      </c>
      <c r="H466" s="8">
        <v>213318.26</v>
      </c>
      <c r="I466" s="7" t="s">
        <v>2253</v>
      </c>
      <c r="J466" s="7" t="s">
        <v>445</v>
      </c>
      <c r="K466" s="7" t="s">
        <v>2254</v>
      </c>
      <c r="L466" s="9" t="s">
        <v>2255</v>
      </c>
      <c r="M466" s="10">
        <v>45322</v>
      </c>
      <c r="N466" s="7" t="s">
        <v>67</v>
      </c>
      <c r="O466" s="7" t="s">
        <v>2256</v>
      </c>
      <c r="P466" s="20"/>
      <c r="Q466" s="40">
        <v>340</v>
      </c>
      <c r="R466" s="1"/>
      <c r="S466" s="1"/>
      <c r="T466" s="1"/>
      <c r="U466" s="1"/>
      <c r="V466" s="1">
        <v>340</v>
      </c>
      <c r="W466" s="1">
        <v>340</v>
      </c>
      <c r="X466" s="1"/>
      <c r="Y466" s="1"/>
      <c r="Z466" s="1"/>
      <c r="AA466" s="1"/>
      <c r="AB466" s="1"/>
      <c r="AC466" s="1"/>
      <c r="AD466" s="1"/>
      <c r="AE466" s="1">
        <f t="shared" si="36"/>
        <v>3</v>
      </c>
      <c r="AF466" s="1">
        <f t="shared" si="37"/>
        <v>340</v>
      </c>
      <c r="AG466" s="11" t="str">
        <f t="shared" si="38"/>
        <v>APROVADO</v>
      </c>
    </row>
    <row r="467" spans="2:33" x14ac:dyDescent="0.25">
      <c r="B467" s="5">
        <v>462</v>
      </c>
      <c r="C467" s="16" t="s">
        <v>2257</v>
      </c>
      <c r="D467" s="5" t="s">
        <v>51</v>
      </c>
      <c r="E467" s="7" t="s">
        <v>2258</v>
      </c>
      <c r="F467" s="7" t="s">
        <v>2259</v>
      </c>
      <c r="G467" s="14" t="s">
        <v>36</v>
      </c>
      <c r="H467" s="28">
        <v>500000</v>
      </c>
      <c r="I467" s="13" t="s">
        <v>2260</v>
      </c>
      <c r="J467" s="11" t="s">
        <v>162</v>
      </c>
      <c r="K467" s="13" t="s">
        <v>2261</v>
      </c>
      <c r="L467" s="30" t="s">
        <v>2262</v>
      </c>
      <c r="M467" s="26">
        <v>45322</v>
      </c>
      <c r="N467" s="7" t="s">
        <v>82</v>
      </c>
      <c r="O467" s="7" t="s">
        <v>845</v>
      </c>
      <c r="P467" s="20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0"/>
      <c r="AD467" s="20"/>
      <c r="AE467" s="20"/>
      <c r="AF467" s="1" t="e">
        <f t="shared" si="37"/>
        <v>#DIV/0!</v>
      </c>
      <c r="AG467" s="11" t="e">
        <f t="shared" si="38"/>
        <v>#DIV/0!</v>
      </c>
    </row>
    <row r="468" spans="2:33" x14ac:dyDescent="0.25">
      <c r="B468" s="5">
        <v>463</v>
      </c>
      <c r="C468" s="32" t="s">
        <v>2263</v>
      </c>
      <c r="D468" s="5" t="s">
        <v>51</v>
      </c>
      <c r="E468" s="13" t="s">
        <v>2258</v>
      </c>
      <c r="F468" s="7" t="s">
        <v>2264</v>
      </c>
      <c r="G468" s="14" t="s">
        <v>36</v>
      </c>
      <c r="H468" s="28">
        <v>198600</v>
      </c>
      <c r="I468" s="13" t="s">
        <v>2260</v>
      </c>
      <c r="J468" s="11" t="s">
        <v>162</v>
      </c>
      <c r="K468" s="13" t="s">
        <v>2261</v>
      </c>
      <c r="L468" s="30" t="s">
        <v>2262</v>
      </c>
      <c r="M468" s="26">
        <v>45322</v>
      </c>
      <c r="N468" s="7" t="s">
        <v>82</v>
      </c>
      <c r="O468" s="7" t="s">
        <v>845</v>
      </c>
      <c r="P468" s="20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0"/>
      <c r="AD468" s="20"/>
      <c r="AE468" s="20"/>
      <c r="AF468" s="1" t="e">
        <f t="shared" si="37"/>
        <v>#DIV/0!</v>
      </c>
      <c r="AG468" s="11" t="e">
        <f t="shared" si="38"/>
        <v>#DIV/0!</v>
      </c>
    </row>
    <row r="469" spans="2:33" x14ac:dyDescent="0.25">
      <c r="B469" s="5">
        <v>464</v>
      </c>
      <c r="C469" s="32" t="s">
        <v>2265</v>
      </c>
      <c r="D469" s="5" t="s">
        <v>51</v>
      </c>
      <c r="E469" s="13" t="s">
        <v>2258</v>
      </c>
      <c r="F469" s="13" t="s">
        <v>2266</v>
      </c>
      <c r="G469" s="14" t="s">
        <v>36</v>
      </c>
      <c r="H469" s="28">
        <v>200000</v>
      </c>
      <c r="I469" s="13" t="s">
        <v>2260</v>
      </c>
      <c r="J469" s="11" t="s">
        <v>162</v>
      </c>
      <c r="K469" s="13" t="s">
        <v>2261</v>
      </c>
      <c r="L469" s="30" t="s">
        <v>2262</v>
      </c>
      <c r="M469" s="26">
        <v>45322</v>
      </c>
      <c r="N469" s="7" t="s">
        <v>82</v>
      </c>
      <c r="O469" s="7" t="s">
        <v>845</v>
      </c>
      <c r="P469" s="20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0"/>
      <c r="AD469" s="20"/>
      <c r="AE469" s="20"/>
      <c r="AF469" s="1" t="e">
        <f t="shared" si="37"/>
        <v>#DIV/0!</v>
      </c>
      <c r="AG469" s="11" t="e">
        <f t="shared" si="38"/>
        <v>#DIV/0!</v>
      </c>
    </row>
    <row r="470" spans="2:33" ht="25.5" x14ac:dyDescent="0.25">
      <c r="B470" s="5">
        <v>465</v>
      </c>
      <c r="C470" s="6" t="s">
        <v>2267</v>
      </c>
      <c r="D470" s="5" t="s">
        <v>33</v>
      </c>
      <c r="E470" s="5" t="s">
        <v>2268</v>
      </c>
      <c r="F470" s="5" t="s">
        <v>2269</v>
      </c>
      <c r="G470" s="5" t="s">
        <v>107</v>
      </c>
      <c r="H470" s="17">
        <v>338304</v>
      </c>
      <c r="I470" s="7" t="s">
        <v>253</v>
      </c>
      <c r="J470" s="7" t="s">
        <v>254</v>
      </c>
      <c r="K470" s="5" t="s">
        <v>2270</v>
      </c>
      <c r="L470" s="9" t="s">
        <v>2271</v>
      </c>
      <c r="M470" s="10">
        <v>45322</v>
      </c>
      <c r="N470" s="5" t="s">
        <v>67</v>
      </c>
      <c r="O470" s="7" t="s">
        <v>90</v>
      </c>
      <c r="P470" s="20"/>
      <c r="Q470" s="39">
        <v>259</v>
      </c>
      <c r="R470" s="1"/>
      <c r="S470" s="1"/>
      <c r="T470" s="1"/>
      <c r="U470" s="1"/>
      <c r="V470" s="1"/>
      <c r="W470" s="1"/>
      <c r="X470" s="1">
        <v>265</v>
      </c>
      <c r="Y470" s="1">
        <v>265</v>
      </c>
      <c r="Z470" s="1"/>
      <c r="AA470" s="1"/>
      <c r="AB470" s="1"/>
      <c r="AC470" s="1"/>
      <c r="AD470" s="1"/>
      <c r="AE470" s="1">
        <f>COUNT(Q470:AD470)</f>
        <v>3</v>
      </c>
      <c r="AF470" s="1">
        <f t="shared" si="37"/>
        <v>263</v>
      </c>
      <c r="AG470" s="11" t="str">
        <f t="shared" si="38"/>
        <v>APROVADO</v>
      </c>
    </row>
    <row r="471" spans="2:33" x14ac:dyDescent="0.25">
      <c r="B471" s="5">
        <v>466</v>
      </c>
      <c r="C471" s="35" t="s">
        <v>2272</v>
      </c>
      <c r="D471" s="5" t="s">
        <v>51</v>
      </c>
      <c r="E471" s="13" t="s">
        <v>2273</v>
      </c>
      <c r="F471" s="13" t="s">
        <v>2274</v>
      </c>
      <c r="G471" s="14" t="s">
        <v>107</v>
      </c>
      <c r="H471" s="28">
        <v>594499.12</v>
      </c>
      <c r="I471" s="13" t="s">
        <v>2275</v>
      </c>
      <c r="J471" s="11" t="s">
        <v>162</v>
      </c>
      <c r="K471" s="13" t="s">
        <v>2276</v>
      </c>
      <c r="L471" s="42" t="s">
        <v>2277</v>
      </c>
      <c r="M471" s="26">
        <v>45322</v>
      </c>
      <c r="N471" s="13" t="s">
        <v>226</v>
      </c>
      <c r="O471" s="20" t="s">
        <v>600</v>
      </c>
      <c r="P471" s="20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0"/>
      <c r="AD471" s="20"/>
      <c r="AE471" s="20"/>
      <c r="AF471" s="1" t="e">
        <f t="shared" si="37"/>
        <v>#DIV/0!</v>
      </c>
      <c r="AG471" s="11" t="e">
        <f t="shared" si="38"/>
        <v>#DIV/0!</v>
      </c>
    </row>
    <row r="472" spans="2:33" ht="38.25" x14ac:dyDescent="0.25">
      <c r="B472" s="5">
        <v>467</v>
      </c>
      <c r="C472" s="6" t="s">
        <v>2278</v>
      </c>
      <c r="D472" s="5" t="s">
        <v>33</v>
      </c>
      <c r="E472" s="5" t="s">
        <v>2279</v>
      </c>
      <c r="F472" s="5" t="s">
        <v>2280</v>
      </c>
      <c r="G472" s="7" t="s">
        <v>336</v>
      </c>
      <c r="H472" s="8">
        <v>449060</v>
      </c>
      <c r="I472" s="7" t="s">
        <v>201</v>
      </c>
      <c r="J472" s="7" t="s">
        <v>202</v>
      </c>
      <c r="K472" s="7" t="s">
        <v>2281</v>
      </c>
      <c r="L472" s="9" t="s">
        <v>2282</v>
      </c>
      <c r="M472" s="10">
        <v>45322</v>
      </c>
      <c r="N472" s="5" t="s">
        <v>67</v>
      </c>
      <c r="O472" s="7"/>
      <c r="P472" s="20"/>
      <c r="Q472" s="39">
        <v>325</v>
      </c>
      <c r="R472" s="1"/>
      <c r="S472" s="1"/>
      <c r="T472" s="1"/>
      <c r="U472" s="1"/>
      <c r="V472" s="1"/>
      <c r="W472" s="1"/>
      <c r="X472" s="1">
        <v>324</v>
      </c>
      <c r="Y472" s="1">
        <v>297</v>
      </c>
      <c r="Z472" s="1"/>
      <c r="AA472" s="1"/>
      <c r="AB472" s="1"/>
      <c r="AC472" s="1"/>
      <c r="AD472" s="1"/>
      <c r="AE472" s="1">
        <f>COUNT(Q472:AD472)</f>
        <v>3</v>
      </c>
      <c r="AF472" s="1">
        <f t="shared" si="37"/>
        <v>315.33333333333331</v>
      </c>
      <c r="AG472" s="11" t="str">
        <f t="shared" si="38"/>
        <v>APROVADO</v>
      </c>
    </row>
    <row r="473" spans="2:33" ht="25.5" x14ac:dyDescent="0.25">
      <c r="B473" s="5">
        <v>468</v>
      </c>
      <c r="C473" s="6" t="s">
        <v>2283</v>
      </c>
      <c r="D473" s="5" t="s">
        <v>33</v>
      </c>
      <c r="E473" s="5" t="s">
        <v>2279</v>
      </c>
      <c r="F473" s="5" t="s">
        <v>2284</v>
      </c>
      <c r="G473" s="7" t="s">
        <v>336</v>
      </c>
      <c r="H473" s="8">
        <v>399210</v>
      </c>
      <c r="I473" s="7" t="s">
        <v>201</v>
      </c>
      <c r="J473" s="7" t="s">
        <v>202</v>
      </c>
      <c r="K473" s="7" t="s">
        <v>2281</v>
      </c>
      <c r="L473" s="9" t="s">
        <v>2282</v>
      </c>
      <c r="M473" s="10">
        <v>45322</v>
      </c>
      <c r="N473" s="39" t="s">
        <v>67</v>
      </c>
      <c r="O473" s="7"/>
      <c r="P473" s="20"/>
      <c r="Q473" s="39">
        <v>330</v>
      </c>
      <c r="R473" s="1"/>
      <c r="S473" s="1"/>
      <c r="T473" s="1"/>
      <c r="U473" s="1"/>
      <c r="V473" s="1"/>
      <c r="W473" s="1"/>
      <c r="X473" s="1">
        <v>318</v>
      </c>
      <c r="Y473" s="1">
        <v>270</v>
      </c>
      <c r="Z473" s="1"/>
      <c r="AA473" s="1"/>
      <c r="AB473" s="1"/>
      <c r="AC473" s="1"/>
      <c r="AD473" s="1"/>
      <c r="AE473" s="1">
        <f>COUNT(Q473:AD473)</f>
        <v>3</v>
      </c>
      <c r="AF473" s="1">
        <f t="shared" si="37"/>
        <v>306</v>
      </c>
      <c r="AG473" s="11" t="str">
        <f t="shared" si="38"/>
        <v>APROVADO</v>
      </c>
    </row>
    <row r="474" spans="2:33" ht="25.5" x14ac:dyDescent="0.25">
      <c r="B474" s="5">
        <v>469</v>
      </c>
      <c r="C474" s="6" t="s">
        <v>2285</v>
      </c>
      <c r="D474" s="5" t="s">
        <v>33</v>
      </c>
      <c r="E474" s="5" t="s">
        <v>2286</v>
      </c>
      <c r="F474" s="50" t="s">
        <v>2287</v>
      </c>
      <c r="G474" s="5" t="s">
        <v>107</v>
      </c>
      <c r="H474" s="17">
        <v>100000</v>
      </c>
      <c r="I474" s="7" t="s">
        <v>2288</v>
      </c>
      <c r="J474" s="5" t="s">
        <v>254</v>
      </c>
      <c r="K474" s="5" t="s">
        <v>2289</v>
      </c>
      <c r="L474" s="31" t="s">
        <v>2290</v>
      </c>
      <c r="M474" s="10">
        <v>45322</v>
      </c>
      <c r="N474" s="5" t="s">
        <v>67</v>
      </c>
      <c r="O474" s="7" t="s">
        <v>2291</v>
      </c>
      <c r="P474" s="20"/>
      <c r="Q474" s="39">
        <v>318</v>
      </c>
      <c r="R474" s="1"/>
      <c r="S474" s="1"/>
      <c r="T474" s="1"/>
      <c r="U474" s="1"/>
      <c r="V474" s="1">
        <v>340</v>
      </c>
      <c r="W474" s="1">
        <v>324</v>
      </c>
      <c r="X474" s="1"/>
      <c r="Y474" s="1"/>
      <c r="Z474" s="1"/>
      <c r="AA474" s="1"/>
      <c r="AB474" s="1"/>
      <c r="AC474" s="1"/>
      <c r="AD474" s="1"/>
      <c r="AE474" s="1">
        <f>COUNT(Q474:AD474)</f>
        <v>3</v>
      </c>
      <c r="AF474" s="1">
        <f t="shared" si="37"/>
        <v>327.33333333333331</v>
      </c>
      <c r="AG474" s="11" t="str">
        <f t="shared" si="38"/>
        <v>APROVADO</v>
      </c>
    </row>
    <row r="475" spans="2:33" ht="25.5" x14ac:dyDescent="0.25">
      <c r="B475" s="5"/>
      <c r="C475" s="6" t="s">
        <v>2285</v>
      </c>
      <c r="D475" s="5" t="s">
        <v>33</v>
      </c>
      <c r="E475" s="5" t="s">
        <v>2286</v>
      </c>
      <c r="F475" s="50" t="s">
        <v>2292</v>
      </c>
      <c r="G475" s="5" t="s">
        <v>62</v>
      </c>
      <c r="H475" s="17">
        <v>600000</v>
      </c>
      <c r="I475" s="7" t="s">
        <v>2288</v>
      </c>
      <c r="J475" s="5" t="s">
        <v>254</v>
      </c>
      <c r="K475" s="5" t="s">
        <v>2289</v>
      </c>
      <c r="L475" s="31" t="s">
        <v>2290</v>
      </c>
      <c r="M475" s="10">
        <v>45322</v>
      </c>
      <c r="N475" s="5" t="s">
        <v>67</v>
      </c>
      <c r="O475" s="7" t="s">
        <v>2291</v>
      </c>
      <c r="P475" s="20"/>
      <c r="Q475" s="39">
        <v>323</v>
      </c>
      <c r="R475" s="1"/>
      <c r="S475" s="1"/>
      <c r="T475" s="1"/>
      <c r="U475" s="1"/>
      <c r="V475" s="1">
        <v>340</v>
      </c>
      <c r="W475" s="1">
        <v>322</v>
      </c>
      <c r="X475" s="1"/>
      <c r="Y475" s="1"/>
      <c r="Z475" s="1"/>
      <c r="AA475" s="1"/>
      <c r="AB475" s="1"/>
      <c r="AC475" s="1"/>
      <c r="AD475" s="1"/>
      <c r="AE475" s="1">
        <f>COUNT(Q475:AD475)</f>
        <v>3</v>
      </c>
      <c r="AF475" s="1">
        <f t="shared" si="37"/>
        <v>328.33333333333331</v>
      </c>
      <c r="AG475" s="11" t="str">
        <f t="shared" si="38"/>
        <v>APROVADO</v>
      </c>
    </row>
    <row r="476" spans="2:33" ht="39" x14ac:dyDescent="0.25">
      <c r="B476" s="5">
        <v>470</v>
      </c>
      <c r="C476" s="22" t="s">
        <v>2293</v>
      </c>
      <c r="D476" s="5" t="s">
        <v>51</v>
      </c>
      <c r="E476" s="13" t="s">
        <v>2294</v>
      </c>
      <c r="F476" s="14" t="s">
        <v>2295</v>
      </c>
      <c r="G476" s="14" t="s">
        <v>36</v>
      </c>
      <c r="H476" s="28">
        <v>100000</v>
      </c>
      <c r="I476" s="13" t="s">
        <v>2296</v>
      </c>
      <c r="J476" s="11" t="s">
        <v>38</v>
      </c>
      <c r="K476" s="13" t="s">
        <v>2297</v>
      </c>
      <c r="L476" s="30" t="s">
        <v>2298</v>
      </c>
      <c r="M476" s="26">
        <v>45322</v>
      </c>
      <c r="N476" s="13" t="s">
        <v>57</v>
      </c>
      <c r="O476" s="13"/>
      <c r="P476" s="20"/>
      <c r="Q476" s="1">
        <v>333</v>
      </c>
      <c r="R476" s="1"/>
      <c r="S476" s="1"/>
      <c r="T476" s="1"/>
      <c r="U476" s="1"/>
      <c r="V476" s="1">
        <v>340</v>
      </c>
      <c r="W476" s="1">
        <v>330</v>
      </c>
      <c r="X476" s="1"/>
      <c r="Y476" s="1"/>
      <c r="Z476" s="1"/>
      <c r="AA476" s="1"/>
      <c r="AB476" s="1"/>
      <c r="AC476" s="20"/>
      <c r="AD476" s="20"/>
      <c r="AE476" s="1">
        <f>COUNT(Q476:AD476)</f>
        <v>3</v>
      </c>
      <c r="AF476" s="1">
        <f t="shared" si="37"/>
        <v>334.33333333333331</v>
      </c>
      <c r="AG476" s="11" t="str">
        <f t="shared" si="38"/>
        <v>APROVADO</v>
      </c>
    </row>
    <row r="477" spans="2:33" ht="26.25" x14ac:dyDescent="0.25">
      <c r="B477" s="5">
        <v>471</v>
      </c>
      <c r="C477" s="35" t="s">
        <v>2299</v>
      </c>
      <c r="D477" s="5" t="s">
        <v>51</v>
      </c>
      <c r="E477" s="13" t="s">
        <v>2300</v>
      </c>
      <c r="F477" s="14" t="s">
        <v>2301</v>
      </c>
      <c r="G477" s="14" t="s">
        <v>36</v>
      </c>
      <c r="H477" s="28">
        <v>800000</v>
      </c>
      <c r="I477" s="13" t="s">
        <v>212</v>
      </c>
      <c r="J477" s="11" t="s">
        <v>123</v>
      </c>
      <c r="K477" s="13" t="s">
        <v>2302</v>
      </c>
      <c r="L477" s="42" t="s">
        <v>2303</v>
      </c>
      <c r="M477" s="26">
        <v>45322</v>
      </c>
      <c r="N477" s="13" t="s">
        <v>226</v>
      </c>
      <c r="O477" s="20" t="s">
        <v>600</v>
      </c>
      <c r="P477" s="20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0"/>
      <c r="AD477" s="20"/>
      <c r="AE477" s="20"/>
      <c r="AF477" s="1" t="e">
        <f t="shared" si="37"/>
        <v>#DIV/0!</v>
      </c>
      <c r="AG477" s="11" t="e">
        <f t="shared" si="38"/>
        <v>#DIV/0!</v>
      </c>
    </row>
    <row r="478" spans="2:33" ht="25.5" x14ac:dyDescent="0.25">
      <c r="B478" s="5">
        <v>472</v>
      </c>
      <c r="C478" s="6" t="s">
        <v>2304</v>
      </c>
      <c r="D478" s="5" t="s">
        <v>33</v>
      </c>
      <c r="E478" s="7" t="s">
        <v>2305</v>
      </c>
      <c r="F478" s="7" t="s">
        <v>2306</v>
      </c>
      <c r="G478" s="7" t="s">
        <v>36</v>
      </c>
      <c r="H478" s="8">
        <v>150000</v>
      </c>
      <c r="I478" s="7" t="s">
        <v>2307</v>
      </c>
      <c r="J478" s="5" t="s">
        <v>181</v>
      </c>
      <c r="K478" s="7" t="s">
        <v>2308</v>
      </c>
      <c r="L478" s="9" t="s">
        <v>2309</v>
      </c>
      <c r="M478" s="10">
        <v>45322</v>
      </c>
      <c r="N478" s="7" t="s">
        <v>67</v>
      </c>
      <c r="O478" s="7"/>
      <c r="P478" s="20"/>
      <c r="Q478" s="40">
        <v>325</v>
      </c>
      <c r="R478" s="1"/>
      <c r="S478" s="1"/>
      <c r="T478" s="1"/>
      <c r="U478" s="1"/>
      <c r="V478" s="1">
        <v>340</v>
      </c>
      <c r="W478" s="1">
        <v>323</v>
      </c>
      <c r="X478" s="1"/>
      <c r="Y478" s="1"/>
      <c r="Z478" s="1"/>
      <c r="AA478" s="1"/>
      <c r="AB478" s="1"/>
      <c r="AC478" s="1"/>
      <c r="AD478" s="1"/>
      <c r="AE478" s="1">
        <f>COUNT(Q478:AD478)</f>
        <v>3</v>
      </c>
      <c r="AF478" s="1">
        <f t="shared" si="37"/>
        <v>329.33333333333331</v>
      </c>
      <c r="AG478" s="11" t="str">
        <f t="shared" si="38"/>
        <v>APROVADO</v>
      </c>
    </row>
    <row r="479" spans="2:33" ht="25.5" x14ac:dyDescent="0.25">
      <c r="B479" s="5">
        <v>473</v>
      </c>
      <c r="C479" s="6" t="s">
        <v>2310</v>
      </c>
      <c r="D479" s="5" t="s">
        <v>33</v>
      </c>
      <c r="E479" s="5" t="s">
        <v>2311</v>
      </c>
      <c r="F479" s="5" t="s">
        <v>2312</v>
      </c>
      <c r="G479" s="7" t="s">
        <v>36</v>
      </c>
      <c r="H479" s="17">
        <v>46669.7</v>
      </c>
      <c r="I479" s="7" t="s">
        <v>2307</v>
      </c>
      <c r="J479" s="5" t="s">
        <v>181</v>
      </c>
      <c r="K479" s="5" t="s">
        <v>2313</v>
      </c>
      <c r="L479" s="9" t="s">
        <v>2314</v>
      </c>
      <c r="M479" s="10">
        <v>45322</v>
      </c>
      <c r="N479" s="7" t="s">
        <v>67</v>
      </c>
      <c r="O479" s="7" t="s">
        <v>2111</v>
      </c>
      <c r="P479" s="20"/>
      <c r="Q479" s="40">
        <v>340</v>
      </c>
      <c r="R479" s="1">
        <v>232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>
        <v>340</v>
      </c>
      <c r="AE479" s="1">
        <f>COUNT(Q479:AD479)</f>
        <v>3</v>
      </c>
      <c r="AF479" s="1">
        <f t="shared" si="37"/>
        <v>304</v>
      </c>
      <c r="AG479" s="11" t="str">
        <f t="shared" si="38"/>
        <v>APROVADO</v>
      </c>
    </row>
    <row r="480" spans="2:33" x14ac:dyDescent="0.25">
      <c r="B480" s="5">
        <v>474</v>
      </c>
      <c r="C480" s="35" t="s">
        <v>2315</v>
      </c>
      <c r="D480" s="5" t="s">
        <v>51</v>
      </c>
      <c r="E480" s="13" t="s">
        <v>2316</v>
      </c>
      <c r="F480" s="14" t="s">
        <v>2317</v>
      </c>
      <c r="G480" s="14" t="s">
        <v>36</v>
      </c>
      <c r="H480" s="28">
        <v>450000</v>
      </c>
      <c r="I480" s="13" t="s">
        <v>2307</v>
      </c>
      <c r="J480" s="11" t="s">
        <v>181</v>
      </c>
      <c r="K480" s="13" t="s">
        <v>2318</v>
      </c>
      <c r="L480" s="30" t="s">
        <v>2319</v>
      </c>
      <c r="M480" s="26">
        <v>45322</v>
      </c>
      <c r="N480" s="13" t="s">
        <v>226</v>
      </c>
      <c r="O480" s="13" t="s">
        <v>227</v>
      </c>
      <c r="P480" s="20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0"/>
      <c r="AD480" s="20"/>
      <c r="AE480" s="20"/>
      <c r="AF480" s="1" t="e">
        <f t="shared" si="37"/>
        <v>#DIV/0!</v>
      </c>
      <c r="AG480" s="11" t="e">
        <f t="shared" si="38"/>
        <v>#DIV/0!</v>
      </c>
    </row>
    <row r="481" spans="2:33" ht="25.5" x14ac:dyDescent="0.25">
      <c r="B481" s="5">
        <v>475</v>
      </c>
      <c r="C481" s="6" t="s">
        <v>2320</v>
      </c>
      <c r="D481" s="5" t="s">
        <v>33</v>
      </c>
      <c r="E481" s="5" t="s">
        <v>2321</v>
      </c>
      <c r="F481" s="5" t="s">
        <v>2322</v>
      </c>
      <c r="G481" s="7" t="s">
        <v>36</v>
      </c>
      <c r="H481" s="17">
        <v>350000</v>
      </c>
      <c r="I481" s="7" t="s">
        <v>290</v>
      </c>
      <c r="J481" s="7" t="s">
        <v>154</v>
      </c>
      <c r="K481" s="5" t="s">
        <v>2323</v>
      </c>
      <c r="L481" s="31" t="s">
        <v>2324</v>
      </c>
      <c r="M481" s="10">
        <v>45322</v>
      </c>
      <c r="N481" s="5" t="s">
        <v>67</v>
      </c>
      <c r="O481" s="7"/>
      <c r="P481" s="20"/>
      <c r="Q481" s="39">
        <v>323</v>
      </c>
      <c r="R481" s="1"/>
      <c r="S481" s="1"/>
      <c r="T481" s="1"/>
      <c r="U481" s="1"/>
      <c r="V481" s="1">
        <v>340</v>
      </c>
      <c r="W481" s="1">
        <v>322</v>
      </c>
      <c r="X481" s="1"/>
      <c r="Y481" s="1"/>
      <c r="Z481" s="1"/>
      <c r="AA481" s="1"/>
      <c r="AB481" s="1"/>
      <c r="AC481" s="1"/>
      <c r="AD481" s="1"/>
      <c r="AE481" s="1">
        <f>COUNT(Q481:AD481)</f>
        <v>3</v>
      </c>
      <c r="AF481" s="1">
        <f t="shared" si="37"/>
        <v>328.33333333333331</v>
      </c>
      <c r="AG481" s="11" t="str">
        <f t="shared" si="38"/>
        <v>APROVADO</v>
      </c>
    </row>
    <row r="482" spans="2:33" ht="39" x14ac:dyDescent="0.25">
      <c r="B482" s="5">
        <v>476</v>
      </c>
      <c r="C482" s="22" t="s">
        <v>2325</v>
      </c>
      <c r="D482" s="5" t="s">
        <v>51</v>
      </c>
      <c r="E482" s="13" t="s">
        <v>2326</v>
      </c>
      <c r="F482" s="14" t="s">
        <v>2327</v>
      </c>
      <c r="G482" s="14" t="s">
        <v>36</v>
      </c>
      <c r="H482" s="28">
        <v>50000</v>
      </c>
      <c r="I482" s="13" t="s">
        <v>2328</v>
      </c>
      <c r="J482" s="11" t="s">
        <v>223</v>
      </c>
      <c r="K482" s="13" t="s">
        <v>2329</v>
      </c>
      <c r="L482" s="30" t="s">
        <v>2330</v>
      </c>
      <c r="M482" s="26">
        <v>45322</v>
      </c>
      <c r="N482" s="13" t="s">
        <v>57</v>
      </c>
      <c r="O482" s="13"/>
      <c r="P482" s="20"/>
      <c r="Q482" s="1">
        <v>340</v>
      </c>
      <c r="R482" s="1"/>
      <c r="S482" s="1"/>
      <c r="T482" s="1"/>
      <c r="U482" s="1"/>
      <c r="V482" s="1">
        <v>340</v>
      </c>
      <c r="W482" s="1">
        <v>340</v>
      </c>
      <c r="X482" s="1"/>
      <c r="Y482" s="1"/>
      <c r="Z482" s="1"/>
      <c r="AA482" s="1"/>
      <c r="AB482" s="1"/>
      <c r="AC482" s="20"/>
      <c r="AD482" s="20"/>
      <c r="AE482" s="1">
        <f>COUNT(Q482:AD482)</f>
        <v>3</v>
      </c>
      <c r="AF482" s="1">
        <f t="shared" si="37"/>
        <v>340</v>
      </c>
      <c r="AG482" s="11" t="str">
        <f t="shared" si="38"/>
        <v>APROVADO</v>
      </c>
    </row>
    <row r="483" spans="2:33" x14ac:dyDescent="0.25">
      <c r="B483" s="5">
        <v>477</v>
      </c>
      <c r="C483" s="24" t="s">
        <v>2331</v>
      </c>
      <c r="D483" s="5" t="s">
        <v>51</v>
      </c>
      <c r="E483" s="13" t="s">
        <v>2332</v>
      </c>
      <c r="F483" s="13" t="s">
        <v>2333</v>
      </c>
      <c r="G483" s="5" t="s">
        <v>36</v>
      </c>
      <c r="H483" s="28">
        <v>100000</v>
      </c>
      <c r="I483" s="13" t="s">
        <v>2334</v>
      </c>
      <c r="J483" s="11" t="s">
        <v>47</v>
      </c>
      <c r="K483" s="13" t="s">
        <v>2335</v>
      </c>
      <c r="L483" s="30" t="s">
        <v>2336</v>
      </c>
      <c r="M483" s="26">
        <v>45322</v>
      </c>
      <c r="N483" s="13" t="s">
        <v>57</v>
      </c>
      <c r="O483" s="13"/>
      <c r="P483" s="20"/>
      <c r="Q483" s="1">
        <v>293</v>
      </c>
      <c r="R483" s="1"/>
      <c r="S483" s="1"/>
      <c r="T483" s="1"/>
      <c r="U483" s="1"/>
      <c r="V483" s="1"/>
      <c r="W483" s="1"/>
      <c r="X483" s="1">
        <v>330</v>
      </c>
      <c r="Y483" s="1">
        <v>340</v>
      </c>
      <c r="Z483" s="1"/>
      <c r="AA483" s="1"/>
      <c r="AB483" s="1"/>
      <c r="AC483" s="20"/>
      <c r="AD483" s="20"/>
      <c r="AE483" s="1">
        <f>COUNT(Q483:AD483)</f>
        <v>3</v>
      </c>
      <c r="AF483" s="1">
        <f t="shared" si="37"/>
        <v>321</v>
      </c>
      <c r="AG483" s="11" t="str">
        <f t="shared" si="38"/>
        <v>APROVADO</v>
      </c>
    </row>
    <row r="484" spans="2:33" x14ac:dyDescent="0.25">
      <c r="B484" s="5">
        <v>478</v>
      </c>
      <c r="C484" s="24" t="s">
        <v>2337</v>
      </c>
      <c r="D484" s="5" t="s">
        <v>51</v>
      </c>
      <c r="E484" s="13" t="s">
        <v>2332</v>
      </c>
      <c r="F484" s="13" t="s">
        <v>2338</v>
      </c>
      <c r="G484" s="5" t="s">
        <v>36</v>
      </c>
      <c r="H484" s="28">
        <v>100000</v>
      </c>
      <c r="I484" s="13" t="s">
        <v>2334</v>
      </c>
      <c r="J484" s="11" t="s">
        <v>47</v>
      </c>
      <c r="K484" s="13" t="s">
        <v>2335</v>
      </c>
      <c r="L484" s="30" t="s">
        <v>2336</v>
      </c>
      <c r="M484" s="26">
        <v>45322</v>
      </c>
      <c r="N484" s="13" t="s">
        <v>57</v>
      </c>
      <c r="O484" s="13"/>
      <c r="P484" s="20"/>
      <c r="Q484" s="1">
        <v>310</v>
      </c>
      <c r="R484" s="1"/>
      <c r="S484" s="1"/>
      <c r="T484" s="1"/>
      <c r="U484" s="1"/>
      <c r="V484" s="1">
        <v>340</v>
      </c>
      <c r="W484" s="1">
        <v>318</v>
      </c>
      <c r="X484" s="1"/>
      <c r="Y484" s="1"/>
      <c r="Z484" s="1"/>
      <c r="AA484" s="1"/>
      <c r="AB484" s="1"/>
      <c r="AC484" s="20"/>
      <c r="AD484" s="20"/>
      <c r="AE484" s="1">
        <f>COUNT(Q484:AD484)</f>
        <v>3</v>
      </c>
      <c r="AF484" s="1">
        <f t="shared" si="37"/>
        <v>322.66666666666669</v>
      </c>
      <c r="AG484" s="11" t="str">
        <f t="shared" si="38"/>
        <v>APROVADO</v>
      </c>
    </row>
    <row r="485" spans="2:33" x14ac:dyDescent="0.25">
      <c r="B485" s="5">
        <v>479</v>
      </c>
      <c r="C485" s="24" t="s">
        <v>2339</v>
      </c>
      <c r="D485" s="5" t="s">
        <v>51</v>
      </c>
      <c r="E485" s="13" t="s">
        <v>2332</v>
      </c>
      <c r="F485" s="13" t="s">
        <v>2340</v>
      </c>
      <c r="G485" s="14" t="s">
        <v>107</v>
      </c>
      <c r="H485" s="28">
        <v>107340</v>
      </c>
      <c r="I485" s="13" t="s">
        <v>2334</v>
      </c>
      <c r="J485" s="11" t="s">
        <v>47</v>
      </c>
      <c r="K485" s="13" t="s">
        <v>2335</v>
      </c>
      <c r="L485" s="30" t="s">
        <v>2336</v>
      </c>
      <c r="M485" s="26">
        <v>45322</v>
      </c>
      <c r="N485" s="13" t="s">
        <v>57</v>
      </c>
      <c r="O485" s="13"/>
      <c r="P485" s="20"/>
      <c r="Q485" s="1">
        <v>316</v>
      </c>
      <c r="R485" s="1"/>
      <c r="S485" s="1"/>
      <c r="T485" s="1"/>
      <c r="U485" s="1"/>
      <c r="V485" s="1">
        <v>340</v>
      </c>
      <c r="W485" s="1">
        <v>319</v>
      </c>
      <c r="X485" s="1"/>
      <c r="Y485" s="1"/>
      <c r="Z485" s="1"/>
      <c r="AA485" s="1"/>
      <c r="AB485" s="1"/>
      <c r="AC485" s="20"/>
      <c r="AD485" s="20"/>
      <c r="AE485" s="1">
        <f>COUNT(Q485:AD485)</f>
        <v>3</v>
      </c>
      <c r="AF485" s="1">
        <f t="shared" si="37"/>
        <v>325</v>
      </c>
      <c r="AG485" s="11" t="str">
        <f t="shared" si="38"/>
        <v>APROVADO</v>
      </c>
    </row>
    <row r="486" spans="2:33" ht="38.25" x14ac:dyDescent="0.25">
      <c r="B486" s="5">
        <v>480</v>
      </c>
      <c r="C486" s="16" t="s">
        <v>2341</v>
      </c>
      <c r="D486" s="5" t="s">
        <v>33</v>
      </c>
      <c r="E486" s="7" t="s">
        <v>2342</v>
      </c>
      <c r="F486" s="9" t="s">
        <v>2343</v>
      </c>
      <c r="G486" s="7" t="s">
        <v>36</v>
      </c>
      <c r="H486" s="8">
        <v>568400</v>
      </c>
      <c r="I486" s="7" t="s">
        <v>73</v>
      </c>
      <c r="J486" s="7" t="s">
        <v>74</v>
      </c>
      <c r="K486" s="7" t="s">
        <v>2344</v>
      </c>
      <c r="L486" s="9" t="s">
        <v>2345</v>
      </c>
      <c r="M486" s="10">
        <v>45322</v>
      </c>
      <c r="N486" s="7" t="s">
        <v>226</v>
      </c>
      <c r="O486" s="7" t="s">
        <v>2346</v>
      </c>
      <c r="P486" s="7" t="s">
        <v>2347</v>
      </c>
      <c r="Q486" s="40">
        <v>0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>
        <f t="shared" si="37"/>
        <v>0</v>
      </c>
      <c r="AG486" s="11" t="str">
        <f t="shared" si="38"/>
        <v>REPROVADO</v>
      </c>
    </row>
    <row r="487" spans="2:33" ht="38.25" x14ac:dyDescent="0.25">
      <c r="B487" s="5">
        <v>481</v>
      </c>
      <c r="C487" s="6" t="s">
        <v>2348</v>
      </c>
      <c r="D487" s="5" t="s">
        <v>33</v>
      </c>
      <c r="E487" s="7" t="s">
        <v>2342</v>
      </c>
      <c r="F487" s="9" t="s">
        <v>2343</v>
      </c>
      <c r="G487" s="7" t="s">
        <v>36</v>
      </c>
      <c r="H487" s="8">
        <v>568400</v>
      </c>
      <c r="I487" s="7" t="s">
        <v>73</v>
      </c>
      <c r="J487" s="7" t="s">
        <v>74</v>
      </c>
      <c r="K487" s="7" t="s">
        <v>2344</v>
      </c>
      <c r="L487" s="31" t="s">
        <v>2345</v>
      </c>
      <c r="M487" s="10">
        <v>45322</v>
      </c>
      <c r="N487" s="7" t="s">
        <v>67</v>
      </c>
      <c r="O487" s="7" t="s">
        <v>2349</v>
      </c>
      <c r="P487" s="20"/>
      <c r="Q487" s="40">
        <v>250</v>
      </c>
      <c r="R487" s="1"/>
      <c r="S487" s="1"/>
      <c r="T487" s="1"/>
      <c r="U487" s="1"/>
      <c r="V487" s="1"/>
      <c r="W487" s="1">
        <v>330</v>
      </c>
      <c r="X487" s="1"/>
      <c r="Y487" s="1">
        <v>340</v>
      </c>
      <c r="Z487" s="1"/>
      <c r="AA487" s="1"/>
      <c r="AB487" s="1"/>
      <c r="AC487" s="1"/>
      <c r="AD487" s="1"/>
      <c r="AE487" s="1">
        <f>COUNT(Q487:AD487)</f>
        <v>3</v>
      </c>
      <c r="AF487" s="1">
        <f t="shared" si="37"/>
        <v>306.66666666666669</v>
      </c>
      <c r="AG487" s="11" t="str">
        <f t="shared" si="38"/>
        <v>APROVADO</v>
      </c>
    </row>
    <row r="488" spans="2:33" ht="26.25" x14ac:dyDescent="0.25">
      <c r="B488" s="5">
        <v>482</v>
      </c>
      <c r="C488" s="24" t="s">
        <v>2350</v>
      </c>
      <c r="D488" s="5" t="s">
        <v>51</v>
      </c>
      <c r="E488" s="13" t="s">
        <v>2351</v>
      </c>
      <c r="F488" s="14" t="s">
        <v>2352</v>
      </c>
      <c r="G488" s="14" t="s">
        <v>36</v>
      </c>
      <c r="H488" s="28">
        <v>350000</v>
      </c>
      <c r="I488" s="13" t="s">
        <v>2353</v>
      </c>
      <c r="J488" s="11" t="s">
        <v>154</v>
      </c>
      <c r="K488" s="13" t="s">
        <v>2354</v>
      </c>
      <c r="L488" s="30" t="s">
        <v>2355</v>
      </c>
      <c r="M488" s="26">
        <v>45322</v>
      </c>
      <c r="N488" s="13" t="s">
        <v>41</v>
      </c>
      <c r="O488" s="13"/>
      <c r="P488" s="20"/>
      <c r="Q488" s="1">
        <v>309</v>
      </c>
      <c r="R488" s="1">
        <v>171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0">
        <v>329</v>
      </c>
      <c r="AD488" s="20"/>
      <c r="AE488" s="1">
        <f>COUNT(Q488:AD488)</f>
        <v>3</v>
      </c>
      <c r="AF488" s="1">
        <f t="shared" si="37"/>
        <v>269.66666666666669</v>
      </c>
      <c r="AG488" s="11" t="str">
        <f t="shared" si="38"/>
        <v>APROVADO</v>
      </c>
    </row>
    <row r="489" spans="2:33" ht="39" x14ac:dyDescent="0.25">
      <c r="B489" s="5">
        <v>483</v>
      </c>
      <c r="C489" s="24" t="s">
        <v>2356</v>
      </c>
      <c r="D489" s="5" t="s">
        <v>51</v>
      </c>
      <c r="E489" s="13" t="s">
        <v>2357</v>
      </c>
      <c r="F489" s="13" t="s">
        <v>2358</v>
      </c>
      <c r="G489" s="14" t="s">
        <v>107</v>
      </c>
      <c r="H489" s="28">
        <v>254600</v>
      </c>
      <c r="I489" s="13" t="s">
        <v>2359</v>
      </c>
      <c r="J489" s="11" t="s">
        <v>47</v>
      </c>
      <c r="K489" s="14" t="s">
        <v>2360</v>
      </c>
      <c r="L489" s="30" t="s">
        <v>2361</v>
      </c>
      <c r="M489" s="26">
        <v>45322</v>
      </c>
      <c r="N489" s="13" t="s">
        <v>57</v>
      </c>
      <c r="O489" s="20"/>
      <c r="P489" s="20"/>
      <c r="Q489" s="1">
        <v>167</v>
      </c>
      <c r="R489" s="1"/>
      <c r="S489" s="1"/>
      <c r="T489" s="1"/>
      <c r="U489" s="1"/>
      <c r="V489" s="1">
        <v>212</v>
      </c>
      <c r="W489" s="1"/>
      <c r="X489" s="1"/>
      <c r="Y489" s="1">
        <v>223</v>
      </c>
      <c r="Z489" s="1"/>
      <c r="AA489" s="1"/>
      <c r="AB489" s="1"/>
      <c r="AC489" s="20"/>
      <c r="AD489" s="20"/>
      <c r="AE489" s="1">
        <f>COUNT(Q489:AD489)</f>
        <v>3</v>
      </c>
      <c r="AF489" s="1">
        <f t="shared" si="37"/>
        <v>200.66666666666666</v>
      </c>
      <c r="AG489" s="11" t="str">
        <f t="shared" si="38"/>
        <v>REPROVADO</v>
      </c>
    </row>
    <row r="490" spans="2:33" ht="26.25" x14ac:dyDescent="0.25">
      <c r="B490" s="5">
        <v>484</v>
      </c>
      <c r="C490" s="24" t="s">
        <v>2362</v>
      </c>
      <c r="D490" s="5" t="s">
        <v>51</v>
      </c>
      <c r="E490" s="13" t="s">
        <v>2357</v>
      </c>
      <c r="F490" s="13" t="s">
        <v>2363</v>
      </c>
      <c r="G490" s="14" t="s">
        <v>107</v>
      </c>
      <c r="H490" s="28">
        <v>120000</v>
      </c>
      <c r="I490" s="13" t="s">
        <v>2359</v>
      </c>
      <c r="J490" s="11" t="s">
        <v>47</v>
      </c>
      <c r="K490" s="14" t="s">
        <v>2364</v>
      </c>
      <c r="L490" s="30" t="s">
        <v>2361</v>
      </c>
      <c r="M490" s="26">
        <v>45322</v>
      </c>
      <c r="N490" s="13" t="s">
        <v>57</v>
      </c>
      <c r="O490" s="20"/>
      <c r="P490" s="20"/>
      <c r="Q490" s="1">
        <v>283</v>
      </c>
      <c r="R490" s="1"/>
      <c r="S490" s="1"/>
      <c r="T490" s="1"/>
      <c r="U490" s="1"/>
      <c r="V490" s="1">
        <v>295</v>
      </c>
      <c r="W490" s="1">
        <v>246</v>
      </c>
      <c r="X490" s="1"/>
      <c r="Y490" s="1"/>
      <c r="Z490" s="1"/>
      <c r="AA490" s="1"/>
      <c r="AB490" s="1"/>
      <c r="AC490" s="20"/>
      <c r="AD490" s="20"/>
      <c r="AE490" s="1">
        <f>COUNT(Q490:AD490)</f>
        <v>3</v>
      </c>
      <c r="AF490" s="1">
        <f t="shared" si="37"/>
        <v>274.66666666666669</v>
      </c>
      <c r="AG490" s="11" t="str">
        <f t="shared" si="38"/>
        <v>APROVADO</v>
      </c>
    </row>
    <row r="491" spans="2:33" ht="25.5" x14ac:dyDescent="0.25">
      <c r="B491" s="5">
        <v>485</v>
      </c>
      <c r="C491" s="27" t="s">
        <v>2365</v>
      </c>
      <c r="D491" s="5" t="s">
        <v>33</v>
      </c>
      <c r="E491" s="7" t="s">
        <v>1964</v>
      </c>
      <c r="F491" s="7" t="s">
        <v>2366</v>
      </c>
      <c r="G491" s="7" t="s">
        <v>36</v>
      </c>
      <c r="H491" s="8">
        <v>236998.45</v>
      </c>
      <c r="I491" s="7" t="s">
        <v>2367</v>
      </c>
      <c r="J491" s="7" t="s">
        <v>235</v>
      </c>
      <c r="K491" s="7" t="s">
        <v>2368</v>
      </c>
      <c r="L491" s="9" t="s">
        <v>2369</v>
      </c>
      <c r="M491" s="10">
        <v>45322</v>
      </c>
      <c r="N491" s="7" t="s">
        <v>41</v>
      </c>
      <c r="O491" s="7"/>
      <c r="P491" s="20"/>
      <c r="Q491" s="40">
        <v>332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>
        <v>317</v>
      </c>
      <c r="AC491" s="1">
        <v>286</v>
      </c>
      <c r="AD491" s="1"/>
      <c r="AE491" s="1">
        <f>COUNT(Q491:AD491)</f>
        <v>3</v>
      </c>
      <c r="AF491" s="1">
        <f t="shared" si="37"/>
        <v>311.66666666666669</v>
      </c>
      <c r="AG491" s="11" t="str">
        <f t="shared" si="38"/>
        <v>APROVADO</v>
      </c>
    </row>
    <row r="492" spans="2:33" x14ac:dyDescent="0.25">
      <c r="B492" s="5">
        <v>486</v>
      </c>
      <c r="C492" s="16" t="s">
        <v>2370</v>
      </c>
      <c r="D492" s="5" t="s">
        <v>51</v>
      </c>
      <c r="E492" s="7" t="s">
        <v>2371</v>
      </c>
      <c r="F492" s="7" t="s">
        <v>2372</v>
      </c>
      <c r="G492" s="7" t="s">
        <v>36</v>
      </c>
      <c r="H492" s="28">
        <v>633863.52</v>
      </c>
      <c r="I492" s="13" t="s">
        <v>2373</v>
      </c>
      <c r="J492" s="11" t="s">
        <v>38</v>
      </c>
      <c r="K492" s="7" t="s">
        <v>2374</v>
      </c>
      <c r="L492" s="43" t="s">
        <v>2375</v>
      </c>
      <c r="M492" s="26">
        <v>45322</v>
      </c>
      <c r="N492" s="13" t="s">
        <v>226</v>
      </c>
      <c r="O492" s="13" t="s">
        <v>1278</v>
      </c>
      <c r="P492" s="20"/>
      <c r="Q492" s="1">
        <v>0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0"/>
      <c r="AD492" s="20"/>
      <c r="AE492" s="20"/>
      <c r="AF492" s="1">
        <f t="shared" si="37"/>
        <v>0</v>
      </c>
      <c r="AG492" s="11" t="str">
        <f t="shared" si="38"/>
        <v>REPROVADO</v>
      </c>
    </row>
    <row r="493" spans="2:33" x14ac:dyDescent="0.25">
      <c r="B493" s="5">
        <v>487</v>
      </c>
      <c r="C493" s="32" t="s">
        <v>2376</v>
      </c>
      <c r="D493" s="5" t="s">
        <v>51</v>
      </c>
      <c r="E493" s="13" t="s">
        <v>2377</v>
      </c>
      <c r="F493" s="13" t="s">
        <v>2378</v>
      </c>
      <c r="G493" s="14" t="s">
        <v>107</v>
      </c>
      <c r="H493" s="28">
        <v>30430.400000000001</v>
      </c>
      <c r="I493" s="13" t="s">
        <v>2379</v>
      </c>
      <c r="J493" s="11" t="s">
        <v>115</v>
      </c>
      <c r="K493" s="13" t="s">
        <v>2380</v>
      </c>
      <c r="L493" s="30" t="s">
        <v>2381</v>
      </c>
      <c r="M493" s="26">
        <v>45322</v>
      </c>
      <c r="N493" s="7" t="s">
        <v>82</v>
      </c>
      <c r="O493" s="7" t="s">
        <v>845</v>
      </c>
      <c r="P493" s="20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0"/>
      <c r="AD493" s="20"/>
      <c r="AE493" s="20"/>
      <c r="AF493" s="1" t="e">
        <f t="shared" si="37"/>
        <v>#DIV/0!</v>
      </c>
      <c r="AG493" s="11" t="e">
        <f t="shared" si="38"/>
        <v>#DIV/0!</v>
      </c>
    </row>
    <row r="494" spans="2:33" ht="38.25" x14ac:dyDescent="0.25">
      <c r="B494" s="5">
        <v>488</v>
      </c>
      <c r="C494" s="6" t="s">
        <v>2382</v>
      </c>
      <c r="D494" s="5" t="s">
        <v>33</v>
      </c>
      <c r="E494" s="7" t="s">
        <v>2383</v>
      </c>
      <c r="F494" s="7" t="s">
        <v>2384</v>
      </c>
      <c r="G494" s="7" t="s">
        <v>107</v>
      </c>
      <c r="H494" s="8">
        <v>475579.66</v>
      </c>
      <c r="I494" s="7" t="s">
        <v>73</v>
      </c>
      <c r="J494" s="5" t="s">
        <v>74</v>
      </c>
      <c r="K494" s="7" t="s">
        <v>2385</v>
      </c>
      <c r="L494" s="9" t="s">
        <v>2386</v>
      </c>
      <c r="M494" s="10">
        <v>45322</v>
      </c>
      <c r="N494" s="7" t="s">
        <v>67</v>
      </c>
      <c r="O494" s="7"/>
      <c r="P494" s="20"/>
      <c r="Q494" s="40">
        <v>320</v>
      </c>
      <c r="R494" s="1"/>
      <c r="S494" s="1"/>
      <c r="T494" s="1"/>
      <c r="U494" s="1"/>
      <c r="V494" s="1"/>
      <c r="W494" s="1"/>
      <c r="X494" s="1">
        <v>305</v>
      </c>
      <c r="Y494" s="1">
        <v>308</v>
      </c>
      <c r="Z494" s="1"/>
      <c r="AA494" s="1"/>
      <c r="AB494" s="1"/>
      <c r="AC494" s="1"/>
      <c r="AD494" s="1"/>
      <c r="AE494" s="1">
        <f>COUNT(Q494:AD494)</f>
        <v>3</v>
      </c>
      <c r="AF494" s="1">
        <f t="shared" si="37"/>
        <v>311</v>
      </c>
      <c r="AG494" s="11" t="str">
        <f t="shared" si="38"/>
        <v>APROVADO</v>
      </c>
    </row>
    <row r="495" spans="2:33" ht="51.75" x14ac:dyDescent="0.25">
      <c r="B495" s="5">
        <v>489</v>
      </c>
      <c r="C495" s="32" t="s">
        <v>2387</v>
      </c>
      <c r="D495" s="5" t="s">
        <v>51</v>
      </c>
      <c r="E495" s="13" t="s">
        <v>2388</v>
      </c>
      <c r="F495" s="14" t="s">
        <v>2389</v>
      </c>
      <c r="G495" s="7" t="s">
        <v>45</v>
      </c>
      <c r="H495" s="28">
        <v>72000</v>
      </c>
      <c r="I495" s="13" t="s">
        <v>2390</v>
      </c>
      <c r="J495" s="11" t="s">
        <v>223</v>
      </c>
      <c r="K495" s="13" t="s">
        <v>2391</v>
      </c>
      <c r="L495" s="30" t="s">
        <v>2392</v>
      </c>
      <c r="M495" s="26">
        <v>45322</v>
      </c>
      <c r="N495" s="7" t="s">
        <v>82</v>
      </c>
      <c r="O495" s="14" t="s">
        <v>2393</v>
      </c>
      <c r="P495" s="20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0"/>
      <c r="AD495" s="20"/>
      <c r="AE495" s="20"/>
      <c r="AF495" s="1" t="e">
        <f t="shared" si="37"/>
        <v>#DIV/0!</v>
      </c>
      <c r="AG495" s="11" t="e">
        <f t="shared" si="38"/>
        <v>#DIV/0!</v>
      </c>
    </row>
    <row r="496" spans="2:33" ht="25.5" x14ac:dyDescent="0.25">
      <c r="B496" s="5">
        <v>490</v>
      </c>
      <c r="C496" s="27" t="s">
        <v>2394</v>
      </c>
      <c r="D496" s="5" t="s">
        <v>33</v>
      </c>
      <c r="E496" s="7" t="s">
        <v>2395</v>
      </c>
      <c r="F496" s="7" t="s">
        <v>2396</v>
      </c>
      <c r="G496" s="7" t="s">
        <v>107</v>
      </c>
      <c r="H496" s="8">
        <v>268000</v>
      </c>
      <c r="I496" s="7" t="s">
        <v>2397</v>
      </c>
      <c r="J496" s="7" t="s">
        <v>181</v>
      </c>
      <c r="K496" s="7" t="s">
        <v>2398</v>
      </c>
      <c r="L496" s="9" t="s">
        <v>2399</v>
      </c>
      <c r="M496" s="10">
        <v>45322</v>
      </c>
      <c r="N496" s="7" t="s">
        <v>41</v>
      </c>
      <c r="O496" s="7"/>
      <c r="P496" s="20"/>
      <c r="Q496" s="40">
        <v>307</v>
      </c>
      <c r="R496" s="1">
        <v>160</v>
      </c>
      <c r="S496" s="1"/>
      <c r="T496" s="1"/>
      <c r="U496" s="1"/>
      <c r="V496" s="1"/>
      <c r="W496" s="1"/>
      <c r="X496" s="1"/>
      <c r="Y496" s="1"/>
      <c r="Z496" s="1"/>
      <c r="AA496" s="1"/>
      <c r="AB496" s="1">
        <v>305</v>
      </c>
      <c r="AC496" s="1"/>
      <c r="AD496" s="1"/>
      <c r="AE496" s="1">
        <f>COUNT(Q496:AD496)</f>
        <v>3</v>
      </c>
      <c r="AF496" s="1">
        <f t="shared" si="37"/>
        <v>257.33333333333331</v>
      </c>
      <c r="AG496" s="11" t="str">
        <f t="shared" si="38"/>
        <v>APROVADO</v>
      </c>
    </row>
    <row r="497" spans="2:33" ht="39" x14ac:dyDescent="0.25">
      <c r="B497" s="5">
        <v>491</v>
      </c>
      <c r="C497" s="22" t="s">
        <v>2400</v>
      </c>
      <c r="D497" s="5" t="s">
        <v>51</v>
      </c>
      <c r="E497" s="13" t="s">
        <v>2401</v>
      </c>
      <c r="F497" s="13" t="s">
        <v>2402</v>
      </c>
      <c r="G497" s="14" t="s">
        <v>36</v>
      </c>
      <c r="H497" s="28">
        <v>150000</v>
      </c>
      <c r="I497" s="13" t="s">
        <v>2397</v>
      </c>
      <c r="J497" s="11" t="s">
        <v>181</v>
      </c>
      <c r="K497" s="13" t="s">
        <v>2403</v>
      </c>
      <c r="L497" s="30" t="s">
        <v>2404</v>
      </c>
      <c r="M497" s="26">
        <v>45322</v>
      </c>
      <c r="N497" s="13" t="s">
        <v>41</v>
      </c>
      <c r="O497" s="14" t="s">
        <v>2405</v>
      </c>
      <c r="P497" s="20"/>
      <c r="Q497" s="1">
        <v>340</v>
      </c>
      <c r="R497" s="1"/>
      <c r="S497" s="1"/>
      <c r="T497" s="1">
        <v>210</v>
      </c>
      <c r="U497" s="1"/>
      <c r="V497" s="1"/>
      <c r="W497" s="1"/>
      <c r="X497" s="1"/>
      <c r="Y497" s="1"/>
      <c r="Z497" s="1"/>
      <c r="AA497" s="1"/>
      <c r="AB497" s="1"/>
      <c r="AC497" s="1">
        <v>340</v>
      </c>
      <c r="AD497" s="20"/>
      <c r="AE497" s="1">
        <f>COUNT(Q497:AD497)</f>
        <v>3</v>
      </c>
      <c r="AF497" s="1">
        <f t="shared" si="37"/>
        <v>296.66666666666669</v>
      </c>
      <c r="AG497" s="11" t="str">
        <f t="shared" si="38"/>
        <v>APROVADO</v>
      </c>
    </row>
    <row r="498" spans="2:33" ht="51" x14ac:dyDescent="0.25">
      <c r="B498" s="5">
        <v>492</v>
      </c>
      <c r="C498" s="16" t="s">
        <v>2406</v>
      </c>
      <c r="D498" s="5" t="s">
        <v>33</v>
      </c>
      <c r="E498" s="5" t="s">
        <v>2407</v>
      </c>
      <c r="F498" s="5" t="s">
        <v>2408</v>
      </c>
      <c r="G498" s="5" t="s">
        <v>174</v>
      </c>
      <c r="H498" s="17">
        <v>3500000</v>
      </c>
      <c r="I498" s="7" t="s">
        <v>73</v>
      </c>
      <c r="J498" s="5" t="s">
        <v>74</v>
      </c>
      <c r="K498" s="5" t="s">
        <v>2409</v>
      </c>
      <c r="L498" s="9" t="s">
        <v>2410</v>
      </c>
      <c r="M498" s="10">
        <v>45322</v>
      </c>
      <c r="N498" s="7" t="s">
        <v>226</v>
      </c>
      <c r="O498" s="7" t="s">
        <v>600</v>
      </c>
      <c r="P498" s="20"/>
      <c r="Q498" s="40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 t="e">
        <f t="shared" si="37"/>
        <v>#DIV/0!</v>
      </c>
      <c r="AG498" s="11" t="e">
        <f t="shared" si="38"/>
        <v>#DIV/0!</v>
      </c>
    </row>
    <row r="499" spans="2:33" ht="25.5" x14ac:dyDescent="0.25">
      <c r="B499" s="5">
        <v>493</v>
      </c>
      <c r="C499" s="27" t="s">
        <v>2411</v>
      </c>
      <c r="D499" s="5" t="s">
        <v>33</v>
      </c>
      <c r="E499" s="7" t="s">
        <v>2412</v>
      </c>
      <c r="F499" s="7" t="s">
        <v>2413</v>
      </c>
      <c r="G499" s="7" t="s">
        <v>36</v>
      </c>
      <c r="H499" s="8">
        <v>600000</v>
      </c>
      <c r="I499" s="7" t="s">
        <v>73</v>
      </c>
      <c r="J499" s="7" t="s">
        <v>74</v>
      </c>
      <c r="K499" s="7" t="s">
        <v>2414</v>
      </c>
      <c r="L499" s="9" t="s">
        <v>2415</v>
      </c>
      <c r="M499" s="10">
        <v>45322</v>
      </c>
      <c r="N499" s="7" t="s">
        <v>41</v>
      </c>
      <c r="O499" s="7"/>
      <c r="P499" s="20"/>
      <c r="Q499" s="40">
        <v>316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>
        <v>268</v>
      </c>
      <c r="AC499" s="1">
        <v>292</v>
      </c>
      <c r="AD499" s="1"/>
      <c r="AE499" s="1">
        <f t="shared" ref="AE499:AE505" si="39">COUNT(Q499:AD499)</f>
        <v>3</v>
      </c>
      <c r="AF499" s="1">
        <f t="shared" si="37"/>
        <v>292</v>
      </c>
      <c r="AG499" s="11" t="str">
        <f t="shared" si="38"/>
        <v>APROVADO</v>
      </c>
    </row>
    <row r="500" spans="2:33" ht="25.5" x14ac:dyDescent="0.25">
      <c r="B500" s="5">
        <v>494</v>
      </c>
      <c r="C500" s="6" t="s">
        <v>2416</v>
      </c>
      <c r="D500" s="5" t="s">
        <v>33</v>
      </c>
      <c r="E500" s="7" t="s">
        <v>2417</v>
      </c>
      <c r="F500" s="7" t="s">
        <v>2418</v>
      </c>
      <c r="G500" s="7" t="s">
        <v>107</v>
      </c>
      <c r="H500" s="8">
        <v>1261817.04</v>
      </c>
      <c r="I500" s="7" t="s">
        <v>73</v>
      </c>
      <c r="J500" s="7" t="s">
        <v>74</v>
      </c>
      <c r="K500" s="7" t="s">
        <v>2419</v>
      </c>
      <c r="L500" s="9" t="s">
        <v>2420</v>
      </c>
      <c r="M500" s="10">
        <v>45322</v>
      </c>
      <c r="N500" s="7" t="s">
        <v>67</v>
      </c>
      <c r="O500" s="7"/>
      <c r="P500" s="20"/>
      <c r="Q500" s="40">
        <v>245</v>
      </c>
      <c r="R500" s="1"/>
      <c r="S500" s="1">
        <v>210</v>
      </c>
      <c r="T500" s="1"/>
      <c r="U500" s="1"/>
      <c r="V500" s="1"/>
      <c r="W500" s="1"/>
      <c r="X500" s="1"/>
      <c r="Y500" s="1">
        <v>245</v>
      </c>
      <c r="Z500" s="1"/>
      <c r="AA500" s="1"/>
      <c r="AB500" s="1"/>
      <c r="AC500" s="1"/>
      <c r="AD500" s="1"/>
      <c r="AE500" s="1">
        <f t="shared" si="39"/>
        <v>3</v>
      </c>
      <c r="AF500" s="1">
        <f t="shared" si="37"/>
        <v>233.33333333333334</v>
      </c>
      <c r="AG500" s="11" t="str">
        <f t="shared" si="38"/>
        <v>APROVADO</v>
      </c>
    </row>
    <row r="501" spans="2:33" ht="25.5" x14ac:dyDescent="0.25">
      <c r="B501" s="5">
        <v>495</v>
      </c>
      <c r="C501" s="6" t="s">
        <v>2421</v>
      </c>
      <c r="D501" s="5" t="s">
        <v>33</v>
      </c>
      <c r="E501" s="7" t="s">
        <v>2422</v>
      </c>
      <c r="F501" s="7" t="s">
        <v>2423</v>
      </c>
      <c r="G501" s="7" t="s">
        <v>336</v>
      </c>
      <c r="H501" s="8">
        <v>516590.96</v>
      </c>
      <c r="I501" s="7" t="s">
        <v>201</v>
      </c>
      <c r="J501" s="7" t="s">
        <v>202</v>
      </c>
      <c r="K501" s="7" t="s">
        <v>2424</v>
      </c>
      <c r="L501" s="9" t="s">
        <v>2425</v>
      </c>
      <c r="M501" s="10">
        <v>45322</v>
      </c>
      <c r="N501" s="7" t="s">
        <v>67</v>
      </c>
      <c r="O501" s="9"/>
      <c r="P501" s="20"/>
      <c r="Q501" s="40">
        <v>262</v>
      </c>
      <c r="R501" s="1"/>
      <c r="S501" s="1">
        <v>281</v>
      </c>
      <c r="T501" s="1"/>
      <c r="U501" s="1"/>
      <c r="V501" s="1"/>
      <c r="W501" s="1"/>
      <c r="X501" s="1">
        <v>249</v>
      </c>
      <c r="Y501" s="1"/>
      <c r="Z501" s="1"/>
      <c r="AA501" s="1"/>
      <c r="AB501" s="1"/>
      <c r="AC501" s="1"/>
      <c r="AD501" s="1"/>
      <c r="AE501" s="1">
        <f t="shared" si="39"/>
        <v>3</v>
      </c>
      <c r="AF501" s="1">
        <f t="shared" si="37"/>
        <v>264</v>
      </c>
      <c r="AG501" s="11" t="str">
        <f t="shared" si="38"/>
        <v>APROVADO</v>
      </c>
    </row>
    <row r="502" spans="2:33" ht="25.5" x14ac:dyDescent="0.25">
      <c r="B502" s="5">
        <v>496</v>
      </c>
      <c r="C502" s="6" t="s">
        <v>2426</v>
      </c>
      <c r="D502" s="5" t="s">
        <v>33</v>
      </c>
      <c r="E502" s="5" t="s">
        <v>2422</v>
      </c>
      <c r="F502" s="5" t="s">
        <v>2427</v>
      </c>
      <c r="G502" s="7" t="s">
        <v>300</v>
      </c>
      <c r="H502" s="8">
        <v>505667</v>
      </c>
      <c r="I502" s="7" t="s">
        <v>201</v>
      </c>
      <c r="J502" s="7" t="s">
        <v>202</v>
      </c>
      <c r="K502" s="7" t="s">
        <v>2424</v>
      </c>
      <c r="L502" s="9" t="s">
        <v>2425</v>
      </c>
      <c r="M502" s="10">
        <v>45322</v>
      </c>
      <c r="N502" s="5" t="s">
        <v>67</v>
      </c>
      <c r="O502" s="9"/>
      <c r="P502" s="20"/>
      <c r="Q502" s="39">
        <v>267</v>
      </c>
      <c r="R502" s="1"/>
      <c r="S502" s="1"/>
      <c r="T502" s="1"/>
      <c r="U502" s="1"/>
      <c r="V502" s="1"/>
      <c r="W502" s="1"/>
      <c r="X502" s="1">
        <v>316</v>
      </c>
      <c r="Y502" s="1">
        <v>316</v>
      </c>
      <c r="Z502" s="1"/>
      <c r="AA502" s="1"/>
      <c r="AB502" s="1"/>
      <c r="AC502" s="1"/>
      <c r="AD502" s="1"/>
      <c r="AE502" s="1">
        <f t="shared" si="39"/>
        <v>3</v>
      </c>
      <c r="AF502" s="1">
        <f t="shared" si="37"/>
        <v>299.66666666666669</v>
      </c>
      <c r="AG502" s="11" t="str">
        <f t="shared" si="38"/>
        <v>APROVADO</v>
      </c>
    </row>
    <row r="503" spans="2:33" x14ac:dyDescent="0.25">
      <c r="B503" s="5">
        <v>497</v>
      </c>
      <c r="C503" s="24" t="s">
        <v>2428</v>
      </c>
      <c r="D503" s="5" t="s">
        <v>51</v>
      </c>
      <c r="E503" s="13" t="s">
        <v>2429</v>
      </c>
      <c r="F503" s="13" t="s">
        <v>2402</v>
      </c>
      <c r="G503" s="14" t="s">
        <v>36</v>
      </c>
      <c r="H503" s="28">
        <v>164000</v>
      </c>
      <c r="I503" s="13" t="s">
        <v>2430</v>
      </c>
      <c r="J503" s="11" t="s">
        <v>47</v>
      </c>
      <c r="K503" s="13" t="s">
        <v>2431</v>
      </c>
      <c r="L503" s="30" t="s">
        <v>2432</v>
      </c>
      <c r="M503" s="26">
        <v>45322</v>
      </c>
      <c r="N503" s="13" t="s">
        <v>41</v>
      </c>
      <c r="O503" s="13"/>
      <c r="P503" s="20"/>
      <c r="Q503" s="1">
        <v>304</v>
      </c>
      <c r="R503" s="1">
        <v>223</v>
      </c>
      <c r="S503" s="1"/>
      <c r="T503" s="1">
        <v>237</v>
      </c>
      <c r="U503" s="1"/>
      <c r="V503" s="1"/>
      <c r="W503" s="1"/>
      <c r="X503" s="1"/>
      <c r="Y503" s="1"/>
      <c r="Z503" s="1"/>
      <c r="AA503" s="1"/>
      <c r="AB503" s="1"/>
      <c r="AC503" s="20"/>
      <c r="AD503" s="20"/>
      <c r="AE503" s="1">
        <f t="shared" si="39"/>
        <v>3</v>
      </c>
      <c r="AF503" s="1">
        <f t="shared" si="37"/>
        <v>254.66666666666666</v>
      </c>
      <c r="AG503" s="11" t="str">
        <f t="shared" si="38"/>
        <v>APROVADO</v>
      </c>
    </row>
    <row r="504" spans="2:33" ht="25.5" x14ac:dyDescent="0.25">
      <c r="B504" s="5">
        <v>498</v>
      </c>
      <c r="C504" s="27" t="s">
        <v>2433</v>
      </c>
      <c r="D504" s="5" t="s">
        <v>33</v>
      </c>
      <c r="E504" s="7" t="s">
        <v>2434</v>
      </c>
      <c r="F504" s="7" t="s">
        <v>2435</v>
      </c>
      <c r="G504" s="7" t="s">
        <v>36</v>
      </c>
      <c r="H504" s="8">
        <v>2004407.56</v>
      </c>
      <c r="I504" s="7" t="s">
        <v>2436</v>
      </c>
      <c r="J504" s="7" t="s">
        <v>254</v>
      </c>
      <c r="K504" s="7" t="s">
        <v>2437</v>
      </c>
      <c r="L504" s="9" t="s">
        <v>2438</v>
      </c>
      <c r="M504" s="10">
        <v>45322</v>
      </c>
      <c r="N504" s="7" t="s">
        <v>41</v>
      </c>
      <c r="O504" s="7"/>
      <c r="P504" s="20"/>
      <c r="Q504" s="40">
        <v>335</v>
      </c>
      <c r="R504" s="1">
        <v>231</v>
      </c>
      <c r="S504" s="1"/>
      <c r="T504" s="1">
        <v>300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>
        <f t="shared" si="39"/>
        <v>3</v>
      </c>
      <c r="AF504" s="1">
        <f t="shared" si="37"/>
        <v>288.66666666666669</v>
      </c>
      <c r="AG504" s="11" t="str">
        <f t="shared" si="38"/>
        <v>APROVADO</v>
      </c>
    </row>
    <row r="505" spans="2:33" ht="25.5" x14ac:dyDescent="0.25">
      <c r="B505" s="5">
        <v>499</v>
      </c>
      <c r="C505" s="27" t="s">
        <v>2439</v>
      </c>
      <c r="D505" s="5" t="s">
        <v>33</v>
      </c>
      <c r="E505" s="7" t="s">
        <v>2440</v>
      </c>
      <c r="F505" s="7" t="s">
        <v>2441</v>
      </c>
      <c r="G505" s="7" t="s">
        <v>107</v>
      </c>
      <c r="H505" s="8">
        <v>280000</v>
      </c>
      <c r="I505" s="7" t="s">
        <v>2442</v>
      </c>
      <c r="J505" s="7" t="s">
        <v>795</v>
      </c>
      <c r="K505" s="7" t="s">
        <v>2443</v>
      </c>
      <c r="L505" s="9" t="s">
        <v>2444</v>
      </c>
      <c r="M505" s="10">
        <v>45322</v>
      </c>
      <c r="N505" s="7" t="s">
        <v>41</v>
      </c>
      <c r="O505" s="7"/>
      <c r="P505" s="20"/>
      <c r="Q505" s="40">
        <v>302</v>
      </c>
      <c r="R505" s="1">
        <v>141</v>
      </c>
      <c r="S505" s="20"/>
      <c r="T505" s="1"/>
      <c r="U505" s="1"/>
      <c r="V505" s="1"/>
      <c r="W505" s="1"/>
      <c r="X505" s="1"/>
      <c r="Y505" s="1"/>
      <c r="Z505" s="1"/>
      <c r="AA505" s="1"/>
      <c r="AB505" s="1">
        <v>314</v>
      </c>
      <c r="AC505" s="1"/>
      <c r="AD505" s="1"/>
      <c r="AE505" s="1">
        <f t="shared" si="39"/>
        <v>3</v>
      </c>
      <c r="AF505" s="1">
        <f t="shared" si="37"/>
        <v>252.33333333333334</v>
      </c>
      <c r="AG505" s="11" t="str">
        <f t="shared" si="38"/>
        <v>APROVADO</v>
      </c>
    </row>
    <row r="506" spans="2:33" x14ac:dyDescent="0.25">
      <c r="B506" s="5">
        <v>500</v>
      </c>
      <c r="C506" s="32" t="s">
        <v>2445</v>
      </c>
      <c r="D506" s="5" t="s">
        <v>51</v>
      </c>
      <c r="E506" s="13" t="s">
        <v>2429</v>
      </c>
      <c r="F506" s="13" t="s">
        <v>2446</v>
      </c>
      <c r="G506" s="14" t="s">
        <v>36</v>
      </c>
      <c r="H506" s="28">
        <v>160000</v>
      </c>
      <c r="I506" s="13" t="s">
        <v>2430</v>
      </c>
      <c r="J506" s="11" t="s">
        <v>47</v>
      </c>
      <c r="K506" s="13" t="s">
        <v>2447</v>
      </c>
      <c r="L506" s="30" t="s">
        <v>2448</v>
      </c>
      <c r="M506" s="26">
        <v>45322</v>
      </c>
      <c r="N506" s="13" t="s">
        <v>226</v>
      </c>
      <c r="O506" s="13" t="s">
        <v>600</v>
      </c>
      <c r="P506" s="20"/>
      <c r="Q506" s="1">
        <v>0</v>
      </c>
      <c r="R506" s="1">
        <v>0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0"/>
      <c r="AD506" s="20"/>
      <c r="AE506" s="20"/>
      <c r="AF506" s="1">
        <f t="shared" si="37"/>
        <v>0</v>
      </c>
      <c r="AG506" s="11" t="str">
        <f t="shared" si="38"/>
        <v>REPROVADO</v>
      </c>
    </row>
    <row r="507" spans="2:33" x14ac:dyDescent="0.25">
      <c r="B507" s="5">
        <v>501</v>
      </c>
      <c r="C507" s="16" t="s">
        <v>2449</v>
      </c>
      <c r="D507" s="5" t="s">
        <v>51</v>
      </c>
      <c r="E507" s="7" t="s">
        <v>2450</v>
      </c>
      <c r="F507" s="7" t="s">
        <v>2451</v>
      </c>
      <c r="G507" s="7" t="s">
        <v>36</v>
      </c>
      <c r="H507" s="28">
        <v>164000</v>
      </c>
      <c r="I507" s="13" t="s">
        <v>2452</v>
      </c>
      <c r="J507" s="11" t="s">
        <v>47</v>
      </c>
      <c r="K507" s="7" t="s">
        <v>2453</v>
      </c>
      <c r="L507" s="7" t="s">
        <v>2454</v>
      </c>
      <c r="M507" s="26">
        <v>45322</v>
      </c>
      <c r="N507" s="7" t="s">
        <v>82</v>
      </c>
      <c r="O507" s="14" t="s">
        <v>2455</v>
      </c>
      <c r="P507" s="1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0"/>
      <c r="AD507" s="20"/>
      <c r="AE507" s="20"/>
      <c r="AF507" s="1" t="e">
        <f t="shared" si="37"/>
        <v>#DIV/0!</v>
      </c>
      <c r="AG507" s="11" t="e">
        <f t="shared" si="38"/>
        <v>#DIV/0!</v>
      </c>
    </row>
    <row r="508" spans="2:33" x14ac:dyDescent="0.25">
      <c r="B508" s="5">
        <v>502</v>
      </c>
      <c r="C508" s="22" t="s">
        <v>2456</v>
      </c>
      <c r="D508" s="5" t="s">
        <v>51</v>
      </c>
      <c r="E508" s="13" t="s">
        <v>2457</v>
      </c>
      <c r="F508" s="13" t="s">
        <v>2458</v>
      </c>
      <c r="G508" s="14" t="s">
        <v>107</v>
      </c>
      <c r="H508" s="28">
        <v>150000</v>
      </c>
      <c r="I508" s="13" t="s">
        <v>2459</v>
      </c>
      <c r="J508" s="11" t="s">
        <v>47</v>
      </c>
      <c r="K508" s="13" t="s">
        <v>2460</v>
      </c>
      <c r="L508" s="30" t="s">
        <v>2461</v>
      </c>
      <c r="M508" s="26">
        <v>45322</v>
      </c>
      <c r="N508" s="13" t="s">
        <v>57</v>
      </c>
      <c r="O508" s="14" t="s">
        <v>118</v>
      </c>
      <c r="P508" s="13"/>
      <c r="Q508" s="1">
        <v>230</v>
      </c>
      <c r="R508" s="1"/>
      <c r="S508" s="1"/>
      <c r="T508" s="1"/>
      <c r="U508" s="1"/>
      <c r="V508" s="1">
        <v>236</v>
      </c>
      <c r="W508" s="1">
        <v>240</v>
      </c>
      <c r="X508" s="1"/>
      <c r="Y508" s="1"/>
      <c r="Z508" s="1"/>
      <c r="AA508" s="1"/>
      <c r="AB508" s="1"/>
      <c r="AC508" s="20"/>
      <c r="AD508" s="20"/>
      <c r="AE508" s="1">
        <f>COUNT(Q508:AD508)</f>
        <v>3</v>
      </c>
      <c r="AF508" s="1">
        <f t="shared" si="37"/>
        <v>235.33333333333334</v>
      </c>
      <c r="AG508" s="11" t="str">
        <f t="shared" si="38"/>
        <v>APROVADO</v>
      </c>
    </row>
    <row r="509" spans="2:33" ht="25.5" x14ac:dyDescent="0.25">
      <c r="B509" s="5">
        <v>503</v>
      </c>
      <c r="C509" s="16" t="s">
        <v>2462</v>
      </c>
      <c r="D509" s="5" t="s">
        <v>33</v>
      </c>
      <c r="E509" s="5" t="s">
        <v>2463</v>
      </c>
      <c r="F509" s="5" t="s">
        <v>2464</v>
      </c>
      <c r="G509" s="5" t="s">
        <v>107</v>
      </c>
      <c r="H509" s="17">
        <v>926171.28</v>
      </c>
      <c r="I509" s="7" t="s">
        <v>73</v>
      </c>
      <c r="J509" s="5" t="s">
        <v>74</v>
      </c>
      <c r="K509" s="5" t="s">
        <v>2465</v>
      </c>
      <c r="L509" s="51" t="s">
        <v>2466</v>
      </c>
      <c r="M509" s="10">
        <v>45322</v>
      </c>
      <c r="N509" s="7" t="s">
        <v>82</v>
      </c>
      <c r="O509" s="7" t="s">
        <v>845</v>
      </c>
      <c r="P509" s="7"/>
      <c r="Q509" s="40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 t="e">
        <f t="shared" si="37"/>
        <v>#DIV/0!</v>
      </c>
      <c r="AG509" s="11" t="e">
        <f t="shared" si="38"/>
        <v>#DIV/0!</v>
      </c>
    </row>
    <row r="510" spans="2:33" ht="25.5" x14ac:dyDescent="0.25">
      <c r="B510" s="5">
        <v>504</v>
      </c>
      <c r="C510" s="16" t="s">
        <v>2467</v>
      </c>
      <c r="D510" s="5" t="s">
        <v>33</v>
      </c>
      <c r="E510" s="5" t="s">
        <v>2468</v>
      </c>
      <c r="F510" s="5" t="s">
        <v>2469</v>
      </c>
      <c r="G510" s="7" t="s">
        <v>45</v>
      </c>
      <c r="H510" s="17">
        <v>964213.56</v>
      </c>
      <c r="I510" s="7" t="s">
        <v>73</v>
      </c>
      <c r="J510" s="5" t="s">
        <v>74</v>
      </c>
      <c r="K510" s="5" t="s">
        <v>2470</v>
      </c>
      <c r="L510" s="51" t="s">
        <v>2471</v>
      </c>
      <c r="M510" s="10">
        <v>45322</v>
      </c>
      <c r="N510" s="7" t="s">
        <v>82</v>
      </c>
      <c r="O510" s="7" t="s">
        <v>845</v>
      </c>
      <c r="P510" s="7"/>
      <c r="Q510" s="40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 t="e">
        <f t="shared" si="37"/>
        <v>#DIV/0!</v>
      </c>
      <c r="AG510" s="11" t="e">
        <f t="shared" si="38"/>
        <v>#DIV/0!</v>
      </c>
    </row>
    <row r="511" spans="2:33" ht="25.5" x14ac:dyDescent="0.25">
      <c r="B511" s="5">
        <v>505</v>
      </c>
      <c r="C511" s="16" t="s">
        <v>2472</v>
      </c>
      <c r="D511" s="5" t="s">
        <v>33</v>
      </c>
      <c r="E511" s="5" t="s">
        <v>2468</v>
      </c>
      <c r="F511" s="5" t="s">
        <v>2473</v>
      </c>
      <c r="G511" s="7" t="s">
        <v>45</v>
      </c>
      <c r="H511" s="17">
        <v>958879.56</v>
      </c>
      <c r="I511" s="7" t="s">
        <v>73</v>
      </c>
      <c r="J511" s="5" t="s">
        <v>74</v>
      </c>
      <c r="K511" s="5" t="s">
        <v>2465</v>
      </c>
      <c r="L511" s="51" t="s">
        <v>2466</v>
      </c>
      <c r="M511" s="10">
        <v>45322</v>
      </c>
      <c r="N511" s="7" t="s">
        <v>82</v>
      </c>
      <c r="O511" s="7" t="s">
        <v>845</v>
      </c>
      <c r="P511" s="7"/>
      <c r="Q511" s="40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 t="e">
        <f t="shared" si="37"/>
        <v>#DIV/0!</v>
      </c>
      <c r="AG511" s="11" t="e">
        <f t="shared" si="38"/>
        <v>#DIV/0!</v>
      </c>
    </row>
    <row r="512" spans="2:33" ht="25.5" x14ac:dyDescent="0.25">
      <c r="B512" s="5">
        <v>506</v>
      </c>
      <c r="C512" s="27" t="s">
        <v>2474</v>
      </c>
      <c r="D512" s="5" t="s">
        <v>33</v>
      </c>
      <c r="E512" s="7" t="s">
        <v>2475</v>
      </c>
      <c r="F512" s="7" t="s">
        <v>2476</v>
      </c>
      <c r="G512" s="7" t="s">
        <v>36</v>
      </c>
      <c r="H512" s="8">
        <v>588000</v>
      </c>
      <c r="I512" s="7" t="s">
        <v>2477</v>
      </c>
      <c r="J512" s="7" t="s">
        <v>235</v>
      </c>
      <c r="K512" s="7" t="s">
        <v>2478</v>
      </c>
      <c r="L512" s="9" t="s">
        <v>2479</v>
      </c>
      <c r="M512" s="10">
        <v>45322</v>
      </c>
      <c r="N512" s="7" t="s">
        <v>41</v>
      </c>
      <c r="O512" s="7"/>
      <c r="P512" s="7" t="s">
        <v>2480</v>
      </c>
      <c r="Q512" s="40">
        <v>333</v>
      </c>
      <c r="R512" s="1"/>
      <c r="S512" s="1"/>
      <c r="T512" s="1">
        <v>259</v>
      </c>
      <c r="U512" s="1"/>
      <c r="V512" s="1"/>
      <c r="W512" s="1"/>
      <c r="X512" s="1"/>
      <c r="Y512" s="1"/>
      <c r="Z512" s="1"/>
      <c r="AA512" s="1"/>
      <c r="AB512" s="1"/>
      <c r="AC512" s="1">
        <v>307</v>
      </c>
      <c r="AD512" s="1"/>
      <c r="AE512" s="1">
        <f t="shared" ref="AE512:AE525" si="40">COUNT(Q512:AD512)</f>
        <v>3</v>
      </c>
      <c r="AF512" s="1">
        <f t="shared" si="37"/>
        <v>299.66666666666669</v>
      </c>
      <c r="AG512" s="11" t="str">
        <f t="shared" si="38"/>
        <v>APROVADO</v>
      </c>
    </row>
    <row r="513" spans="2:33" x14ac:dyDescent="0.25">
      <c r="B513" s="5">
        <v>507</v>
      </c>
      <c r="C513" s="24" t="s">
        <v>2481</v>
      </c>
      <c r="D513" s="5" t="s">
        <v>51</v>
      </c>
      <c r="E513" s="13" t="s">
        <v>2482</v>
      </c>
      <c r="F513" s="13" t="s">
        <v>1053</v>
      </c>
      <c r="G513" s="14" t="s">
        <v>107</v>
      </c>
      <c r="H513" s="28">
        <v>239275</v>
      </c>
      <c r="I513" s="13" t="s">
        <v>390</v>
      </c>
      <c r="J513" s="11" t="s">
        <v>391</v>
      </c>
      <c r="K513" s="13" t="s">
        <v>2483</v>
      </c>
      <c r="L513" s="30" t="s">
        <v>2461</v>
      </c>
      <c r="M513" s="26">
        <v>45322</v>
      </c>
      <c r="N513" s="13" t="s">
        <v>57</v>
      </c>
      <c r="O513" s="14" t="s">
        <v>2484</v>
      </c>
      <c r="P513" s="13"/>
      <c r="Q513" s="1">
        <v>273</v>
      </c>
      <c r="R513" s="1"/>
      <c r="S513" s="1"/>
      <c r="T513" s="1"/>
      <c r="U513" s="1"/>
      <c r="V513" s="1"/>
      <c r="W513" s="1"/>
      <c r="X513" s="1">
        <v>300</v>
      </c>
      <c r="Y513" s="1">
        <v>331</v>
      </c>
      <c r="Z513" s="1"/>
      <c r="AA513" s="1"/>
      <c r="AB513" s="1"/>
      <c r="AC513" s="20"/>
      <c r="AD513" s="20"/>
      <c r="AE513" s="1">
        <f t="shared" si="40"/>
        <v>3</v>
      </c>
      <c r="AF513" s="1">
        <f t="shared" si="37"/>
        <v>301.33333333333331</v>
      </c>
      <c r="AG513" s="11" t="str">
        <f t="shared" si="38"/>
        <v>APROVADO</v>
      </c>
    </row>
    <row r="514" spans="2:33" x14ac:dyDescent="0.25">
      <c r="B514" s="5">
        <v>508</v>
      </c>
      <c r="C514" s="24" t="s">
        <v>2485</v>
      </c>
      <c r="D514" s="5" t="s">
        <v>51</v>
      </c>
      <c r="E514" s="13" t="s">
        <v>2482</v>
      </c>
      <c r="F514" s="13" t="s">
        <v>2486</v>
      </c>
      <c r="G514" s="14" t="s">
        <v>776</v>
      </c>
      <c r="H514" s="28">
        <v>200000</v>
      </c>
      <c r="I514" s="13" t="s">
        <v>390</v>
      </c>
      <c r="J514" s="11" t="s">
        <v>391</v>
      </c>
      <c r="K514" s="13" t="s">
        <v>2487</v>
      </c>
      <c r="L514" s="30" t="s">
        <v>2488</v>
      </c>
      <c r="M514" s="26">
        <v>45322</v>
      </c>
      <c r="N514" s="13" t="s">
        <v>41</v>
      </c>
      <c r="O514" s="14"/>
      <c r="P514" s="13"/>
      <c r="Q514" s="1">
        <v>306</v>
      </c>
      <c r="R514" s="1">
        <v>129</v>
      </c>
      <c r="S514" s="1"/>
      <c r="T514" s="1">
        <v>98</v>
      </c>
      <c r="U514" s="1"/>
      <c r="V514" s="1"/>
      <c r="W514" s="1"/>
      <c r="X514" s="1"/>
      <c r="Y514" s="1"/>
      <c r="Z514" s="1"/>
      <c r="AA514" s="1"/>
      <c r="AB514" s="1"/>
      <c r="AC514" s="20"/>
      <c r="AD514" s="20"/>
      <c r="AE514" s="1">
        <f t="shared" si="40"/>
        <v>3</v>
      </c>
      <c r="AF514" s="1">
        <f t="shared" si="37"/>
        <v>177.66666666666666</v>
      </c>
      <c r="AG514" s="11" t="str">
        <f t="shared" si="38"/>
        <v>REPROVADO</v>
      </c>
    </row>
    <row r="515" spans="2:33" x14ac:dyDescent="0.25">
      <c r="B515" s="5">
        <v>509</v>
      </c>
      <c r="C515" s="24" t="s">
        <v>2489</v>
      </c>
      <c r="D515" s="5" t="s">
        <v>51</v>
      </c>
      <c r="E515" s="13" t="s">
        <v>2482</v>
      </c>
      <c r="F515" s="13" t="s">
        <v>357</v>
      </c>
      <c r="G515" s="7" t="s">
        <v>62</v>
      </c>
      <c r="H515" s="28">
        <v>1884000</v>
      </c>
      <c r="I515" s="13" t="s">
        <v>390</v>
      </c>
      <c r="J515" s="11" t="s">
        <v>391</v>
      </c>
      <c r="K515" s="13" t="s">
        <v>2490</v>
      </c>
      <c r="L515" s="30" t="s">
        <v>2461</v>
      </c>
      <c r="M515" s="26">
        <v>45322</v>
      </c>
      <c r="N515" s="13" t="s">
        <v>57</v>
      </c>
      <c r="O515" s="14" t="s">
        <v>2491</v>
      </c>
      <c r="P515" s="13"/>
      <c r="Q515" s="1">
        <v>340</v>
      </c>
      <c r="R515" s="1"/>
      <c r="S515" s="1"/>
      <c r="T515" s="1"/>
      <c r="U515" s="1"/>
      <c r="V515" s="1">
        <v>340</v>
      </c>
      <c r="W515" s="1">
        <v>340</v>
      </c>
      <c r="X515" s="1"/>
      <c r="Y515" s="1"/>
      <c r="Z515" s="1"/>
      <c r="AA515" s="1"/>
      <c r="AB515" s="1"/>
      <c r="AC515" s="20"/>
      <c r="AD515" s="20"/>
      <c r="AE515" s="1">
        <f t="shared" si="40"/>
        <v>3</v>
      </c>
      <c r="AF515" s="1">
        <f t="shared" si="37"/>
        <v>340</v>
      </c>
      <c r="AG515" s="11" t="str">
        <f t="shared" si="38"/>
        <v>APROVADO</v>
      </c>
    </row>
    <row r="516" spans="2:33" ht="25.5" x14ac:dyDescent="0.25">
      <c r="B516" s="5">
        <v>510</v>
      </c>
      <c r="C516" s="27" t="s">
        <v>2492</v>
      </c>
      <c r="D516" s="5" t="s">
        <v>33</v>
      </c>
      <c r="E516" s="7" t="s">
        <v>2493</v>
      </c>
      <c r="F516" s="7" t="s">
        <v>2494</v>
      </c>
      <c r="G516" s="7" t="s">
        <v>107</v>
      </c>
      <c r="H516" s="8">
        <v>1224168</v>
      </c>
      <c r="I516" s="7" t="s">
        <v>1732</v>
      </c>
      <c r="J516" s="7" t="s">
        <v>235</v>
      </c>
      <c r="K516" s="7" t="s">
        <v>2495</v>
      </c>
      <c r="L516" s="9" t="s">
        <v>2496</v>
      </c>
      <c r="M516" s="10">
        <v>45322</v>
      </c>
      <c r="N516" s="7" t="s">
        <v>41</v>
      </c>
      <c r="O516" s="7"/>
      <c r="P516" s="7"/>
      <c r="Q516" s="40">
        <v>319</v>
      </c>
      <c r="R516" s="1">
        <v>109</v>
      </c>
      <c r="S516" s="1"/>
      <c r="T516" s="1"/>
      <c r="U516" s="1"/>
      <c r="V516" s="1"/>
      <c r="W516" s="1"/>
      <c r="X516" s="1"/>
      <c r="Y516" s="1"/>
      <c r="Z516" s="1">
        <v>283</v>
      </c>
      <c r="AA516" s="1"/>
      <c r="AB516" s="1"/>
      <c r="AC516" s="1"/>
      <c r="AD516" s="1"/>
      <c r="AE516" s="1">
        <f t="shared" si="40"/>
        <v>3</v>
      </c>
      <c r="AF516" s="1">
        <f t="shared" si="37"/>
        <v>237</v>
      </c>
      <c r="AG516" s="11" t="str">
        <f t="shared" si="38"/>
        <v>APROVADO</v>
      </c>
    </row>
    <row r="517" spans="2:33" ht="25.5" x14ac:dyDescent="0.25">
      <c r="B517" s="5">
        <v>511</v>
      </c>
      <c r="C517" s="27" t="s">
        <v>2497</v>
      </c>
      <c r="D517" s="5" t="s">
        <v>33</v>
      </c>
      <c r="E517" s="7" t="s">
        <v>2498</v>
      </c>
      <c r="F517" s="7" t="s">
        <v>2499</v>
      </c>
      <c r="G517" s="7" t="s">
        <v>36</v>
      </c>
      <c r="H517" s="8">
        <v>982220</v>
      </c>
      <c r="I517" s="7" t="s">
        <v>2500</v>
      </c>
      <c r="J517" s="7" t="s">
        <v>677</v>
      </c>
      <c r="K517" s="7" t="s">
        <v>2501</v>
      </c>
      <c r="L517" s="9" t="s">
        <v>2502</v>
      </c>
      <c r="M517" s="10">
        <v>45322</v>
      </c>
      <c r="N517" s="7" t="s">
        <v>41</v>
      </c>
      <c r="O517" s="7"/>
      <c r="P517" s="7"/>
      <c r="Q517" s="40">
        <v>335</v>
      </c>
      <c r="R517" s="1">
        <v>172</v>
      </c>
      <c r="S517" s="1"/>
      <c r="T517" s="1">
        <v>240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>
        <f t="shared" si="40"/>
        <v>3</v>
      </c>
      <c r="AF517" s="1">
        <f t="shared" ref="AF517:AF580" si="41">AVERAGE(Q517:AD517)</f>
        <v>249</v>
      </c>
      <c r="AG517" s="11" t="str">
        <f t="shared" ref="AG517:AG580" si="42">IF(AF517&gt;=$AG$1,"APROVADO","REPROVADO")</f>
        <v>APROVADO</v>
      </c>
    </row>
    <row r="518" spans="2:33" ht="25.5" x14ac:dyDescent="0.25">
      <c r="B518" s="5">
        <v>512</v>
      </c>
      <c r="C518" s="6" t="s">
        <v>2503</v>
      </c>
      <c r="D518" s="5" t="s">
        <v>33</v>
      </c>
      <c r="E518" s="5" t="s">
        <v>2504</v>
      </c>
      <c r="F518" s="5" t="s">
        <v>2505</v>
      </c>
      <c r="G518" s="5" t="s">
        <v>107</v>
      </c>
      <c r="H518" s="17">
        <v>770400</v>
      </c>
      <c r="I518" s="7" t="s">
        <v>73</v>
      </c>
      <c r="J518" s="5" t="s">
        <v>74</v>
      </c>
      <c r="K518" s="5" t="s">
        <v>2506</v>
      </c>
      <c r="L518" s="31" t="s">
        <v>2507</v>
      </c>
      <c r="M518" s="10">
        <v>45322</v>
      </c>
      <c r="N518" s="5" t="s">
        <v>67</v>
      </c>
      <c r="O518" s="7" t="s">
        <v>89</v>
      </c>
      <c r="P518" s="9"/>
      <c r="Q518" s="39">
        <v>310</v>
      </c>
      <c r="R518" s="1"/>
      <c r="S518" s="1"/>
      <c r="T518" s="1"/>
      <c r="U518" s="1"/>
      <c r="V518" s="1">
        <v>340</v>
      </c>
      <c r="W518" s="1">
        <v>305</v>
      </c>
      <c r="X518" s="1"/>
      <c r="Y518" s="1"/>
      <c r="Z518" s="1"/>
      <c r="AA518" s="1"/>
      <c r="AB518" s="1"/>
      <c r="AC518" s="1"/>
      <c r="AD518" s="1"/>
      <c r="AE518" s="1">
        <f t="shared" si="40"/>
        <v>3</v>
      </c>
      <c r="AF518" s="1">
        <f t="shared" si="41"/>
        <v>318.33333333333331</v>
      </c>
      <c r="AG518" s="11" t="str">
        <f t="shared" si="42"/>
        <v>APROVADO</v>
      </c>
    </row>
    <row r="519" spans="2:33" x14ac:dyDescent="0.25">
      <c r="B519" s="5">
        <v>513</v>
      </c>
      <c r="C519" s="24" t="s">
        <v>2508</v>
      </c>
      <c r="D519" s="5" t="s">
        <v>51</v>
      </c>
      <c r="E519" s="13" t="s">
        <v>2509</v>
      </c>
      <c r="F519" s="13" t="s">
        <v>2510</v>
      </c>
      <c r="G519" s="14" t="s">
        <v>107</v>
      </c>
      <c r="H519" s="28">
        <v>34165</v>
      </c>
      <c r="I519" s="13" t="s">
        <v>2511</v>
      </c>
      <c r="J519" s="11" t="s">
        <v>47</v>
      </c>
      <c r="K519" s="13" t="s">
        <v>2512</v>
      </c>
      <c r="L519" s="30" t="s">
        <v>2513</v>
      </c>
      <c r="M519" s="26">
        <v>45322</v>
      </c>
      <c r="N519" s="13" t="s">
        <v>57</v>
      </c>
      <c r="O519" s="14" t="s">
        <v>2514</v>
      </c>
      <c r="P519" s="13"/>
      <c r="Q519" s="1">
        <v>265</v>
      </c>
      <c r="R519" s="1"/>
      <c r="S519" s="1"/>
      <c r="T519" s="1"/>
      <c r="U519" s="1"/>
      <c r="V519" s="1"/>
      <c r="W519" s="1"/>
      <c r="X519" s="1">
        <v>324</v>
      </c>
      <c r="Y519" s="1">
        <v>324</v>
      </c>
      <c r="Z519" s="1"/>
      <c r="AA519" s="1"/>
      <c r="AB519" s="1"/>
      <c r="AC519" s="20"/>
      <c r="AD519" s="20"/>
      <c r="AE519" s="1">
        <f t="shared" si="40"/>
        <v>3</v>
      </c>
      <c r="AF519" s="1">
        <f t="shared" si="41"/>
        <v>304.33333333333331</v>
      </c>
      <c r="AG519" s="11" t="str">
        <f t="shared" si="42"/>
        <v>APROVADO</v>
      </c>
    </row>
    <row r="520" spans="2:33" ht="25.5" x14ac:dyDescent="0.25">
      <c r="B520" s="5">
        <v>514</v>
      </c>
      <c r="C520" s="6" t="s">
        <v>2515</v>
      </c>
      <c r="D520" s="5" t="s">
        <v>33</v>
      </c>
      <c r="E520" s="7" t="s">
        <v>2516</v>
      </c>
      <c r="F520" s="7" t="s">
        <v>2517</v>
      </c>
      <c r="G520" s="5" t="s">
        <v>62</v>
      </c>
      <c r="H520" s="8">
        <v>749855.9</v>
      </c>
      <c r="I520" s="7" t="s">
        <v>73</v>
      </c>
      <c r="J520" s="5" t="s">
        <v>74</v>
      </c>
      <c r="K520" s="7" t="s">
        <v>2518</v>
      </c>
      <c r="L520" s="9" t="s">
        <v>2519</v>
      </c>
      <c r="M520" s="10">
        <v>45322</v>
      </c>
      <c r="N520" s="7" t="s">
        <v>67</v>
      </c>
      <c r="O520" s="7" t="s">
        <v>68</v>
      </c>
      <c r="P520" s="7" t="s">
        <v>2520</v>
      </c>
      <c r="Q520" s="40">
        <v>240</v>
      </c>
      <c r="R520" s="1"/>
      <c r="S520" s="1"/>
      <c r="T520" s="1"/>
      <c r="U520" s="1"/>
      <c r="V520" s="1"/>
      <c r="W520" s="1">
        <v>277</v>
      </c>
      <c r="X520" s="1"/>
      <c r="Y520" s="1">
        <v>340</v>
      </c>
      <c r="Z520" s="1"/>
      <c r="AA520" s="1"/>
      <c r="AB520" s="1"/>
      <c r="AC520" s="1"/>
      <c r="AD520" s="1"/>
      <c r="AE520" s="1">
        <f t="shared" si="40"/>
        <v>3</v>
      </c>
      <c r="AF520" s="1">
        <f t="shared" si="41"/>
        <v>285.66666666666669</v>
      </c>
      <c r="AG520" s="11" t="str">
        <f t="shared" si="42"/>
        <v>APROVADO</v>
      </c>
    </row>
    <row r="521" spans="2:33" ht="38.25" x14ac:dyDescent="0.25">
      <c r="B521" s="5">
        <v>515</v>
      </c>
      <c r="C521" s="6" t="s">
        <v>2521</v>
      </c>
      <c r="D521" s="5" t="s">
        <v>33</v>
      </c>
      <c r="E521" s="7" t="s">
        <v>2522</v>
      </c>
      <c r="F521" s="7" t="s">
        <v>2523</v>
      </c>
      <c r="G521" s="7" t="s">
        <v>300</v>
      </c>
      <c r="H521" s="8">
        <v>614048.15</v>
      </c>
      <c r="I521" s="7" t="s">
        <v>1475</v>
      </c>
      <c r="J521" s="7" t="s">
        <v>64</v>
      </c>
      <c r="K521" s="7" t="s">
        <v>2524</v>
      </c>
      <c r="L521" s="9" t="s">
        <v>2525</v>
      </c>
      <c r="M521" s="10">
        <v>45322</v>
      </c>
      <c r="N521" s="7" t="s">
        <v>67</v>
      </c>
      <c r="O521" s="7" t="s">
        <v>68</v>
      </c>
      <c r="P521" s="7"/>
      <c r="Q521" s="40">
        <v>286</v>
      </c>
      <c r="R521" s="1"/>
      <c r="S521" s="1">
        <v>271</v>
      </c>
      <c r="T521" s="1"/>
      <c r="U521" s="1"/>
      <c r="V521" s="1"/>
      <c r="W521" s="1"/>
      <c r="X521" s="1"/>
      <c r="Y521" s="1">
        <v>271</v>
      </c>
      <c r="Z521" s="1"/>
      <c r="AA521" s="1"/>
      <c r="AB521" s="1"/>
      <c r="AC521" s="1"/>
      <c r="AD521" s="1"/>
      <c r="AE521" s="1">
        <f t="shared" si="40"/>
        <v>3</v>
      </c>
      <c r="AF521" s="1">
        <f t="shared" si="41"/>
        <v>276</v>
      </c>
      <c r="AG521" s="11" t="str">
        <f t="shared" si="42"/>
        <v>APROVADO</v>
      </c>
    </row>
    <row r="522" spans="2:33" ht="25.5" x14ac:dyDescent="0.25">
      <c r="B522" s="5">
        <v>516</v>
      </c>
      <c r="C522" s="6" t="s">
        <v>2526</v>
      </c>
      <c r="D522" s="5" t="s">
        <v>33</v>
      </c>
      <c r="E522" s="7" t="s">
        <v>2527</v>
      </c>
      <c r="F522" s="7" t="s">
        <v>2528</v>
      </c>
      <c r="G522" s="7" t="s">
        <v>2529</v>
      </c>
      <c r="H522" s="8">
        <v>738261.48</v>
      </c>
      <c r="I522" s="7" t="s">
        <v>73</v>
      </c>
      <c r="J522" s="5" t="s">
        <v>74</v>
      </c>
      <c r="K522" s="7" t="s">
        <v>2530</v>
      </c>
      <c r="L522" s="9" t="s">
        <v>2531</v>
      </c>
      <c r="M522" s="10">
        <v>45322</v>
      </c>
      <c r="N522" s="7" t="s">
        <v>41</v>
      </c>
      <c r="O522" s="7"/>
      <c r="P522" s="7"/>
      <c r="Q522" s="40">
        <v>275</v>
      </c>
      <c r="R522" s="1"/>
      <c r="S522" s="1"/>
      <c r="T522" s="1"/>
      <c r="U522" s="1"/>
      <c r="V522" s="1"/>
      <c r="W522" s="1"/>
      <c r="X522" s="1"/>
      <c r="Y522" s="1"/>
      <c r="Z522" s="1">
        <v>210</v>
      </c>
      <c r="AA522" s="1">
        <v>241</v>
      </c>
      <c r="AB522" s="1"/>
      <c r="AC522" s="1"/>
      <c r="AD522" s="1"/>
      <c r="AE522" s="1">
        <f t="shared" si="40"/>
        <v>3</v>
      </c>
      <c r="AF522" s="1">
        <f t="shared" si="41"/>
        <v>242</v>
      </c>
      <c r="AG522" s="11" t="str">
        <f t="shared" si="42"/>
        <v>APROVADO</v>
      </c>
    </row>
    <row r="523" spans="2:33" ht="25.5" x14ac:dyDescent="0.25">
      <c r="B523" s="5">
        <v>517</v>
      </c>
      <c r="C523" s="6" t="s">
        <v>2532</v>
      </c>
      <c r="D523" s="5" t="s">
        <v>33</v>
      </c>
      <c r="E523" s="7" t="s">
        <v>2516</v>
      </c>
      <c r="F523" s="7" t="s">
        <v>2533</v>
      </c>
      <c r="G523" s="5" t="s">
        <v>62</v>
      </c>
      <c r="H523" s="8">
        <v>720339</v>
      </c>
      <c r="I523" s="7" t="s">
        <v>73</v>
      </c>
      <c r="J523" s="5" t="s">
        <v>74</v>
      </c>
      <c r="K523" s="7" t="s">
        <v>2518</v>
      </c>
      <c r="L523" s="9" t="s">
        <v>2519</v>
      </c>
      <c r="M523" s="10">
        <v>45322</v>
      </c>
      <c r="N523" s="7" t="s">
        <v>67</v>
      </c>
      <c r="O523" s="7" t="s">
        <v>68</v>
      </c>
      <c r="P523" s="7" t="s">
        <v>2520</v>
      </c>
      <c r="Q523" s="40">
        <v>226</v>
      </c>
      <c r="R523" s="1"/>
      <c r="S523" s="1"/>
      <c r="T523" s="1"/>
      <c r="U523" s="1"/>
      <c r="V523" s="1"/>
      <c r="W523" s="1">
        <v>278</v>
      </c>
      <c r="X523" s="1"/>
      <c r="Y523" s="1">
        <v>320</v>
      </c>
      <c r="Z523" s="1"/>
      <c r="AA523" s="1"/>
      <c r="AB523" s="1"/>
      <c r="AC523" s="1"/>
      <c r="AD523" s="1"/>
      <c r="AE523" s="1">
        <f t="shared" si="40"/>
        <v>3</v>
      </c>
      <c r="AF523" s="1">
        <f t="shared" si="41"/>
        <v>274.66666666666669</v>
      </c>
      <c r="AG523" s="11" t="str">
        <f t="shared" si="42"/>
        <v>APROVADO</v>
      </c>
    </row>
    <row r="524" spans="2:33" ht="26.25" x14ac:dyDescent="0.25">
      <c r="B524" s="5">
        <v>518</v>
      </c>
      <c r="C524" s="24" t="s">
        <v>2534</v>
      </c>
      <c r="D524" s="5" t="s">
        <v>51</v>
      </c>
      <c r="E524" s="13" t="s">
        <v>2535</v>
      </c>
      <c r="F524" s="14" t="s">
        <v>2536</v>
      </c>
      <c r="G524" s="14" t="s">
        <v>36</v>
      </c>
      <c r="H524" s="28">
        <v>329350</v>
      </c>
      <c r="I524" s="13" t="s">
        <v>2138</v>
      </c>
      <c r="J524" s="11" t="s">
        <v>254</v>
      </c>
      <c r="K524" s="14" t="s">
        <v>2537</v>
      </c>
      <c r="L524" s="30" t="s">
        <v>2538</v>
      </c>
      <c r="M524" s="26">
        <v>45322</v>
      </c>
      <c r="N524" s="13" t="s">
        <v>57</v>
      </c>
      <c r="O524" s="14" t="s">
        <v>518</v>
      </c>
      <c r="P524" s="13"/>
      <c r="Q524" s="1">
        <v>323</v>
      </c>
      <c r="R524" s="1"/>
      <c r="S524" s="1"/>
      <c r="T524" s="1"/>
      <c r="U524" s="1"/>
      <c r="V524" s="1">
        <v>340</v>
      </c>
      <c r="W524" s="1">
        <v>316</v>
      </c>
      <c r="X524" s="1"/>
      <c r="Y524" s="1"/>
      <c r="Z524" s="1"/>
      <c r="AA524" s="1"/>
      <c r="AB524" s="1"/>
      <c r="AC524" s="20"/>
      <c r="AD524" s="20"/>
      <c r="AE524" s="1">
        <f t="shared" si="40"/>
        <v>3</v>
      </c>
      <c r="AF524" s="1">
        <f t="shared" si="41"/>
        <v>326.33333333333331</v>
      </c>
      <c r="AG524" s="11" t="str">
        <f t="shared" si="42"/>
        <v>APROVADO</v>
      </c>
    </row>
    <row r="525" spans="2:33" x14ac:dyDescent="0.25">
      <c r="B525" s="5">
        <v>519</v>
      </c>
      <c r="C525" s="24" t="s">
        <v>2539</v>
      </c>
      <c r="D525" s="5" t="s">
        <v>51</v>
      </c>
      <c r="E525" s="13" t="s">
        <v>2535</v>
      </c>
      <c r="F525" s="13" t="s">
        <v>2540</v>
      </c>
      <c r="G525" s="14" t="s">
        <v>36</v>
      </c>
      <c r="H525" s="28">
        <v>329350</v>
      </c>
      <c r="I525" s="13" t="s">
        <v>2138</v>
      </c>
      <c r="J525" s="11" t="s">
        <v>254</v>
      </c>
      <c r="K525" s="14" t="s">
        <v>2537</v>
      </c>
      <c r="L525" s="30" t="s">
        <v>2541</v>
      </c>
      <c r="M525" s="26">
        <v>45322</v>
      </c>
      <c r="N525" s="13" t="s">
        <v>57</v>
      </c>
      <c r="O525" s="14" t="s">
        <v>518</v>
      </c>
      <c r="P525" s="13"/>
      <c r="Q525" s="1">
        <v>293</v>
      </c>
      <c r="R525" s="1"/>
      <c r="S525" s="1"/>
      <c r="T525" s="1"/>
      <c r="U525" s="1"/>
      <c r="V525" s="1"/>
      <c r="W525" s="1"/>
      <c r="X525" s="1">
        <v>304</v>
      </c>
      <c r="Y525" s="1">
        <v>304</v>
      </c>
      <c r="Z525" s="1"/>
      <c r="AA525" s="1"/>
      <c r="AB525" s="1"/>
      <c r="AC525" s="20"/>
      <c r="AD525" s="20"/>
      <c r="AE525" s="1">
        <f t="shared" si="40"/>
        <v>3</v>
      </c>
      <c r="AF525" s="1">
        <f t="shared" si="41"/>
        <v>300.33333333333331</v>
      </c>
      <c r="AG525" s="11" t="str">
        <f t="shared" si="42"/>
        <v>APROVADO</v>
      </c>
    </row>
    <row r="526" spans="2:33" ht="39" x14ac:dyDescent="0.25">
      <c r="B526" s="5">
        <v>520</v>
      </c>
      <c r="C526" s="32" t="s">
        <v>2542</v>
      </c>
      <c r="D526" s="5" t="s">
        <v>51</v>
      </c>
      <c r="E526" s="13" t="s">
        <v>2543</v>
      </c>
      <c r="F526" s="14" t="s">
        <v>2544</v>
      </c>
      <c r="G526" s="14" t="s">
        <v>36</v>
      </c>
      <c r="H526" s="28">
        <v>433800</v>
      </c>
      <c r="I526" s="13" t="s">
        <v>2545</v>
      </c>
      <c r="J526" s="11" t="s">
        <v>38</v>
      </c>
      <c r="K526" s="13" t="s">
        <v>2546</v>
      </c>
      <c r="L526" s="30" t="s">
        <v>2541</v>
      </c>
      <c r="M526" s="26">
        <v>45322</v>
      </c>
      <c r="N526" s="7" t="s">
        <v>82</v>
      </c>
      <c r="O526" s="14" t="s">
        <v>845</v>
      </c>
      <c r="P526" s="1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0"/>
      <c r="AD526" s="20"/>
      <c r="AE526" s="20"/>
      <c r="AF526" s="1" t="e">
        <f t="shared" si="41"/>
        <v>#DIV/0!</v>
      </c>
      <c r="AG526" s="11" t="e">
        <f t="shared" si="42"/>
        <v>#DIV/0!</v>
      </c>
    </row>
    <row r="527" spans="2:33" ht="26.25" x14ac:dyDescent="0.25">
      <c r="B527" s="5">
        <v>521</v>
      </c>
      <c r="C527" s="32" t="s">
        <v>2547</v>
      </c>
      <c r="D527" s="5" t="s">
        <v>51</v>
      </c>
      <c r="E527" s="13" t="s">
        <v>2543</v>
      </c>
      <c r="F527" s="14" t="s">
        <v>2548</v>
      </c>
      <c r="G527" s="14" t="s">
        <v>36</v>
      </c>
      <c r="H527" s="28">
        <v>600000</v>
      </c>
      <c r="I527" s="13" t="s">
        <v>2545</v>
      </c>
      <c r="J527" s="11" t="s">
        <v>38</v>
      </c>
      <c r="K527" s="13" t="s">
        <v>2549</v>
      </c>
      <c r="L527" s="30" t="s">
        <v>2550</v>
      </c>
      <c r="M527" s="26">
        <v>45322</v>
      </c>
      <c r="N527" s="7" t="s">
        <v>82</v>
      </c>
      <c r="O527" s="14" t="s">
        <v>845</v>
      </c>
      <c r="P527" s="1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0"/>
      <c r="AD527" s="20"/>
      <c r="AE527" s="20"/>
      <c r="AF527" s="1" t="e">
        <f t="shared" si="41"/>
        <v>#DIV/0!</v>
      </c>
      <c r="AG527" s="11" t="e">
        <f t="shared" si="42"/>
        <v>#DIV/0!</v>
      </c>
    </row>
    <row r="528" spans="2:33" ht="39" x14ac:dyDescent="0.25">
      <c r="B528" s="5">
        <v>522</v>
      </c>
      <c r="C528" s="32" t="s">
        <v>2551</v>
      </c>
      <c r="D528" s="5" t="s">
        <v>51</v>
      </c>
      <c r="E528" s="13" t="s">
        <v>2543</v>
      </c>
      <c r="F528" s="14" t="s">
        <v>2552</v>
      </c>
      <c r="G528" s="14" t="s">
        <v>36</v>
      </c>
      <c r="H528" s="28">
        <v>58200</v>
      </c>
      <c r="I528" s="13" t="s">
        <v>2545</v>
      </c>
      <c r="J528" s="11" t="s">
        <v>38</v>
      </c>
      <c r="K528" s="13" t="s">
        <v>2546</v>
      </c>
      <c r="L528" s="30" t="s">
        <v>2513</v>
      </c>
      <c r="M528" s="26">
        <v>45322</v>
      </c>
      <c r="N528" s="7" t="s">
        <v>82</v>
      </c>
      <c r="O528" s="14" t="s">
        <v>845</v>
      </c>
      <c r="P528" s="1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0"/>
      <c r="AD528" s="20"/>
      <c r="AE528" s="20"/>
      <c r="AF528" s="1" t="e">
        <f t="shared" si="41"/>
        <v>#DIV/0!</v>
      </c>
      <c r="AG528" s="11" t="e">
        <f t="shared" si="42"/>
        <v>#DIV/0!</v>
      </c>
    </row>
    <row r="529" spans="2:33" x14ac:dyDescent="0.25">
      <c r="B529" s="5">
        <v>523</v>
      </c>
      <c r="C529" s="6" t="s">
        <v>2553</v>
      </c>
      <c r="D529" s="5" t="s">
        <v>51</v>
      </c>
      <c r="E529" s="7" t="s">
        <v>2554</v>
      </c>
      <c r="F529" s="7" t="s">
        <v>2555</v>
      </c>
      <c r="G529" s="7" t="s">
        <v>45</v>
      </c>
      <c r="H529" s="28">
        <v>80058.679999999993</v>
      </c>
      <c r="I529" s="13" t="s">
        <v>2556</v>
      </c>
      <c r="J529" s="11" t="s">
        <v>115</v>
      </c>
      <c r="K529" s="13" t="s">
        <v>2557</v>
      </c>
      <c r="L529" s="42" t="s">
        <v>2558</v>
      </c>
      <c r="M529" s="26">
        <v>45322</v>
      </c>
      <c r="N529" s="13" t="s">
        <v>57</v>
      </c>
      <c r="O529" s="13" t="s">
        <v>2559</v>
      </c>
      <c r="P529" s="20"/>
      <c r="Q529" s="1">
        <v>306</v>
      </c>
      <c r="R529" s="1"/>
      <c r="S529" s="1"/>
      <c r="T529" s="1"/>
      <c r="U529" s="1"/>
      <c r="V529" s="1">
        <v>310</v>
      </c>
      <c r="W529" s="1">
        <v>299</v>
      </c>
      <c r="X529" s="1"/>
      <c r="Y529" s="1"/>
      <c r="Z529" s="1"/>
      <c r="AA529" s="1"/>
      <c r="AB529" s="1"/>
      <c r="AC529" s="20"/>
      <c r="AD529" s="20"/>
      <c r="AE529" s="1">
        <f>COUNT(Q529:AD529)</f>
        <v>3</v>
      </c>
      <c r="AF529" s="1">
        <f t="shared" si="41"/>
        <v>305</v>
      </c>
      <c r="AG529" s="11" t="str">
        <f t="shared" si="42"/>
        <v>APROVADO</v>
      </c>
    </row>
    <row r="530" spans="2:33" ht="25.5" x14ac:dyDescent="0.25">
      <c r="B530" s="5">
        <v>524</v>
      </c>
      <c r="C530" s="27" t="s">
        <v>2560</v>
      </c>
      <c r="D530" s="5" t="s">
        <v>33</v>
      </c>
      <c r="E530" s="7" t="s">
        <v>2561</v>
      </c>
      <c r="F530" s="7" t="s">
        <v>2562</v>
      </c>
      <c r="G530" s="7" t="s">
        <v>336</v>
      </c>
      <c r="H530" s="8">
        <v>632086</v>
      </c>
      <c r="I530" s="7" t="s">
        <v>1732</v>
      </c>
      <c r="J530" s="7" t="s">
        <v>235</v>
      </c>
      <c r="K530" s="7" t="s">
        <v>2563</v>
      </c>
      <c r="L530" s="9" t="s">
        <v>2564</v>
      </c>
      <c r="M530" s="10">
        <v>45322</v>
      </c>
      <c r="N530" s="7" t="s">
        <v>41</v>
      </c>
      <c r="O530" s="7"/>
      <c r="P530" s="7"/>
      <c r="Q530" s="40">
        <v>332</v>
      </c>
      <c r="R530" s="1">
        <v>161</v>
      </c>
      <c r="S530" s="1"/>
      <c r="T530" s="1"/>
      <c r="U530" s="1"/>
      <c r="V530" s="1"/>
      <c r="W530" s="1"/>
      <c r="X530" s="1"/>
      <c r="Y530" s="1"/>
      <c r="Z530" s="1">
        <v>314</v>
      </c>
      <c r="AA530" s="1"/>
      <c r="AB530" s="1"/>
      <c r="AC530" s="1"/>
      <c r="AD530" s="1"/>
      <c r="AE530" s="1">
        <f>COUNT(Q530:AD530)</f>
        <v>3</v>
      </c>
      <c r="AF530" s="1">
        <f t="shared" si="41"/>
        <v>269</v>
      </c>
      <c r="AG530" s="11" t="str">
        <f t="shared" si="42"/>
        <v>APROVADO</v>
      </c>
    </row>
    <row r="531" spans="2:33" ht="25.5" x14ac:dyDescent="0.25">
      <c r="B531" s="5">
        <v>525</v>
      </c>
      <c r="C531" s="16" t="s">
        <v>2565</v>
      </c>
      <c r="D531" s="5" t="s">
        <v>33</v>
      </c>
      <c r="E531" s="5" t="s">
        <v>2566</v>
      </c>
      <c r="F531" s="5" t="s">
        <v>2567</v>
      </c>
      <c r="G531" s="7" t="s">
        <v>36</v>
      </c>
      <c r="H531" s="17">
        <v>100250.84</v>
      </c>
      <c r="I531" s="7" t="s">
        <v>2556</v>
      </c>
      <c r="J531" s="5" t="s">
        <v>115</v>
      </c>
      <c r="K531" s="5" t="s">
        <v>2568</v>
      </c>
      <c r="L531" s="51" t="s">
        <v>2569</v>
      </c>
      <c r="M531" s="10">
        <v>45322</v>
      </c>
      <c r="N531" s="7" t="s">
        <v>82</v>
      </c>
      <c r="O531" s="7" t="s">
        <v>2570</v>
      </c>
      <c r="P531" s="20"/>
      <c r="Q531" s="40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 t="e">
        <f t="shared" si="41"/>
        <v>#DIV/0!</v>
      </c>
      <c r="AG531" s="11" t="e">
        <f t="shared" si="42"/>
        <v>#DIV/0!</v>
      </c>
    </row>
    <row r="532" spans="2:33" ht="25.5" x14ac:dyDescent="0.25">
      <c r="B532" s="5">
        <v>526</v>
      </c>
      <c r="C532" s="6" t="s">
        <v>2571</v>
      </c>
      <c r="D532" s="5" t="s">
        <v>33</v>
      </c>
      <c r="E532" s="5" t="s">
        <v>2572</v>
      </c>
      <c r="F532" s="5" t="s">
        <v>2573</v>
      </c>
      <c r="G532" s="7" t="s">
        <v>36</v>
      </c>
      <c r="H532" s="17">
        <v>702740.64</v>
      </c>
      <c r="I532" s="7" t="s">
        <v>253</v>
      </c>
      <c r="J532" s="7" t="s">
        <v>254</v>
      </c>
      <c r="K532" s="7" t="s">
        <v>2574</v>
      </c>
      <c r="L532" s="52" t="s">
        <v>2575</v>
      </c>
      <c r="M532" s="10">
        <v>45322</v>
      </c>
      <c r="N532" s="5" t="s">
        <v>67</v>
      </c>
      <c r="O532" s="7" t="s">
        <v>89</v>
      </c>
      <c r="P532" s="7"/>
      <c r="Q532" s="39">
        <v>330</v>
      </c>
      <c r="R532" s="1"/>
      <c r="S532" s="1"/>
      <c r="T532" s="1"/>
      <c r="U532" s="1"/>
      <c r="V532" s="1">
        <v>340</v>
      </c>
      <c r="W532" s="1">
        <v>328</v>
      </c>
      <c r="X532" s="1"/>
      <c r="Y532" s="1"/>
      <c r="Z532" s="1"/>
      <c r="AA532" s="1"/>
      <c r="AB532" s="1"/>
      <c r="AC532" s="1"/>
      <c r="AD532" s="1"/>
      <c r="AE532" s="1">
        <f>COUNT(Q532:AD532)</f>
        <v>3</v>
      </c>
      <c r="AF532" s="1">
        <f t="shared" si="41"/>
        <v>332.66666666666669</v>
      </c>
      <c r="AG532" s="11" t="str">
        <f t="shared" si="42"/>
        <v>APROVADO</v>
      </c>
    </row>
    <row r="533" spans="2:33" ht="25.5" x14ac:dyDescent="0.25">
      <c r="B533" s="5">
        <v>527</v>
      </c>
      <c r="C533" s="6" t="s">
        <v>2576</v>
      </c>
      <c r="D533" s="5" t="s">
        <v>33</v>
      </c>
      <c r="E533" s="5" t="s">
        <v>2577</v>
      </c>
      <c r="F533" s="5" t="s">
        <v>2578</v>
      </c>
      <c r="G533" s="5" t="s">
        <v>107</v>
      </c>
      <c r="H533" s="17">
        <v>300000</v>
      </c>
      <c r="I533" s="7" t="s">
        <v>1637</v>
      </c>
      <c r="J533" s="7" t="s">
        <v>235</v>
      </c>
      <c r="K533" s="5" t="s">
        <v>2579</v>
      </c>
      <c r="L533" s="9" t="s">
        <v>2580</v>
      </c>
      <c r="M533" s="10">
        <v>45322</v>
      </c>
      <c r="N533" s="7" t="s">
        <v>67</v>
      </c>
      <c r="O533" s="7" t="s">
        <v>89</v>
      </c>
      <c r="P533" s="7" t="s">
        <v>90</v>
      </c>
      <c r="Q533" s="40">
        <v>298</v>
      </c>
      <c r="R533" s="1">
        <v>216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>
        <v>292</v>
      </c>
      <c r="AE533" s="1">
        <f>COUNT(Q533:AD533)</f>
        <v>3</v>
      </c>
      <c r="AF533" s="1">
        <f t="shared" si="41"/>
        <v>268.66666666666669</v>
      </c>
      <c r="AG533" s="11" t="str">
        <f t="shared" si="42"/>
        <v>APROVADO</v>
      </c>
    </row>
    <row r="534" spans="2:33" x14ac:dyDescent="0.25">
      <c r="B534" s="5">
        <v>528</v>
      </c>
      <c r="C534" s="16" t="s">
        <v>2581</v>
      </c>
      <c r="D534" s="5" t="s">
        <v>51</v>
      </c>
      <c r="E534" s="7" t="s">
        <v>2582</v>
      </c>
      <c r="F534" s="7" t="s">
        <v>2583</v>
      </c>
      <c r="G534" s="7" t="s">
        <v>36</v>
      </c>
      <c r="H534" s="28">
        <v>33600</v>
      </c>
      <c r="I534" s="13" t="s">
        <v>2584</v>
      </c>
      <c r="J534" s="11" t="s">
        <v>254</v>
      </c>
      <c r="K534" s="13" t="s">
        <v>2585</v>
      </c>
      <c r="L534" s="14" t="s">
        <v>2586</v>
      </c>
      <c r="M534" s="26">
        <v>45322</v>
      </c>
      <c r="N534" s="7" t="s">
        <v>82</v>
      </c>
      <c r="O534" s="14" t="s">
        <v>2587</v>
      </c>
      <c r="P534" s="1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0"/>
      <c r="AD534" s="20"/>
      <c r="AE534" s="20"/>
      <c r="AF534" s="1" t="e">
        <f t="shared" si="41"/>
        <v>#DIV/0!</v>
      </c>
      <c r="AG534" s="11" t="e">
        <f t="shared" si="42"/>
        <v>#DIV/0!</v>
      </c>
    </row>
    <row r="535" spans="2:33" x14ac:dyDescent="0.25">
      <c r="B535" s="5">
        <v>529</v>
      </c>
      <c r="C535" s="16" t="s">
        <v>2588</v>
      </c>
      <c r="D535" s="5" t="s">
        <v>51</v>
      </c>
      <c r="E535" s="7" t="s">
        <v>2582</v>
      </c>
      <c r="F535" s="7" t="s">
        <v>2589</v>
      </c>
      <c r="G535" s="7" t="s">
        <v>36</v>
      </c>
      <c r="H535" s="28">
        <v>432000</v>
      </c>
      <c r="I535" s="13" t="s">
        <v>2584</v>
      </c>
      <c r="J535" s="11" t="s">
        <v>254</v>
      </c>
      <c r="K535" s="13" t="s">
        <v>2585</v>
      </c>
      <c r="L535" s="14" t="s">
        <v>2586</v>
      </c>
      <c r="M535" s="26">
        <v>45322</v>
      </c>
      <c r="N535" s="7" t="s">
        <v>82</v>
      </c>
      <c r="O535" s="14" t="s">
        <v>2587</v>
      </c>
      <c r="P535" s="1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0"/>
      <c r="AD535" s="20"/>
      <c r="AE535" s="20"/>
      <c r="AF535" s="1" t="e">
        <f t="shared" si="41"/>
        <v>#DIV/0!</v>
      </c>
      <c r="AG535" s="11" t="e">
        <f t="shared" si="42"/>
        <v>#DIV/0!</v>
      </c>
    </row>
    <row r="536" spans="2:33" x14ac:dyDescent="0.25">
      <c r="B536" s="5">
        <v>530</v>
      </c>
      <c r="C536" s="16" t="s">
        <v>2590</v>
      </c>
      <c r="D536" s="5" t="s">
        <v>51</v>
      </c>
      <c r="E536" s="7" t="s">
        <v>2582</v>
      </c>
      <c r="F536" s="7" t="s">
        <v>2591</v>
      </c>
      <c r="G536" s="7" t="s">
        <v>36</v>
      </c>
      <c r="H536" s="28">
        <v>33600</v>
      </c>
      <c r="I536" s="13" t="s">
        <v>2584</v>
      </c>
      <c r="J536" s="11" t="s">
        <v>254</v>
      </c>
      <c r="K536" s="13" t="s">
        <v>2585</v>
      </c>
      <c r="L536" s="14" t="s">
        <v>2586</v>
      </c>
      <c r="M536" s="26">
        <v>45322</v>
      </c>
      <c r="N536" s="7" t="s">
        <v>82</v>
      </c>
      <c r="O536" s="14" t="s">
        <v>2587</v>
      </c>
      <c r="P536" s="1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0"/>
      <c r="AD536" s="20"/>
      <c r="AE536" s="20"/>
      <c r="AF536" s="1" t="e">
        <f t="shared" si="41"/>
        <v>#DIV/0!</v>
      </c>
      <c r="AG536" s="11" t="e">
        <f t="shared" si="42"/>
        <v>#DIV/0!</v>
      </c>
    </row>
    <row r="537" spans="2:33" ht="38.25" x14ac:dyDescent="0.25">
      <c r="B537" s="5">
        <v>531</v>
      </c>
      <c r="C537" s="6" t="s">
        <v>2592</v>
      </c>
      <c r="D537" s="5" t="s">
        <v>33</v>
      </c>
      <c r="E537" s="7" t="s">
        <v>2593</v>
      </c>
      <c r="F537" s="7" t="s">
        <v>2594</v>
      </c>
      <c r="G537" s="7" t="s">
        <v>300</v>
      </c>
      <c r="H537" s="8">
        <v>240000</v>
      </c>
      <c r="I537" s="7" t="s">
        <v>2595</v>
      </c>
      <c r="J537" s="7" t="s">
        <v>391</v>
      </c>
      <c r="K537" s="7" t="s">
        <v>2596</v>
      </c>
      <c r="L537" s="9" t="s">
        <v>2597</v>
      </c>
      <c r="M537" s="10">
        <v>45322</v>
      </c>
      <c r="N537" s="7" t="s">
        <v>67</v>
      </c>
      <c r="O537" s="7" t="s">
        <v>375</v>
      </c>
      <c r="P537" s="7"/>
      <c r="Q537" s="40">
        <v>289</v>
      </c>
      <c r="R537" s="1"/>
      <c r="S537" s="1"/>
      <c r="T537" s="1"/>
      <c r="U537" s="1"/>
      <c r="V537" s="1">
        <v>340</v>
      </c>
      <c r="W537" s="1"/>
      <c r="X537" s="1"/>
      <c r="Y537" s="1">
        <v>340</v>
      </c>
      <c r="Z537" s="1"/>
      <c r="AA537" s="1"/>
      <c r="AB537" s="1"/>
      <c r="AC537" s="1"/>
      <c r="AD537" s="1"/>
      <c r="AE537" s="1">
        <f>COUNT(Q537:AD537)</f>
        <v>3</v>
      </c>
      <c r="AF537" s="1">
        <f t="shared" si="41"/>
        <v>323</v>
      </c>
      <c r="AG537" s="11" t="str">
        <f t="shared" si="42"/>
        <v>APROVADO</v>
      </c>
    </row>
    <row r="538" spans="2:33" ht="25.5" x14ac:dyDescent="0.25">
      <c r="B538" s="5">
        <v>532</v>
      </c>
      <c r="C538" s="6" t="s">
        <v>2598</v>
      </c>
      <c r="D538" s="5" t="s">
        <v>33</v>
      </c>
      <c r="E538" s="5" t="s">
        <v>2593</v>
      </c>
      <c r="F538" s="5" t="s">
        <v>2599</v>
      </c>
      <c r="G538" s="5" t="s">
        <v>62</v>
      </c>
      <c r="H538" s="8">
        <v>2737957.34</v>
      </c>
      <c r="I538" s="7" t="s">
        <v>2595</v>
      </c>
      <c r="J538" s="7" t="s">
        <v>391</v>
      </c>
      <c r="K538" s="7" t="s">
        <v>2596</v>
      </c>
      <c r="L538" s="9" t="s">
        <v>2597</v>
      </c>
      <c r="M538" s="10">
        <v>45322</v>
      </c>
      <c r="N538" s="5" t="s">
        <v>67</v>
      </c>
      <c r="O538" s="7" t="s">
        <v>375</v>
      </c>
      <c r="P538" s="7"/>
      <c r="Q538" s="39">
        <v>332</v>
      </c>
      <c r="R538" s="1"/>
      <c r="S538" s="1"/>
      <c r="T538" s="1"/>
      <c r="U538" s="1"/>
      <c r="V538" s="1"/>
      <c r="W538" s="1"/>
      <c r="X538" s="1">
        <v>328</v>
      </c>
      <c r="Y538" s="1">
        <v>305</v>
      </c>
      <c r="Z538" s="1"/>
      <c r="AA538" s="1"/>
      <c r="AB538" s="1"/>
      <c r="AC538" s="1"/>
      <c r="AD538" s="1"/>
      <c r="AE538" s="1">
        <f>COUNT(Q538:AD538)</f>
        <v>3</v>
      </c>
      <c r="AF538" s="1">
        <f t="shared" si="41"/>
        <v>321.66666666666669</v>
      </c>
      <c r="AG538" s="11" t="str">
        <f t="shared" si="42"/>
        <v>APROVADO</v>
      </c>
    </row>
    <row r="539" spans="2:33" ht="25.5" x14ac:dyDescent="0.25">
      <c r="B539" s="5">
        <v>533</v>
      </c>
      <c r="C539" s="16" t="s">
        <v>2600</v>
      </c>
      <c r="D539" s="5" t="s">
        <v>33</v>
      </c>
      <c r="E539" s="7" t="s">
        <v>2593</v>
      </c>
      <c r="F539" s="7" t="s">
        <v>2601</v>
      </c>
      <c r="G539" s="5" t="s">
        <v>62</v>
      </c>
      <c r="H539" s="8">
        <v>572385</v>
      </c>
      <c r="I539" s="7" t="s">
        <v>2595</v>
      </c>
      <c r="J539" s="7" t="s">
        <v>391</v>
      </c>
      <c r="K539" s="7" t="s">
        <v>2596</v>
      </c>
      <c r="L539" s="9" t="s">
        <v>2597</v>
      </c>
      <c r="M539" s="10">
        <v>45322</v>
      </c>
      <c r="N539" s="7" t="s">
        <v>82</v>
      </c>
      <c r="O539" s="7" t="s">
        <v>845</v>
      </c>
      <c r="P539" s="7"/>
      <c r="Q539" s="40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 t="e">
        <f t="shared" si="41"/>
        <v>#DIV/0!</v>
      </c>
      <c r="AG539" s="11" t="e">
        <f t="shared" si="42"/>
        <v>#DIV/0!</v>
      </c>
    </row>
    <row r="540" spans="2:33" ht="25.5" x14ac:dyDescent="0.25">
      <c r="B540" s="5">
        <v>534</v>
      </c>
      <c r="C540" s="6" t="s">
        <v>2602</v>
      </c>
      <c r="D540" s="5" t="s">
        <v>33</v>
      </c>
      <c r="E540" s="7" t="s">
        <v>2593</v>
      </c>
      <c r="F540" s="7" t="s">
        <v>2603</v>
      </c>
      <c r="G540" s="5" t="s">
        <v>62</v>
      </c>
      <c r="H540" s="8">
        <v>4872240</v>
      </c>
      <c r="I540" s="7" t="s">
        <v>2595</v>
      </c>
      <c r="J540" s="7" t="s">
        <v>391</v>
      </c>
      <c r="K540" s="7" t="s">
        <v>2596</v>
      </c>
      <c r="L540" s="9" t="s">
        <v>2597</v>
      </c>
      <c r="M540" s="10">
        <v>45322</v>
      </c>
      <c r="N540" s="7" t="s">
        <v>67</v>
      </c>
      <c r="O540" s="7" t="s">
        <v>359</v>
      </c>
      <c r="P540" s="7"/>
      <c r="Q540" s="40">
        <v>305</v>
      </c>
      <c r="R540" s="1"/>
      <c r="S540" s="1"/>
      <c r="T540" s="1"/>
      <c r="U540" s="1"/>
      <c r="V540" s="1">
        <v>340</v>
      </c>
      <c r="W540" s="1">
        <v>313</v>
      </c>
      <c r="X540" s="1"/>
      <c r="Y540" s="1"/>
      <c r="Z540" s="1"/>
      <c r="AA540" s="1"/>
      <c r="AB540" s="1"/>
      <c r="AC540" s="1"/>
      <c r="AD540" s="1"/>
      <c r="AE540" s="1">
        <f>COUNT(Q540:AD540)</f>
        <v>3</v>
      </c>
      <c r="AF540" s="1">
        <f t="shared" si="41"/>
        <v>319.33333333333331</v>
      </c>
      <c r="AG540" s="11" t="str">
        <f t="shared" si="42"/>
        <v>APROVADO</v>
      </c>
    </row>
    <row r="541" spans="2:33" ht="38.25" x14ac:dyDescent="0.25">
      <c r="B541" s="5">
        <v>535</v>
      </c>
      <c r="C541" s="6" t="s">
        <v>2604</v>
      </c>
      <c r="D541" s="5" t="s">
        <v>51</v>
      </c>
      <c r="E541" s="7" t="s">
        <v>2914</v>
      </c>
      <c r="F541" s="7" t="s">
        <v>2605</v>
      </c>
      <c r="G541" s="7" t="s">
        <v>36</v>
      </c>
      <c r="H541" s="28">
        <v>125000</v>
      </c>
      <c r="I541" s="13" t="s">
        <v>2606</v>
      </c>
      <c r="J541" s="11" t="s">
        <v>64</v>
      </c>
      <c r="K541" s="7" t="s">
        <v>2607</v>
      </c>
      <c r="L541" s="7" t="s">
        <v>2608</v>
      </c>
      <c r="M541" s="26">
        <v>45322</v>
      </c>
      <c r="N541" s="13" t="s">
        <v>57</v>
      </c>
      <c r="O541" s="14" t="s">
        <v>2609</v>
      </c>
      <c r="P541" s="13"/>
      <c r="Q541" s="1">
        <v>281</v>
      </c>
      <c r="R541" s="1"/>
      <c r="S541" s="1"/>
      <c r="T541" s="1"/>
      <c r="U541" s="1"/>
      <c r="V541" s="1"/>
      <c r="W541" s="1"/>
      <c r="X541" s="1">
        <v>313</v>
      </c>
      <c r="Y541" s="1">
        <v>313</v>
      </c>
      <c r="Z541" s="1"/>
      <c r="AA541" s="1"/>
      <c r="AB541" s="1"/>
      <c r="AC541" s="20"/>
      <c r="AD541" s="20"/>
      <c r="AE541" s="1">
        <f>COUNT(Q541:AD541)</f>
        <v>3</v>
      </c>
      <c r="AF541" s="1">
        <f t="shared" si="41"/>
        <v>302.33333333333331</v>
      </c>
      <c r="AG541" s="11" t="str">
        <f t="shared" si="42"/>
        <v>APROVADO</v>
      </c>
    </row>
    <row r="542" spans="2:33" ht="38.25" x14ac:dyDescent="0.25">
      <c r="B542" s="5">
        <v>536</v>
      </c>
      <c r="C542" s="6" t="s">
        <v>2610</v>
      </c>
      <c r="D542" s="5" t="s">
        <v>33</v>
      </c>
      <c r="E542" s="7" t="s">
        <v>2611</v>
      </c>
      <c r="F542" s="7" t="s">
        <v>2612</v>
      </c>
      <c r="G542" s="7" t="s">
        <v>107</v>
      </c>
      <c r="H542" s="8">
        <v>406060</v>
      </c>
      <c r="I542" s="7" t="s">
        <v>73</v>
      </c>
      <c r="J542" s="5" t="s">
        <v>74</v>
      </c>
      <c r="K542" s="7" t="s">
        <v>2613</v>
      </c>
      <c r="L542" s="9" t="s">
        <v>2614</v>
      </c>
      <c r="M542" s="10">
        <v>45322</v>
      </c>
      <c r="N542" s="7" t="s">
        <v>67</v>
      </c>
      <c r="O542" s="7" t="s">
        <v>68</v>
      </c>
      <c r="P542" s="7"/>
      <c r="Q542" s="40">
        <v>235</v>
      </c>
      <c r="R542" s="1"/>
      <c r="S542" s="1">
        <v>245</v>
      </c>
      <c r="T542" s="1"/>
      <c r="U542" s="1"/>
      <c r="V542" s="1"/>
      <c r="W542" s="1"/>
      <c r="X542" s="1">
        <v>245</v>
      </c>
      <c r="Y542" s="1"/>
      <c r="Z542" s="1"/>
      <c r="AA542" s="1"/>
      <c r="AB542" s="1"/>
      <c r="AC542" s="1"/>
      <c r="AD542" s="1"/>
      <c r="AE542" s="1">
        <f>COUNT(Q542:AD542)</f>
        <v>3</v>
      </c>
      <c r="AF542" s="1">
        <f t="shared" si="41"/>
        <v>241.66666666666666</v>
      </c>
      <c r="AG542" s="11" t="str">
        <f t="shared" si="42"/>
        <v>APROVADO</v>
      </c>
    </row>
    <row r="543" spans="2:33" ht="38.25" x14ac:dyDescent="0.25">
      <c r="B543" s="5">
        <v>537</v>
      </c>
      <c r="C543" s="6" t="s">
        <v>2615</v>
      </c>
      <c r="D543" s="5" t="s">
        <v>33</v>
      </c>
      <c r="E543" s="7" t="s">
        <v>2611</v>
      </c>
      <c r="F543" s="7" t="s">
        <v>2616</v>
      </c>
      <c r="G543" s="7" t="s">
        <v>107</v>
      </c>
      <c r="H543" s="8">
        <v>451456</v>
      </c>
      <c r="I543" s="7" t="s">
        <v>73</v>
      </c>
      <c r="J543" s="5" t="s">
        <v>74</v>
      </c>
      <c r="K543" s="7" t="s">
        <v>2613</v>
      </c>
      <c r="L543" s="9" t="s">
        <v>2614</v>
      </c>
      <c r="M543" s="10">
        <v>45322</v>
      </c>
      <c r="N543" s="7" t="s">
        <v>67</v>
      </c>
      <c r="O543" s="7" t="s">
        <v>68</v>
      </c>
      <c r="P543" s="7"/>
      <c r="Q543" s="40">
        <v>235</v>
      </c>
      <c r="R543" s="1"/>
      <c r="S543" s="1">
        <v>247</v>
      </c>
      <c r="T543" s="1"/>
      <c r="U543" s="1"/>
      <c r="V543" s="1"/>
      <c r="W543" s="1"/>
      <c r="X543" s="1">
        <v>258</v>
      </c>
      <c r="Y543" s="1"/>
      <c r="Z543" s="1"/>
      <c r="AA543" s="1"/>
      <c r="AB543" s="1"/>
      <c r="AC543" s="1"/>
      <c r="AD543" s="1"/>
      <c r="AE543" s="1">
        <f>COUNT(Q543:AD543)</f>
        <v>3</v>
      </c>
      <c r="AF543" s="1">
        <f t="shared" si="41"/>
        <v>246.66666666666666</v>
      </c>
      <c r="AG543" s="11" t="str">
        <f t="shared" si="42"/>
        <v>APROVADO</v>
      </c>
    </row>
    <row r="544" spans="2:33" ht="38.25" x14ac:dyDescent="0.25">
      <c r="B544" s="5">
        <v>538</v>
      </c>
      <c r="C544" s="6" t="s">
        <v>2617</v>
      </c>
      <c r="D544" s="5" t="s">
        <v>33</v>
      </c>
      <c r="E544" s="7" t="s">
        <v>2611</v>
      </c>
      <c r="F544" s="7" t="s">
        <v>2618</v>
      </c>
      <c r="G544" s="7" t="s">
        <v>107</v>
      </c>
      <c r="H544" s="8">
        <v>356288</v>
      </c>
      <c r="I544" s="7" t="s">
        <v>73</v>
      </c>
      <c r="J544" s="5" t="s">
        <v>74</v>
      </c>
      <c r="K544" s="7" t="s">
        <v>2613</v>
      </c>
      <c r="L544" s="9" t="s">
        <v>2614</v>
      </c>
      <c r="M544" s="10">
        <v>45322</v>
      </c>
      <c r="N544" s="7" t="s">
        <v>67</v>
      </c>
      <c r="O544" s="7" t="s">
        <v>68</v>
      </c>
      <c r="P544" s="7"/>
      <c r="Q544" s="40">
        <v>235</v>
      </c>
      <c r="R544" s="1"/>
      <c r="S544" s="1">
        <v>237</v>
      </c>
      <c r="T544" s="1"/>
      <c r="U544" s="1"/>
      <c r="V544" s="1"/>
      <c r="W544" s="1"/>
      <c r="X544" s="1">
        <v>262</v>
      </c>
      <c r="Y544" s="1"/>
      <c r="Z544" s="1"/>
      <c r="AA544" s="1"/>
      <c r="AB544" s="1"/>
      <c r="AC544" s="1"/>
      <c r="AD544" s="1"/>
      <c r="AE544" s="1">
        <f>COUNT(Q544:AD544)</f>
        <v>3</v>
      </c>
      <c r="AF544" s="1">
        <f t="shared" si="41"/>
        <v>244.66666666666666</v>
      </c>
      <c r="AG544" s="11" t="str">
        <f t="shared" si="42"/>
        <v>APROVADO</v>
      </c>
    </row>
    <row r="545" spans="2:33" ht="25.5" x14ac:dyDescent="0.25">
      <c r="B545" s="5">
        <v>539</v>
      </c>
      <c r="C545" s="16" t="s">
        <v>2619</v>
      </c>
      <c r="D545" s="5" t="s">
        <v>33</v>
      </c>
      <c r="E545" s="7" t="s">
        <v>2620</v>
      </c>
      <c r="F545" s="7" t="s">
        <v>2621</v>
      </c>
      <c r="G545" s="7" t="s">
        <v>36</v>
      </c>
      <c r="H545" s="8">
        <v>711219.24</v>
      </c>
      <c r="I545" s="7" t="s">
        <v>73</v>
      </c>
      <c r="J545" s="5" t="s">
        <v>74</v>
      </c>
      <c r="K545" s="7" t="s">
        <v>2622</v>
      </c>
      <c r="L545" s="9" t="s">
        <v>2623</v>
      </c>
      <c r="M545" s="10">
        <v>45322</v>
      </c>
      <c r="N545" s="7" t="s">
        <v>82</v>
      </c>
      <c r="O545" s="7" t="s">
        <v>83</v>
      </c>
      <c r="P545" s="7"/>
      <c r="Q545" s="40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 t="e">
        <f t="shared" si="41"/>
        <v>#DIV/0!</v>
      </c>
      <c r="AG545" s="11" t="e">
        <f t="shared" si="42"/>
        <v>#DIV/0!</v>
      </c>
    </row>
    <row r="546" spans="2:33" ht="38.25" x14ac:dyDescent="0.25">
      <c r="B546" s="5">
        <v>540</v>
      </c>
      <c r="C546" s="16" t="s">
        <v>2624</v>
      </c>
      <c r="D546" s="5" t="s">
        <v>33</v>
      </c>
      <c r="E546" s="7" t="s">
        <v>2625</v>
      </c>
      <c r="F546" s="7" t="s">
        <v>2626</v>
      </c>
      <c r="G546" s="7" t="s">
        <v>36</v>
      </c>
      <c r="H546" s="8">
        <v>262359</v>
      </c>
      <c r="I546" s="7" t="s">
        <v>2627</v>
      </c>
      <c r="J546" s="7" t="s">
        <v>95</v>
      </c>
      <c r="K546" s="7" t="s">
        <v>2628</v>
      </c>
      <c r="L546" s="9" t="s">
        <v>2629</v>
      </c>
      <c r="M546" s="10">
        <v>45322</v>
      </c>
      <c r="N546" s="7" t="s">
        <v>226</v>
      </c>
      <c r="O546" s="7" t="s">
        <v>600</v>
      </c>
      <c r="P546" s="7"/>
      <c r="Q546" s="40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 t="e">
        <f t="shared" si="41"/>
        <v>#DIV/0!</v>
      </c>
      <c r="AG546" s="11" t="e">
        <f t="shared" si="42"/>
        <v>#DIV/0!</v>
      </c>
    </row>
    <row r="547" spans="2:33" ht="38.25" x14ac:dyDescent="0.25">
      <c r="B547" s="5">
        <v>541</v>
      </c>
      <c r="C547" s="6" t="s">
        <v>2630</v>
      </c>
      <c r="D547" s="5" t="s">
        <v>33</v>
      </c>
      <c r="E547" s="7" t="s">
        <v>2625</v>
      </c>
      <c r="F547" s="7" t="s">
        <v>2631</v>
      </c>
      <c r="G547" s="7" t="s">
        <v>36</v>
      </c>
      <c r="H547" s="8">
        <v>101246.7</v>
      </c>
      <c r="I547" s="7" t="s">
        <v>2627</v>
      </c>
      <c r="J547" s="7" t="s">
        <v>95</v>
      </c>
      <c r="K547" s="7" t="s">
        <v>2628</v>
      </c>
      <c r="L547" s="9" t="s">
        <v>2629</v>
      </c>
      <c r="M547" s="10">
        <v>45322</v>
      </c>
      <c r="N547" s="7" t="s">
        <v>67</v>
      </c>
      <c r="O547" s="7" t="s">
        <v>68</v>
      </c>
      <c r="P547" s="7"/>
      <c r="Q547" s="40">
        <v>340</v>
      </c>
      <c r="R547" s="1"/>
      <c r="S547" s="1"/>
      <c r="T547" s="1"/>
      <c r="U547" s="1"/>
      <c r="V547" s="1">
        <v>340</v>
      </c>
      <c r="W547" s="1">
        <v>340</v>
      </c>
      <c r="X547" s="1"/>
      <c r="Y547" s="1"/>
      <c r="Z547" s="1"/>
      <c r="AA547" s="1"/>
      <c r="AB547" s="1"/>
      <c r="AC547" s="1"/>
      <c r="AD547" s="1"/>
      <c r="AE547" s="1">
        <f>COUNT(Q547:AD547)</f>
        <v>3</v>
      </c>
      <c r="AF547" s="1">
        <f t="shared" si="41"/>
        <v>340</v>
      </c>
      <c r="AG547" s="11" t="str">
        <f t="shared" si="42"/>
        <v>APROVADO</v>
      </c>
    </row>
    <row r="548" spans="2:33" ht="38.25" x14ac:dyDescent="0.25">
      <c r="B548" s="5">
        <v>542</v>
      </c>
      <c r="C548" s="6" t="s">
        <v>2632</v>
      </c>
      <c r="D548" s="5" t="s">
        <v>33</v>
      </c>
      <c r="E548" s="7" t="s">
        <v>2625</v>
      </c>
      <c r="F548" s="7" t="s">
        <v>2633</v>
      </c>
      <c r="G548" s="7" t="s">
        <v>36</v>
      </c>
      <c r="H548" s="8">
        <v>75658.17</v>
      </c>
      <c r="I548" s="7" t="s">
        <v>2627</v>
      </c>
      <c r="J548" s="7" t="s">
        <v>95</v>
      </c>
      <c r="K548" s="7" t="s">
        <v>2628</v>
      </c>
      <c r="L548" s="9" t="s">
        <v>2629</v>
      </c>
      <c r="M548" s="10">
        <v>45322</v>
      </c>
      <c r="N548" s="7" t="s">
        <v>67</v>
      </c>
      <c r="O548" s="7" t="s">
        <v>68</v>
      </c>
      <c r="P548" s="7"/>
      <c r="Q548" s="40">
        <v>340</v>
      </c>
      <c r="R548" s="1"/>
      <c r="S548" s="1"/>
      <c r="T548" s="1"/>
      <c r="U548" s="1"/>
      <c r="V548" s="1">
        <v>340</v>
      </c>
      <c r="W548" s="1">
        <v>340</v>
      </c>
      <c r="X548" s="1"/>
      <c r="Y548" s="1"/>
      <c r="Z548" s="1"/>
      <c r="AA548" s="1"/>
      <c r="AB548" s="1"/>
      <c r="AC548" s="1"/>
      <c r="AD548" s="1"/>
      <c r="AE548" s="1">
        <f>COUNT(Q548:AD548)</f>
        <v>3</v>
      </c>
      <c r="AF548" s="1">
        <f t="shared" si="41"/>
        <v>340</v>
      </c>
      <c r="AG548" s="11" t="str">
        <f t="shared" si="42"/>
        <v>APROVADO</v>
      </c>
    </row>
    <row r="549" spans="2:33" ht="25.5" x14ac:dyDescent="0.25">
      <c r="B549" s="5">
        <v>543</v>
      </c>
      <c r="C549" s="16" t="s">
        <v>2634</v>
      </c>
      <c r="D549" s="5" t="s">
        <v>33</v>
      </c>
      <c r="E549" s="7" t="s">
        <v>2635</v>
      </c>
      <c r="F549" s="7" t="s">
        <v>2636</v>
      </c>
      <c r="G549" s="7" t="s">
        <v>36</v>
      </c>
      <c r="H549" s="8">
        <v>500000</v>
      </c>
      <c r="I549" s="7" t="s">
        <v>2436</v>
      </c>
      <c r="J549" s="7" t="s">
        <v>254</v>
      </c>
      <c r="K549" s="7" t="s">
        <v>2637</v>
      </c>
      <c r="L549" s="9" t="s">
        <v>2638</v>
      </c>
      <c r="M549" s="10">
        <v>45322</v>
      </c>
      <c r="N549" s="7" t="s">
        <v>82</v>
      </c>
      <c r="O549" s="7" t="s">
        <v>845</v>
      </c>
      <c r="P549" s="9"/>
      <c r="Q549" s="40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 t="e">
        <f t="shared" si="41"/>
        <v>#DIV/0!</v>
      </c>
      <c r="AG549" s="11" t="e">
        <f t="shared" si="42"/>
        <v>#DIV/0!</v>
      </c>
    </row>
    <row r="550" spans="2:33" ht="25.5" x14ac:dyDescent="0.25">
      <c r="B550" s="5">
        <v>544</v>
      </c>
      <c r="C550" s="6" t="s">
        <v>2639</v>
      </c>
      <c r="D550" s="5" t="s">
        <v>33</v>
      </c>
      <c r="E550" s="5" t="s">
        <v>2640</v>
      </c>
      <c r="F550" s="5" t="s">
        <v>2641</v>
      </c>
      <c r="G550" s="7" t="s">
        <v>107</v>
      </c>
      <c r="H550" s="8">
        <v>606000</v>
      </c>
      <c r="I550" s="7" t="s">
        <v>73</v>
      </c>
      <c r="J550" s="5" t="s">
        <v>74</v>
      </c>
      <c r="K550" s="5" t="s">
        <v>2642</v>
      </c>
      <c r="L550" s="31" t="s">
        <v>2643</v>
      </c>
      <c r="M550" s="10">
        <v>45322</v>
      </c>
      <c r="N550" s="5" t="s">
        <v>67</v>
      </c>
      <c r="O550" s="7" t="s">
        <v>89</v>
      </c>
      <c r="P550" s="7" t="s">
        <v>2644</v>
      </c>
      <c r="Q550" s="39">
        <v>240</v>
      </c>
      <c r="R550" s="1"/>
      <c r="S550" s="1"/>
      <c r="T550" s="1"/>
      <c r="U550" s="1"/>
      <c r="V550" s="1"/>
      <c r="W550" s="1"/>
      <c r="X550" s="1">
        <v>303</v>
      </c>
      <c r="Y550" s="1">
        <v>304</v>
      </c>
      <c r="Z550" s="1"/>
      <c r="AA550" s="1"/>
      <c r="AB550" s="1"/>
      <c r="AC550" s="1"/>
      <c r="AD550" s="1"/>
      <c r="AE550" s="1">
        <f t="shared" ref="AE550:AE564" si="43">COUNT(Q550:AD550)</f>
        <v>3</v>
      </c>
      <c r="AF550" s="1">
        <f t="shared" si="41"/>
        <v>282.33333333333331</v>
      </c>
      <c r="AG550" s="11" t="str">
        <f t="shared" si="42"/>
        <v>APROVADO</v>
      </c>
    </row>
    <row r="551" spans="2:33" ht="25.5" x14ac:dyDescent="0.25">
      <c r="B551" s="5">
        <v>545</v>
      </c>
      <c r="C551" s="6" t="s">
        <v>2645</v>
      </c>
      <c r="D551" s="5" t="s">
        <v>33</v>
      </c>
      <c r="E551" s="5" t="s">
        <v>2640</v>
      </c>
      <c r="F551" s="5" t="s">
        <v>2646</v>
      </c>
      <c r="G551" s="5" t="s">
        <v>107</v>
      </c>
      <c r="H551" s="17">
        <v>1308000</v>
      </c>
      <c r="I551" s="7" t="s">
        <v>73</v>
      </c>
      <c r="J551" s="5" t="s">
        <v>74</v>
      </c>
      <c r="K551" s="5" t="s">
        <v>2642</v>
      </c>
      <c r="L551" s="9" t="s">
        <v>2643</v>
      </c>
      <c r="M551" s="10">
        <v>45322</v>
      </c>
      <c r="N551" s="5" t="s">
        <v>67</v>
      </c>
      <c r="O551" s="7" t="s">
        <v>89</v>
      </c>
      <c r="P551" s="7" t="s">
        <v>2644</v>
      </c>
      <c r="Q551" s="39">
        <v>236</v>
      </c>
      <c r="R551" s="1"/>
      <c r="S551" s="1"/>
      <c r="T551" s="1"/>
      <c r="U551" s="1"/>
      <c r="V551" s="1"/>
      <c r="W551" s="1"/>
      <c r="X551" s="1">
        <v>308</v>
      </c>
      <c r="Y551" s="1">
        <v>303</v>
      </c>
      <c r="Z551" s="1"/>
      <c r="AA551" s="1"/>
      <c r="AB551" s="1"/>
      <c r="AC551" s="1"/>
      <c r="AD551" s="1"/>
      <c r="AE551" s="1">
        <f t="shared" si="43"/>
        <v>3</v>
      </c>
      <c r="AF551" s="1">
        <f t="shared" si="41"/>
        <v>282.33333333333331</v>
      </c>
      <c r="AG551" s="11" t="str">
        <f t="shared" si="42"/>
        <v>APROVADO</v>
      </c>
    </row>
    <row r="552" spans="2:33" ht="25.5" x14ac:dyDescent="0.25">
      <c r="B552" s="5">
        <v>546</v>
      </c>
      <c r="C552" s="6" t="s">
        <v>2647</v>
      </c>
      <c r="D552" s="5" t="s">
        <v>33</v>
      </c>
      <c r="E552" s="5" t="s">
        <v>2640</v>
      </c>
      <c r="F552" s="5" t="s">
        <v>2648</v>
      </c>
      <c r="G552" s="5" t="s">
        <v>107</v>
      </c>
      <c r="H552" s="17">
        <v>1765500</v>
      </c>
      <c r="I552" s="7" t="s">
        <v>73</v>
      </c>
      <c r="J552" s="5" t="s">
        <v>74</v>
      </c>
      <c r="K552" s="5" t="s">
        <v>2642</v>
      </c>
      <c r="L552" s="9" t="s">
        <v>2643</v>
      </c>
      <c r="M552" s="10">
        <v>45322</v>
      </c>
      <c r="N552" s="5" t="s">
        <v>67</v>
      </c>
      <c r="O552" s="7" t="s">
        <v>89</v>
      </c>
      <c r="P552" s="7" t="s">
        <v>2644</v>
      </c>
      <c r="Q552" s="39">
        <v>167</v>
      </c>
      <c r="R552" s="1"/>
      <c r="S552" s="1"/>
      <c r="T552" s="1"/>
      <c r="U552" s="1"/>
      <c r="V552" s="1"/>
      <c r="W552" s="1"/>
      <c r="X552" s="1">
        <v>303</v>
      </c>
      <c r="Y552" s="1">
        <v>303</v>
      </c>
      <c r="Z552" s="1"/>
      <c r="AA552" s="1"/>
      <c r="AB552" s="1"/>
      <c r="AC552" s="1"/>
      <c r="AD552" s="1"/>
      <c r="AE552" s="1">
        <f t="shared" si="43"/>
        <v>3</v>
      </c>
      <c r="AF552" s="1">
        <f t="shared" si="41"/>
        <v>257.66666666666669</v>
      </c>
      <c r="AG552" s="11" t="str">
        <f t="shared" si="42"/>
        <v>APROVADO</v>
      </c>
    </row>
    <row r="553" spans="2:33" ht="25.5" x14ac:dyDescent="0.25">
      <c r="B553" s="5">
        <v>547</v>
      </c>
      <c r="C553" s="6" t="s">
        <v>2649</v>
      </c>
      <c r="D553" s="5" t="s">
        <v>33</v>
      </c>
      <c r="E553" s="5" t="s">
        <v>2650</v>
      </c>
      <c r="F553" s="5" t="s">
        <v>2651</v>
      </c>
      <c r="G553" s="7" t="s">
        <v>107</v>
      </c>
      <c r="H553" s="8">
        <v>1308000</v>
      </c>
      <c r="I553" s="7" t="s">
        <v>73</v>
      </c>
      <c r="J553" s="5" t="s">
        <v>74</v>
      </c>
      <c r="K553" s="7" t="s">
        <v>2652</v>
      </c>
      <c r="L553" s="31" t="s">
        <v>2653</v>
      </c>
      <c r="M553" s="10">
        <v>45322</v>
      </c>
      <c r="N553" s="5" t="s">
        <v>67</v>
      </c>
      <c r="O553" s="7" t="s">
        <v>89</v>
      </c>
      <c r="P553" s="7" t="s">
        <v>68</v>
      </c>
      <c r="Q553" s="39">
        <v>296</v>
      </c>
      <c r="R553" s="1"/>
      <c r="S553" s="1"/>
      <c r="T553" s="1"/>
      <c r="U553" s="1"/>
      <c r="V553" s="1"/>
      <c r="W553" s="1"/>
      <c r="X553" s="1">
        <v>314</v>
      </c>
      <c r="Y553" s="1">
        <v>313</v>
      </c>
      <c r="Z553" s="1"/>
      <c r="AA553" s="1"/>
      <c r="AB553" s="1"/>
      <c r="AC553" s="1"/>
      <c r="AD553" s="1"/>
      <c r="AE553" s="1">
        <f t="shared" si="43"/>
        <v>3</v>
      </c>
      <c r="AF553" s="1">
        <f t="shared" si="41"/>
        <v>307.66666666666669</v>
      </c>
      <c r="AG553" s="11" t="str">
        <f t="shared" si="42"/>
        <v>APROVADO</v>
      </c>
    </row>
    <row r="554" spans="2:33" ht="25.5" x14ac:dyDescent="0.25">
      <c r="B554" s="5">
        <v>548</v>
      </c>
      <c r="C554" s="6" t="s">
        <v>2654</v>
      </c>
      <c r="D554" s="5" t="s">
        <v>33</v>
      </c>
      <c r="E554" s="5" t="s">
        <v>2650</v>
      </c>
      <c r="F554" s="5" t="s">
        <v>2655</v>
      </c>
      <c r="G554" s="7" t="s">
        <v>107</v>
      </c>
      <c r="H554" s="8">
        <v>1765500</v>
      </c>
      <c r="I554" s="7" t="s">
        <v>73</v>
      </c>
      <c r="J554" s="5" t="s">
        <v>74</v>
      </c>
      <c r="K554" s="7" t="s">
        <v>2656</v>
      </c>
      <c r="L554" s="9" t="s">
        <v>2653</v>
      </c>
      <c r="M554" s="10">
        <v>45322</v>
      </c>
      <c r="N554" s="5" t="s">
        <v>67</v>
      </c>
      <c r="O554" s="7" t="s">
        <v>89</v>
      </c>
      <c r="P554" s="7" t="s">
        <v>68</v>
      </c>
      <c r="Q554" s="39">
        <v>287</v>
      </c>
      <c r="R554" s="1"/>
      <c r="S554" s="1"/>
      <c r="T554" s="1"/>
      <c r="U554" s="1"/>
      <c r="V554" s="1">
        <v>298</v>
      </c>
      <c r="W554" s="1">
        <v>285</v>
      </c>
      <c r="X554" s="1"/>
      <c r="Y554" s="1"/>
      <c r="Z554" s="1"/>
      <c r="AA554" s="1"/>
      <c r="AB554" s="1"/>
      <c r="AC554" s="1"/>
      <c r="AD554" s="1"/>
      <c r="AE554" s="1">
        <f t="shared" si="43"/>
        <v>3</v>
      </c>
      <c r="AF554" s="1">
        <f t="shared" si="41"/>
        <v>290</v>
      </c>
      <c r="AG554" s="11" t="str">
        <f t="shared" si="42"/>
        <v>APROVADO</v>
      </c>
    </row>
    <row r="555" spans="2:33" ht="25.5" x14ac:dyDescent="0.25">
      <c r="B555" s="5">
        <v>549</v>
      </c>
      <c r="C555" s="6" t="s">
        <v>2657</v>
      </c>
      <c r="D555" s="5" t="s">
        <v>33</v>
      </c>
      <c r="E555" s="5" t="s">
        <v>2650</v>
      </c>
      <c r="F555" s="5" t="s">
        <v>2658</v>
      </c>
      <c r="G555" s="7" t="s">
        <v>107</v>
      </c>
      <c r="H555" s="8">
        <v>606000</v>
      </c>
      <c r="I555" s="7" t="s">
        <v>73</v>
      </c>
      <c r="J555" s="5" t="s">
        <v>74</v>
      </c>
      <c r="K555" s="7" t="s">
        <v>2656</v>
      </c>
      <c r="L555" s="9" t="s">
        <v>2653</v>
      </c>
      <c r="M555" s="10">
        <v>45322</v>
      </c>
      <c r="N555" s="5" t="s">
        <v>67</v>
      </c>
      <c r="O555" s="7" t="s">
        <v>89</v>
      </c>
      <c r="P555" s="7" t="s">
        <v>68</v>
      </c>
      <c r="Q555" s="39">
        <v>301</v>
      </c>
      <c r="R555" s="1"/>
      <c r="S555" s="1"/>
      <c r="T555" s="1"/>
      <c r="U555" s="1"/>
      <c r="V555" s="1">
        <v>301</v>
      </c>
      <c r="W555" s="1">
        <v>271</v>
      </c>
      <c r="X555" s="1"/>
      <c r="Y555" s="1"/>
      <c r="Z555" s="1"/>
      <c r="AA555" s="1"/>
      <c r="AB555" s="1"/>
      <c r="AC555" s="1"/>
      <c r="AD555" s="1"/>
      <c r="AE555" s="1">
        <f t="shared" si="43"/>
        <v>3</v>
      </c>
      <c r="AF555" s="1">
        <f t="shared" si="41"/>
        <v>291</v>
      </c>
      <c r="AG555" s="11" t="str">
        <f t="shared" si="42"/>
        <v>APROVADO</v>
      </c>
    </row>
    <row r="556" spans="2:33" ht="38.25" x14ac:dyDescent="0.25">
      <c r="B556" s="5">
        <v>550</v>
      </c>
      <c r="C556" s="6" t="s">
        <v>2659</v>
      </c>
      <c r="D556" s="5" t="s">
        <v>33</v>
      </c>
      <c r="E556" s="7" t="s">
        <v>2660</v>
      </c>
      <c r="F556" s="7" t="s">
        <v>2661</v>
      </c>
      <c r="G556" s="7" t="s">
        <v>107</v>
      </c>
      <c r="H556" s="8">
        <v>378996</v>
      </c>
      <c r="I556" s="7" t="s">
        <v>73</v>
      </c>
      <c r="J556" s="5" t="s">
        <v>74</v>
      </c>
      <c r="K556" s="7" t="s">
        <v>2662</v>
      </c>
      <c r="L556" s="9" t="s">
        <v>2663</v>
      </c>
      <c r="M556" s="10">
        <v>45322</v>
      </c>
      <c r="N556" s="7" t="s">
        <v>67</v>
      </c>
      <c r="O556" s="7" t="s">
        <v>68</v>
      </c>
      <c r="P556" s="7"/>
      <c r="Q556" s="40">
        <v>267</v>
      </c>
      <c r="R556" s="1"/>
      <c r="S556" s="1"/>
      <c r="T556" s="1"/>
      <c r="U556" s="1"/>
      <c r="V556" s="1"/>
      <c r="W556" s="1"/>
      <c r="X556" s="1">
        <v>340</v>
      </c>
      <c r="Y556" s="1"/>
      <c r="Z556" s="1"/>
      <c r="AA556" s="1"/>
      <c r="AB556" s="1"/>
      <c r="AC556" s="1">
        <v>338</v>
      </c>
      <c r="AD556" s="1"/>
      <c r="AE556" s="1">
        <f t="shared" si="43"/>
        <v>3</v>
      </c>
      <c r="AF556" s="1">
        <f t="shared" si="41"/>
        <v>315</v>
      </c>
      <c r="AG556" s="11" t="str">
        <f t="shared" si="42"/>
        <v>APROVADO</v>
      </c>
    </row>
    <row r="557" spans="2:33" ht="38.25" x14ac:dyDescent="0.25">
      <c r="B557" s="5">
        <v>551</v>
      </c>
      <c r="C557" s="6" t="s">
        <v>2664</v>
      </c>
      <c r="D557" s="5" t="s">
        <v>33</v>
      </c>
      <c r="E557" s="7" t="s">
        <v>2660</v>
      </c>
      <c r="F557" s="7" t="s">
        <v>2665</v>
      </c>
      <c r="G557" s="7" t="s">
        <v>107</v>
      </c>
      <c r="H557" s="8">
        <v>353442</v>
      </c>
      <c r="I557" s="7" t="s">
        <v>73</v>
      </c>
      <c r="J557" s="5" t="s">
        <v>74</v>
      </c>
      <c r="K557" s="7" t="s">
        <v>2662</v>
      </c>
      <c r="L557" s="9" t="s">
        <v>2663</v>
      </c>
      <c r="M557" s="10">
        <v>45322</v>
      </c>
      <c r="N557" s="7" t="s">
        <v>67</v>
      </c>
      <c r="O557" s="7" t="s">
        <v>68</v>
      </c>
      <c r="P557" s="7"/>
      <c r="Q557" s="40">
        <v>255</v>
      </c>
      <c r="R557" s="1"/>
      <c r="S557" s="1"/>
      <c r="T557" s="1"/>
      <c r="U557" s="1"/>
      <c r="V557" s="1"/>
      <c r="W557" s="1"/>
      <c r="X557" s="1">
        <v>281</v>
      </c>
      <c r="Y557" s="1">
        <v>286</v>
      </c>
      <c r="Z557" s="1"/>
      <c r="AA557" s="1"/>
      <c r="AB557" s="1"/>
      <c r="AC557" s="1"/>
      <c r="AD557" s="1"/>
      <c r="AE557" s="1">
        <f t="shared" si="43"/>
        <v>3</v>
      </c>
      <c r="AF557" s="1">
        <f t="shared" si="41"/>
        <v>274</v>
      </c>
      <c r="AG557" s="11" t="str">
        <f t="shared" si="42"/>
        <v>APROVADO</v>
      </c>
    </row>
    <row r="558" spans="2:33" ht="38.25" x14ac:dyDescent="0.25">
      <c r="B558" s="5">
        <v>552</v>
      </c>
      <c r="C558" s="6" t="s">
        <v>2666</v>
      </c>
      <c r="D558" s="5" t="s">
        <v>33</v>
      </c>
      <c r="E558" s="7" t="s">
        <v>2667</v>
      </c>
      <c r="F558" s="7" t="s">
        <v>2668</v>
      </c>
      <c r="G558" s="7" t="s">
        <v>107</v>
      </c>
      <c r="H558" s="8">
        <v>379232</v>
      </c>
      <c r="I558" s="7" t="s">
        <v>73</v>
      </c>
      <c r="J558" s="7" t="s">
        <v>74</v>
      </c>
      <c r="K558" s="7" t="s">
        <v>2662</v>
      </c>
      <c r="L558" s="9" t="s">
        <v>2663</v>
      </c>
      <c r="M558" s="10">
        <v>45322</v>
      </c>
      <c r="N558" s="7" t="s">
        <v>67</v>
      </c>
      <c r="O558" s="7" t="s">
        <v>68</v>
      </c>
      <c r="P558" s="7"/>
      <c r="Q558" s="40">
        <v>269</v>
      </c>
      <c r="R558" s="1"/>
      <c r="S558" s="1"/>
      <c r="T558" s="1"/>
      <c r="U558" s="1"/>
      <c r="V558" s="1"/>
      <c r="W558" s="1">
        <v>340</v>
      </c>
      <c r="X558" s="1"/>
      <c r="Y558" s="1">
        <v>340</v>
      </c>
      <c r="Z558" s="1"/>
      <c r="AA558" s="1"/>
      <c r="AB558" s="1"/>
      <c r="AC558" s="1"/>
      <c r="AD558" s="1"/>
      <c r="AE558" s="1">
        <f t="shared" si="43"/>
        <v>3</v>
      </c>
      <c r="AF558" s="1">
        <f t="shared" si="41"/>
        <v>316.33333333333331</v>
      </c>
      <c r="AG558" s="11" t="str">
        <f t="shared" si="42"/>
        <v>APROVADO</v>
      </c>
    </row>
    <row r="559" spans="2:33" ht="38.25" x14ac:dyDescent="0.25">
      <c r="B559" s="5">
        <v>553</v>
      </c>
      <c r="C559" s="6" t="s">
        <v>2669</v>
      </c>
      <c r="D559" s="5" t="s">
        <v>33</v>
      </c>
      <c r="E559" s="5" t="s">
        <v>2667</v>
      </c>
      <c r="F559" s="5" t="s">
        <v>2670</v>
      </c>
      <c r="G559" s="7" t="s">
        <v>107</v>
      </c>
      <c r="H559" s="8">
        <v>417192</v>
      </c>
      <c r="I559" s="7" t="s">
        <v>73</v>
      </c>
      <c r="J559" s="7" t="s">
        <v>74</v>
      </c>
      <c r="K559" s="7" t="s">
        <v>2662</v>
      </c>
      <c r="L559" s="9" t="s">
        <v>2663</v>
      </c>
      <c r="M559" s="10">
        <v>45322</v>
      </c>
      <c r="N559" s="5" t="s">
        <v>67</v>
      </c>
      <c r="O559" s="7" t="s">
        <v>68</v>
      </c>
      <c r="P559" s="7"/>
      <c r="Q559" s="39">
        <v>271</v>
      </c>
      <c r="R559" s="1"/>
      <c r="S559" s="1"/>
      <c r="T559" s="1"/>
      <c r="U559" s="1"/>
      <c r="V559" s="1"/>
      <c r="W559" s="1"/>
      <c r="X559" s="1">
        <v>290</v>
      </c>
      <c r="Y559" s="1">
        <v>288</v>
      </c>
      <c r="Z559" s="1"/>
      <c r="AA559" s="1"/>
      <c r="AB559" s="1"/>
      <c r="AC559" s="1"/>
      <c r="AD559" s="1"/>
      <c r="AE559" s="1">
        <f t="shared" si="43"/>
        <v>3</v>
      </c>
      <c r="AF559" s="1">
        <f t="shared" si="41"/>
        <v>283</v>
      </c>
      <c r="AG559" s="11" t="str">
        <f t="shared" si="42"/>
        <v>APROVADO</v>
      </c>
    </row>
    <row r="560" spans="2:33" ht="38.25" x14ac:dyDescent="0.25">
      <c r="B560" s="5">
        <v>554</v>
      </c>
      <c r="C560" s="6" t="s">
        <v>2671</v>
      </c>
      <c r="D560" s="5" t="s">
        <v>33</v>
      </c>
      <c r="E560" s="7" t="s">
        <v>2667</v>
      </c>
      <c r="F560" s="7" t="s">
        <v>2672</v>
      </c>
      <c r="G560" s="7" t="s">
        <v>107</v>
      </c>
      <c r="H560" s="8">
        <v>481120</v>
      </c>
      <c r="I560" s="7" t="s">
        <v>73</v>
      </c>
      <c r="J560" s="7" t="s">
        <v>74</v>
      </c>
      <c r="K560" s="7" t="s">
        <v>2662</v>
      </c>
      <c r="L560" s="9" t="s">
        <v>2663</v>
      </c>
      <c r="M560" s="10">
        <v>45322</v>
      </c>
      <c r="N560" s="7" t="s">
        <v>67</v>
      </c>
      <c r="O560" s="7" t="s">
        <v>68</v>
      </c>
      <c r="P560" s="7"/>
      <c r="Q560" s="40">
        <v>260</v>
      </c>
      <c r="R560" s="1"/>
      <c r="S560" s="1"/>
      <c r="T560" s="1"/>
      <c r="U560" s="1"/>
      <c r="V560" s="1">
        <v>310</v>
      </c>
      <c r="W560" s="1">
        <v>279</v>
      </c>
      <c r="X560" s="1"/>
      <c r="Y560" s="1"/>
      <c r="Z560" s="1"/>
      <c r="AA560" s="1"/>
      <c r="AB560" s="1"/>
      <c r="AC560" s="1"/>
      <c r="AD560" s="1"/>
      <c r="AE560" s="1">
        <f t="shared" si="43"/>
        <v>3</v>
      </c>
      <c r="AF560" s="1">
        <f t="shared" si="41"/>
        <v>283</v>
      </c>
      <c r="AG560" s="11" t="str">
        <f t="shared" si="42"/>
        <v>APROVADO</v>
      </c>
    </row>
    <row r="561" spans="2:33" ht="38.25" x14ac:dyDescent="0.25">
      <c r="B561" s="5">
        <v>555</v>
      </c>
      <c r="C561" s="6" t="s">
        <v>2673</v>
      </c>
      <c r="D561" s="5" t="s">
        <v>33</v>
      </c>
      <c r="E561" s="5" t="s">
        <v>2660</v>
      </c>
      <c r="F561" s="5" t="s">
        <v>2674</v>
      </c>
      <c r="G561" s="7" t="s">
        <v>107</v>
      </c>
      <c r="H561" s="8">
        <v>442128</v>
      </c>
      <c r="I561" s="7" t="s">
        <v>73</v>
      </c>
      <c r="J561" s="5" t="s">
        <v>74</v>
      </c>
      <c r="K561" s="7" t="s">
        <v>2662</v>
      </c>
      <c r="L561" s="9" t="s">
        <v>2663</v>
      </c>
      <c r="M561" s="10">
        <v>45322</v>
      </c>
      <c r="N561" s="5" t="s">
        <v>67</v>
      </c>
      <c r="O561" s="7" t="s">
        <v>68</v>
      </c>
      <c r="P561" s="7"/>
      <c r="Q561" s="39">
        <v>269</v>
      </c>
      <c r="R561" s="1"/>
      <c r="S561" s="1"/>
      <c r="T561" s="1"/>
      <c r="U561" s="1"/>
      <c r="V561" s="1">
        <v>257</v>
      </c>
      <c r="W561" s="1">
        <v>262</v>
      </c>
      <c r="X561" s="1"/>
      <c r="Y561" s="1"/>
      <c r="Z561" s="1"/>
      <c r="AA561" s="1"/>
      <c r="AB561" s="1"/>
      <c r="AC561" s="1"/>
      <c r="AD561" s="1"/>
      <c r="AE561" s="1">
        <f t="shared" si="43"/>
        <v>3</v>
      </c>
      <c r="AF561" s="1">
        <f t="shared" si="41"/>
        <v>262.66666666666669</v>
      </c>
      <c r="AG561" s="11" t="str">
        <f t="shared" si="42"/>
        <v>APROVADO</v>
      </c>
    </row>
    <row r="562" spans="2:33" ht="38.25" x14ac:dyDescent="0.25">
      <c r="B562" s="5">
        <v>556</v>
      </c>
      <c r="C562" s="6" t="s">
        <v>2675</v>
      </c>
      <c r="D562" s="5" t="s">
        <v>33</v>
      </c>
      <c r="E562" s="7" t="s">
        <v>2676</v>
      </c>
      <c r="F562" s="7" t="s">
        <v>2677</v>
      </c>
      <c r="G562" s="7" t="s">
        <v>107</v>
      </c>
      <c r="H562" s="8">
        <v>377000</v>
      </c>
      <c r="I562" s="7" t="s">
        <v>73</v>
      </c>
      <c r="J562" s="7" t="s">
        <v>74</v>
      </c>
      <c r="K562" s="7" t="s">
        <v>2662</v>
      </c>
      <c r="L562" s="9" t="s">
        <v>2678</v>
      </c>
      <c r="M562" s="10">
        <v>45322</v>
      </c>
      <c r="N562" s="7" t="s">
        <v>67</v>
      </c>
      <c r="O562" s="7" t="s">
        <v>68</v>
      </c>
      <c r="P562" s="7"/>
      <c r="Q562" s="40">
        <v>272</v>
      </c>
      <c r="R562" s="1"/>
      <c r="S562" s="1"/>
      <c r="T562" s="1"/>
      <c r="U562" s="1"/>
      <c r="V562" s="1">
        <v>287</v>
      </c>
      <c r="W562" s="1">
        <v>268</v>
      </c>
      <c r="X562" s="1"/>
      <c r="Y562" s="1"/>
      <c r="Z562" s="1"/>
      <c r="AA562" s="1"/>
      <c r="AB562" s="1"/>
      <c r="AC562" s="1"/>
      <c r="AD562" s="1"/>
      <c r="AE562" s="1">
        <f t="shared" si="43"/>
        <v>3</v>
      </c>
      <c r="AF562" s="1">
        <f t="shared" si="41"/>
        <v>275.66666666666669</v>
      </c>
      <c r="AG562" s="11" t="str">
        <f t="shared" si="42"/>
        <v>APROVADO</v>
      </c>
    </row>
    <row r="563" spans="2:33" ht="38.25" x14ac:dyDescent="0.25">
      <c r="B563" s="5">
        <v>557</v>
      </c>
      <c r="C563" s="6" t="s">
        <v>2679</v>
      </c>
      <c r="D563" s="5" t="s">
        <v>33</v>
      </c>
      <c r="E563" s="7" t="s">
        <v>2676</v>
      </c>
      <c r="F563" s="7" t="s">
        <v>2680</v>
      </c>
      <c r="G563" s="7" t="s">
        <v>107</v>
      </c>
      <c r="H563" s="8">
        <v>362728</v>
      </c>
      <c r="I563" s="7" t="s">
        <v>73</v>
      </c>
      <c r="J563" s="7" t="s">
        <v>74</v>
      </c>
      <c r="K563" s="7" t="s">
        <v>2662</v>
      </c>
      <c r="L563" s="9" t="s">
        <v>2678</v>
      </c>
      <c r="M563" s="10">
        <v>45322</v>
      </c>
      <c r="N563" s="7" t="s">
        <v>67</v>
      </c>
      <c r="O563" s="7" t="s">
        <v>68</v>
      </c>
      <c r="P563" s="7"/>
      <c r="Q563" s="40">
        <v>273</v>
      </c>
      <c r="R563" s="1"/>
      <c r="S563" s="1"/>
      <c r="T563" s="1"/>
      <c r="U563" s="1"/>
      <c r="V563" s="1"/>
      <c r="W563" s="1"/>
      <c r="X563" s="1">
        <v>288</v>
      </c>
      <c r="Y563" s="1">
        <v>287</v>
      </c>
      <c r="Z563" s="1"/>
      <c r="AA563" s="1"/>
      <c r="AB563" s="1"/>
      <c r="AC563" s="1"/>
      <c r="AD563" s="1"/>
      <c r="AE563" s="1">
        <f t="shared" si="43"/>
        <v>3</v>
      </c>
      <c r="AF563" s="1">
        <f t="shared" si="41"/>
        <v>282.66666666666669</v>
      </c>
      <c r="AG563" s="11" t="str">
        <f t="shared" si="42"/>
        <v>APROVADO</v>
      </c>
    </row>
    <row r="564" spans="2:33" ht="38.25" x14ac:dyDescent="0.25">
      <c r="B564" s="5">
        <v>558</v>
      </c>
      <c r="C564" s="6" t="s">
        <v>2681</v>
      </c>
      <c r="D564" s="5" t="s">
        <v>33</v>
      </c>
      <c r="E564" s="7" t="s">
        <v>2676</v>
      </c>
      <c r="F564" s="7" t="s">
        <v>2682</v>
      </c>
      <c r="G564" s="7" t="s">
        <v>107</v>
      </c>
      <c r="H564" s="8">
        <v>448880</v>
      </c>
      <c r="I564" s="7" t="s">
        <v>73</v>
      </c>
      <c r="J564" s="7" t="s">
        <v>74</v>
      </c>
      <c r="K564" s="7" t="s">
        <v>2662</v>
      </c>
      <c r="L564" s="9" t="s">
        <v>2678</v>
      </c>
      <c r="M564" s="10">
        <v>45322</v>
      </c>
      <c r="N564" s="7" t="s">
        <v>67</v>
      </c>
      <c r="O564" s="7" t="s">
        <v>68</v>
      </c>
      <c r="P564" s="7"/>
      <c r="Q564" s="40">
        <v>279</v>
      </c>
      <c r="R564" s="1"/>
      <c r="S564" s="1"/>
      <c r="T564" s="1"/>
      <c r="U564" s="1"/>
      <c r="V564" s="1"/>
      <c r="W564" s="1">
        <v>330</v>
      </c>
      <c r="X564" s="1"/>
      <c r="Y564" s="1">
        <v>340</v>
      </c>
      <c r="Z564" s="1"/>
      <c r="AA564" s="1"/>
      <c r="AB564" s="1"/>
      <c r="AC564" s="1"/>
      <c r="AD564" s="1"/>
      <c r="AE564" s="1">
        <f t="shared" si="43"/>
        <v>3</v>
      </c>
      <c r="AF564" s="1">
        <f t="shared" si="41"/>
        <v>316.33333333333331</v>
      </c>
      <c r="AG564" s="11" t="str">
        <f t="shared" si="42"/>
        <v>APROVADO</v>
      </c>
    </row>
    <row r="565" spans="2:33" ht="25.5" x14ac:dyDescent="0.25">
      <c r="B565" s="5">
        <v>559</v>
      </c>
      <c r="C565" s="16" t="s">
        <v>2683</v>
      </c>
      <c r="D565" s="5" t="s">
        <v>33</v>
      </c>
      <c r="E565" s="7" t="s">
        <v>2684</v>
      </c>
      <c r="F565" s="7" t="s">
        <v>45</v>
      </c>
      <c r="G565" s="7" t="s">
        <v>45</v>
      </c>
      <c r="H565" s="8">
        <v>0</v>
      </c>
      <c r="I565" s="7" t="s">
        <v>73</v>
      </c>
      <c r="J565" s="5" t="s">
        <v>74</v>
      </c>
      <c r="K565" s="7" t="s">
        <v>2685</v>
      </c>
      <c r="L565" s="9" t="s">
        <v>2686</v>
      </c>
      <c r="M565" s="10">
        <v>45322</v>
      </c>
      <c r="N565" s="7" t="s">
        <v>82</v>
      </c>
      <c r="O565" s="7" t="s">
        <v>83</v>
      </c>
      <c r="P565" s="7" t="s">
        <v>2687</v>
      </c>
      <c r="Q565" s="40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 t="e">
        <f t="shared" si="41"/>
        <v>#DIV/0!</v>
      </c>
      <c r="AG565" s="11" t="e">
        <f t="shared" si="42"/>
        <v>#DIV/0!</v>
      </c>
    </row>
    <row r="566" spans="2:33" ht="25.5" x14ac:dyDescent="0.25">
      <c r="B566" s="5">
        <v>560</v>
      </c>
      <c r="C566" s="16" t="s">
        <v>2688</v>
      </c>
      <c r="D566" s="5" t="s">
        <v>33</v>
      </c>
      <c r="E566" s="7" t="s">
        <v>2689</v>
      </c>
      <c r="F566" s="7" t="s">
        <v>45</v>
      </c>
      <c r="G566" s="7" t="s">
        <v>45</v>
      </c>
      <c r="H566" s="8" t="s">
        <v>45</v>
      </c>
      <c r="I566" s="7" t="s">
        <v>73</v>
      </c>
      <c r="J566" s="5" t="s">
        <v>74</v>
      </c>
      <c r="K566" s="7" t="s">
        <v>2690</v>
      </c>
      <c r="L566" s="9" t="s">
        <v>2691</v>
      </c>
      <c r="M566" s="10">
        <v>45322</v>
      </c>
      <c r="N566" s="7" t="s">
        <v>82</v>
      </c>
      <c r="O566" s="7" t="s">
        <v>83</v>
      </c>
      <c r="P566" s="7"/>
      <c r="Q566" s="40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 t="e">
        <f t="shared" si="41"/>
        <v>#DIV/0!</v>
      </c>
      <c r="AG566" s="11" t="e">
        <f t="shared" si="42"/>
        <v>#DIV/0!</v>
      </c>
    </row>
    <row r="567" spans="2:33" ht="25.5" x14ac:dyDescent="0.25">
      <c r="B567" s="5">
        <v>561</v>
      </c>
      <c r="C567" s="6" t="s">
        <v>2692</v>
      </c>
      <c r="D567" s="5" t="s">
        <v>33</v>
      </c>
      <c r="E567" s="7" t="s">
        <v>2693</v>
      </c>
      <c r="F567" s="7" t="s">
        <v>2694</v>
      </c>
      <c r="G567" s="7" t="s">
        <v>107</v>
      </c>
      <c r="H567" s="8">
        <v>345629.74</v>
      </c>
      <c r="I567" s="7" t="s">
        <v>253</v>
      </c>
      <c r="J567" s="7" t="s">
        <v>254</v>
      </c>
      <c r="K567" s="7" t="s">
        <v>2695</v>
      </c>
      <c r="L567" s="9" t="s">
        <v>2696</v>
      </c>
      <c r="M567" s="10">
        <v>45322</v>
      </c>
      <c r="N567" s="7" t="s">
        <v>67</v>
      </c>
      <c r="O567" s="7" t="s">
        <v>2697</v>
      </c>
      <c r="P567" s="9"/>
      <c r="Q567" s="40">
        <v>325</v>
      </c>
      <c r="R567" s="1"/>
      <c r="S567" s="1"/>
      <c r="T567" s="1"/>
      <c r="U567" s="1"/>
      <c r="V567" s="1">
        <v>340</v>
      </c>
      <c r="W567" s="1"/>
      <c r="X567" s="1"/>
      <c r="Y567" s="1">
        <v>317</v>
      </c>
      <c r="Z567" s="1"/>
      <c r="AA567" s="1"/>
      <c r="AB567" s="1"/>
      <c r="AC567" s="1"/>
      <c r="AD567" s="1"/>
      <c r="AE567" s="1">
        <f t="shared" ref="AE567:AE572" si="44">COUNT(Q567:AD567)</f>
        <v>3</v>
      </c>
      <c r="AF567" s="1">
        <f t="shared" si="41"/>
        <v>327.33333333333331</v>
      </c>
      <c r="AG567" s="11" t="str">
        <f t="shared" si="42"/>
        <v>APROVADO</v>
      </c>
    </row>
    <row r="568" spans="2:33" ht="25.5" x14ac:dyDescent="0.25">
      <c r="B568" s="5">
        <v>562</v>
      </c>
      <c r="C568" s="6" t="s">
        <v>2698</v>
      </c>
      <c r="D568" s="5" t="s">
        <v>33</v>
      </c>
      <c r="E568" s="7" t="s">
        <v>2693</v>
      </c>
      <c r="F568" s="7" t="s">
        <v>2699</v>
      </c>
      <c r="G568" s="7" t="s">
        <v>107</v>
      </c>
      <c r="H568" s="8">
        <v>261889.72</v>
      </c>
      <c r="I568" s="7" t="s">
        <v>253</v>
      </c>
      <c r="J568" s="7" t="s">
        <v>254</v>
      </c>
      <c r="K568" s="7" t="s">
        <v>2695</v>
      </c>
      <c r="L568" s="9" t="s">
        <v>2696</v>
      </c>
      <c r="M568" s="10">
        <v>45322</v>
      </c>
      <c r="N568" s="7" t="s">
        <v>67</v>
      </c>
      <c r="O568" s="7" t="s">
        <v>2697</v>
      </c>
      <c r="P568" s="9"/>
      <c r="Q568" s="40">
        <v>340</v>
      </c>
      <c r="R568" s="1"/>
      <c r="S568" s="1"/>
      <c r="T568" s="1"/>
      <c r="U568" s="1"/>
      <c r="V568" s="1">
        <v>340</v>
      </c>
      <c r="W568" s="1">
        <v>340</v>
      </c>
      <c r="X568" s="1"/>
      <c r="Y568" s="1"/>
      <c r="Z568" s="1"/>
      <c r="AA568" s="1"/>
      <c r="AB568" s="1"/>
      <c r="AC568" s="1"/>
      <c r="AD568" s="1"/>
      <c r="AE568" s="1">
        <f t="shared" si="44"/>
        <v>3</v>
      </c>
      <c r="AF568" s="1">
        <f t="shared" si="41"/>
        <v>340</v>
      </c>
      <c r="AG568" s="11" t="str">
        <f t="shared" si="42"/>
        <v>APROVADO</v>
      </c>
    </row>
    <row r="569" spans="2:33" ht="25.5" x14ac:dyDescent="0.25">
      <c r="B569" s="5">
        <v>563</v>
      </c>
      <c r="C569" s="6" t="s">
        <v>2700</v>
      </c>
      <c r="D569" s="5" t="s">
        <v>33</v>
      </c>
      <c r="E569" s="7" t="s">
        <v>2701</v>
      </c>
      <c r="F569" s="7" t="s">
        <v>2702</v>
      </c>
      <c r="G569" s="7" t="s">
        <v>107</v>
      </c>
      <c r="H569" s="8">
        <v>1067863.3700000001</v>
      </c>
      <c r="I569" s="7" t="s">
        <v>1033</v>
      </c>
      <c r="J569" s="7" t="s">
        <v>445</v>
      </c>
      <c r="K569" s="7" t="s">
        <v>2703</v>
      </c>
      <c r="L569" s="9" t="s">
        <v>2704</v>
      </c>
      <c r="M569" s="10">
        <v>45322</v>
      </c>
      <c r="N569" s="7" t="s">
        <v>41</v>
      </c>
      <c r="O569" s="9" t="s">
        <v>83</v>
      </c>
      <c r="P569" s="9" t="s">
        <v>2705</v>
      </c>
      <c r="Q569" s="40">
        <v>229</v>
      </c>
      <c r="R569" s="1"/>
      <c r="S569" s="1">
        <v>181</v>
      </c>
      <c r="T569" s="1"/>
      <c r="U569" s="1"/>
      <c r="V569" s="1"/>
      <c r="W569" s="1"/>
      <c r="X569" s="1"/>
      <c r="Y569" s="1"/>
      <c r="Z569" s="1"/>
      <c r="AA569" s="1"/>
      <c r="AB569" s="1">
        <v>214</v>
      </c>
      <c r="AC569" s="1"/>
      <c r="AD569" s="1"/>
      <c r="AE569" s="1">
        <f t="shared" si="44"/>
        <v>3</v>
      </c>
      <c r="AF569" s="1">
        <f t="shared" si="41"/>
        <v>208</v>
      </c>
      <c r="AG569" s="11" t="str">
        <f t="shared" si="42"/>
        <v>APROVADO</v>
      </c>
    </row>
    <row r="570" spans="2:33" ht="25.5" x14ac:dyDescent="0.25">
      <c r="B570" s="5">
        <v>564</v>
      </c>
      <c r="C570" s="6" t="s">
        <v>2706</v>
      </c>
      <c r="D570" s="5" t="s">
        <v>33</v>
      </c>
      <c r="E570" s="7" t="s">
        <v>2693</v>
      </c>
      <c r="F570" s="7" t="s">
        <v>2707</v>
      </c>
      <c r="G570" s="7" t="s">
        <v>107</v>
      </c>
      <c r="H570" s="8">
        <v>332039.32</v>
      </c>
      <c r="I570" s="7" t="s">
        <v>253</v>
      </c>
      <c r="J570" s="7" t="s">
        <v>254</v>
      </c>
      <c r="K570" s="7" t="s">
        <v>2695</v>
      </c>
      <c r="L570" s="37" t="s">
        <v>2696</v>
      </c>
      <c r="M570" s="10">
        <v>45322</v>
      </c>
      <c r="N570" s="7" t="s">
        <v>67</v>
      </c>
      <c r="O570" s="7" t="s">
        <v>2697</v>
      </c>
      <c r="P570" s="9"/>
      <c r="Q570" s="40">
        <v>334</v>
      </c>
      <c r="R570" s="1"/>
      <c r="S570" s="1"/>
      <c r="T570" s="1"/>
      <c r="U570" s="1"/>
      <c r="V570" s="1">
        <v>340</v>
      </c>
      <c r="W570" s="1"/>
      <c r="X570" s="1"/>
      <c r="Y570" s="1">
        <v>340</v>
      </c>
      <c r="Z570" s="1"/>
      <c r="AA570" s="1"/>
      <c r="AB570" s="1"/>
      <c r="AC570" s="1"/>
      <c r="AD570" s="1"/>
      <c r="AE570" s="1">
        <f t="shared" si="44"/>
        <v>3</v>
      </c>
      <c r="AF570" s="1">
        <f t="shared" si="41"/>
        <v>338</v>
      </c>
      <c r="AG570" s="11" t="str">
        <f t="shared" si="42"/>
        <v>APROVADO</v>
      </c>
    </row>
    <row r="571" spans="2:33" ht="38.25" x14ac:dyDescent="0.25">
      <c r="B571" s="5">
        <v>565</v>
      </c>
      <c r="C571" s="6" t="s">
        <v>2708</v>
      </c>
      <c r="D571" s="5" t="s">
        <v>51</v>
      </c>
      <c r="E571" s="7" t="s">
        <v>2709</v>
      </c>
      <c r="F571" s="7" t="s">
        <v>1281</v>
      </c>
      <c r="G571" s="7" t="s">
        <v>36</v>
      </c>
      <c r="H571" s="28">
        <v>40275</v>
      </c>
      <c r="I571" s="13" t="s">
        <v>134</v>
      </c>
      <c r="J571" s="11" t="s">
        <v>64</v>
      </c>
      <c r="K571" s="13" t="s">
        <v>2710</v>
      </c>
      <c r="L571" s="30" t="s">
        <v>2711</v>
      </c>
      <c r="M571" s="26">
        <v>45322</v>
      </c>
      <c r="N571" s="13" t="s">
        <v>57</v>
      </c>
      <c r="O571" s="14" t="s">
        <v>118</v>
      </c>
      <c r="P571" s="13"/>
      <c r="Q571" s="1">
        <v>334</v>
      </c>
      <c r="R571" s="1"/>
      <c r="S571" s="1"/>
      <c r="T571" s="1"/>
      <c r="U571" s="1"/>
      <c r="V571" s="1"/>
      <c r="W571" s="1"/>
      <c r="X571" s="1">
        <v>340</v>
      </c>
      <c r="Y571" s="1">
        <v>340</v>
      </c>
      <c r="Z571" s="1"/>
      <c r="AA571" s="1"/>
      <c r="AB571" s="1"/>
      <c r="AC571" s="20"/>
      <c r="AD571" s="20"/>
      <c r="AE571" s="1">
        <f t="shared" si="44"/>
        <v>3</v>
      </c>
      <c r="AF571" s="1">
        <f t="shared" si="41"/>
        <v>338</v>
      </c>
      <c r="AG571" s="11" t="str">
        <f t="shared" si="42"/>
        <v>APROVADO</v>
      </c>
    </row>
    <row r="572" spans="2:33" ht="25.5" x14ac:dyDescent="0.25">
      <c r="B572" s="5">
        <v>566</v>
      </c>
      <c r="C572" s="27" t="s">
        <v>2712</v>
      </c>
      <c r="D572" s="5" t="s">
        <v>33</v>
      </c>
      <c r="E572" s="7" t="s">
        <v>2713</v>
      </c>
      <c r="F572" s="7" t="s">
        <v>2714</v>
      </c>
      <c r="G572" s="7" t="s">
        <v>36</v>
      </c>
      <c r="H572" s="8">
        <v>70000</v>
      </c>
      <c r="I572" s="7" t="s">
        <v>1023</v>
      </c>
      <c r="J572" s="7" t="s">
        <v>445</v>
      </c>
      <c r="K572" s="7" t="s">
        <v>2715</v>
      </c>
      <c r="L572" s="9" t="s">
        <v>2716</v>
      </c>
      <c r="M572" s="10">
        <v>45322</v>
      </c>
      <c r="N572" s="7" t="s">
        <v>41</v>
      </c>
      <c r="O572" s="9"/>
      <c r="P572" s="9"/>
      <c r="Q572" s="40">
        <v>340</v>
      </c>
      <c r="R572" s="1">
        <v>142</v>
      </c>
      <c r="S572" s="1"/>
      <c r="T572" s="1"/>
      <c r="U572" s="1"/>
      <c r="V572" s="1"/>
      <c r="W572" s="1"/>
      <c r="X572" s="1"/>
      <c r="Y572" s="1"/>
      <c r="Z572" s="1"/>
      <c r="AA572" s="1"/>
      <c r="AB572" s="1">
        <v>316</v>
      </c>
      <c r="AC572" s="1"/>
      <c r="AD572" s="1"/>
      <c r="AE572" s="1">
        <f t="shared" si="44"/>
        <v>3</v>
      </c>
      <c r="AF572" s="1">
        <f t="shared" si="41"/>
        <v>266</v>
      </c>
      <c r="AG572" s="11" t="str">
        <f t="shared" si="42"/>
        <v>APROVADO</v>
      </c>
    </row>
    <row r="573" spans="2:33" ht="25.5" x14ac:dyDescent="0.25">
      <c r="B573" s="5">
        <v>567</v>
      </c>
      <c r="C573" s="16" t="s">
        <v>2717</v>
      </c>
      <c r="D573" s="5" t="s">
        <v>33</v>
      </c>
      <c r="E573" s="7" t="s">
        <v>2422</v>
      </c>
      <c r="F573" s="7" t="s">
        <v>2718</v>
      </c>
      <c r="G573" s="7" t="s">
        <v>107</v>
      </c>
      <c r="H573" s="8">
        <v>3082071.12</v>
      </c>
      <c r="I573" s="7" t="s">
        <v>201</v>
      </c>
      <c r="J573" s="7" t="s">
        <v>202</v>
      </c>
      <c r="K573" s="7" t="s">
        <v>2424</v>
      </c>
      <c r="L573" s="9" t="s">
        <v>2425</v>
      </c>
      <c r="M573" s="10">
        <v>45322</v>
      </c>
      <c r="N573" s="7" t="s">
        <v>226</v>
      </c>
      <c r="O573" s="7" t="s">
        <v>2719</v>
      </c>
      <c r="P573" s="7" t="s">
        <v>68</v>
      </c>
      <c r="Q573" s="40">
        <v>0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>
        <v>54</v>
      </c>
      <c r="AE573" s="1"/>
      <c r="AF573" s="1">
        <f t="shared" si="41"/>
        <v>27</v>
      </c>
      <c r="AG573" s="11" t="str">
        <f t="shared" si="42"/>
        <v>REPROVADO</v>
      </c>
    </row>
    <row r="574" spans="2:33" ht="26.25" x14ac:dyDescent="0.25">
      <c r="B574" s="5">
        <v>568</v>
      </c>
      <c r="C574" s="6" t="s">
        <v>2720</v>
      </c>
      <c r="D574" s="5" t="s">
        <v>51</v>
      </c>
      <c r="E574" s="7" t="s">
        <v>2721</v>
      </c>
      <c r="F574" s="7" t="s">
        <v>2722</v>
      </c>
      <c r="G574" s="7" t="s">
        <v>45</v>
      </c>
      <c r="H574" s="28">
        <v>196347.25</v>
      </c>
      <c r="I574" s="13" t="s">
        <v>2723</v>
      </c>
      <c r="J574" s="11" t="s">
        <v>202</v>
      </c>
      <c r="K574" s="7" t="s">
        <v>2724</v>
      </c>
      <c r="L574" s="47" t="s">
        <v>2725</v>
      </c>
      <c r="M574" s="26">
        <v>45322</v>
      </c>
      <c r="N574" s="13" t="s">
        <v>57</v>
      </c>
      <c r="O574" s="14" t="s">
        <v>2726</v>
      </c>
      <c r="P574" s="13"/>
      <c r="Q574" s="1">
        <v>273</v>
      </c>
      <c r="R574" s="1"/>
      <c r="S574" s="1"/>
      <c r="T574" s="1"/>
      <c r="U574" s="1"/>
      <c r="V574" s="1"/>
      <c r="W574" s="1"/>
      <c r="X574" s="1">
        <v>319</v>
      </c>
      <c r="Y574" s="1">
        <v>275</v>
      </c>
      <c r="Z574" s="1"/>
      <c r="AA574" s="1"/>
      <c r="AB574" s="1"/>
      <c r="AC574" s="20"/>
      <c r="AD574" s="20"/>
      <c r="AE574" s="1">
        <f>COUNT(Q574:AD574)</f>
        <v>3</v>
      </c>
      <c r="AF574" s="1">
        <f t="shared" si="41"/>
        <v>289</v>
      </c>
      <c r="AG574" s="11" t="str">
        <f t="shared" si="42"/>
        <v>APROVADO</v>
      </c>
    </row>
    <row r="575" spans="2:33" ht="26.25" x14ac:dyDescent="0.25">
      <c r="B575" s="5">
        <v>569</v>
      </c>
      <c r="C575" s="6" t="s">
        <v>2720</v>
      </c>
      <c r="D575" s="5" t="s">
        <v>51</v>
      </c>
      <c r="E575" s="7" t="s">
        <v>2721</v>
      </c>
      <c r="F575" s="7" t="s">
        <v>2727</v>
      </c>
      <c r="G575" s="7" t="s">
        <v>45</v>
      </c>
      <c r="H575" s="28">
        <v>393000.48</v>
      </c>
      <c r="I575" s="13" t="s">
        <v>2723</v>
      </c>
      <c r="J575" s="11" t="s">
        <v>202</v>
      </c>
      <c r="K575" s="7" t="s">
        <v>2724</v>
      </c>
      <c r="L575" s="43" t="s">
        <v>2725</v>
      </c>
      <c r="M575" s="26">
        <v>45322</v>
      </c>
      <c r="N575" s="13" t="s">
        <v>57</v>
      </c>
      <c r="O575" s="14" t="s">
        <v>2726</v>
      </c>
      <c r="P575" s="13"/>
      <c r="Q575" s="1">
        <v>311</v>
      </c>
      <c r="R575" s="1"/>
      <c r="S575" s="1"/>
      <c r="T575" s="1"/>
      <c r="U575" s="1"/>
      <c r="V575" s="1"/>
      <c r="W575" s="1"/>
      <c r="X575" s="1">
        <v>304</v>
      </c>
      <c r="Y575" s="1">
        <v>311</v>
      </c>
      <c r="Z575" s="1"/>
      <c r="AA575" s="1"/>
      <c r="AB575" s="1"/>
      <c r="AC575" s="20"/>
      <c r="AD575" s="20"/>
      <c r="AE575" s="1">
        <f>COUNT(Q575:AD575)</f>
        <v>3</v>
      </c>
      <c r="AF575" s="1">
        <f t="shared" si="41"/>
        <v>308.66666666666669</v>
      </c>
      <c r="AG575" s="11" t="str">
        <f t="shared" si="42"/>
        <v>APROVADO</v>
      </c>
    </row>
    <row r="576" spans="2:33" ht="26.25" x14ac:dyDescent="0.25">
      <c r="B576" s="5">
        <v>570</v>
      </c>
      <c r="C576" s="6" t="s">
        <v>2720</v>
      </c>
      <c r="D576" s="5" t="s">
        <v>51</v>
      </c>
      <c r="E576" s="7" t="s">
        <v>2721</v>
      </c>
      <c r="F576" s="7" t="s">
        <v>2728</v>
      </c>
      <c r="G576" s="7" t="s">
        <v>45</v>
      </c>
      <c r="H576" s="28">
        <v>300000</v>
      </c>
      <c r="I576" s="13" t="s">
        <v>2723</v>
      </c>
      <c r="J576" s="11" t="s">
        <v>202</v>
      </c>
      <c r="K576" s="7" t="s">
        <v>2724</v>
      </c>
      <c r="L576" s="43" t="s">
        <v>2725</v>
      </c>
      <c r="M576" s="26">
        <v>45322</v>
      </c>
      <c r="N576" s="13" t="s">
        <v>57</v>
      </c>
      <c r="O576" s="14" t="s">
        <v>2726</v>
      </c>
      <c r="P576" s="13"/>
      <c r="Q576" s="1">
        <v>298</v>
      </c>
      <c r="R576" s="1"/>
      <c r="S576" s="1"/>
      <c r="T576" s="1"/>
      <c r="U576" s="1"/>
      <c r="V576" s="1"/>
      <c r="W576" s="1"/>
      <c r="X576" s="1">
        <v>321</v>
      </c>
      <c r="Y576" s="1">
        <v>289</v>
      </c>
      <c r="Z576" s="1"/>
      <c r="AA576" s="1"/>
      <c r="AB576" s="1"/>
      <c r="AC576" s="20"/>
      <c r="AD576" s="20"/>
      <c r="AE576" s="1">
        <f>COUNT(Q576:AD576)</f>
        <v>3</v>
      </c>
      <c r="AF576" s="1">
        <f t="shared" si="41"/>
        <v>302.66666666666669</v>
      </c>
      <c r="AG576" s="11" t="str">
        <f t="shared" si="42"/>
        <v>APROVADO</v>
      </c>
    </row>
    <row r="577" spans="2:33" ht="25.5" x14ac:dyDescent="0.25">
      <c r="B577" s="5">
        <v>571</v>
      </c>
      <c r="C577" s="6" t="s">
        <v>2729</v>
      </c>
      <c r="D577" s="5" t="s">
        <v>33</v>
      </c>
      <c r="E577" s="7" t="s">
        <v>2730</v>
      </c>
      <c r="F577" s="7" t="s">
        <v>2731</v>
      </c>
      <c r="G577" s="7" t="s">
        <v>36</v>
      </c>
      <c r="H577" s="8">
        <v>4517586.97</v>
      </c>
      <c r="I577" s="7" t="s">
        <v>2732</v>
      </c>
      <c r="J577" s="7" t="s">
        <v>795</v>
      </c>
      <c r="K577" s="7" t="s">
        <v>2733</v>
      </c>
      <c r="L577" s="9" t="s">
        <v>2734</v>
      </c>
      <c r="M577" s="10">
        <v>45322</v>
      </c>
      <c r="N577" s="7" t="s">
        <v>67</v>
      </c>
      <c r="O577" s="5" t="s">
        <v>98</v>
      </c>
      <c r="P577" s="9"/>
      <c r="Q577" s="40">
        <v>235</v>
      </c>
      <c r="R577" s="1"/>
      <c r="S577" s="1"/>
      <c r="T577" s="1"/>
      <c r="U577" s="1"/>
      <c r="V577" s="1"/>
      <c r="W577" s="1">
        <v>308</v>
      </c>
      <c r="X577" s="1"/>
      <c r="Y577" s="1">
        <v>340</v>
      </c>
      <c r="Z577" s="1"/>
      <c r="AA577" s="1"/>
      <c r="AB577" s="1"/>
      <c r="AC577" s="1"/>
      <c r="AD577" s="1"/>
      <c r="AE577" s="1">
        <f>COUNT(Q577:AD577)</f>
        <v>3</v>
      </c>
      <c r="AF577" s="1">
        <f t="shared" si="41"/>
        <v>294.33333333333331</v>
      </c>
      <c r="AG577" s="11" t="str">
        <f t="shared" si="42"/>
        <v>APROVADO</v>
      </c>
    </row>
    <row r="578" spans="2:33" ht="25.5" x14ac:dyDescent="0.25">
      <c r="B578" s="5">
        <v>572</v>
      </c>
      <c r="C578" s="6" t="s">
        <v>2735</v>
      </c>
      <c r="D578" s="5" t="s">
        <v>33</v>
      </c>
      <c r="E578" s="7" t="s">
        <v>2736</v>
      </c>
      <c r="F578" s="7" t="s">
        <v>2737</v>
      </c>
      <c r="G578" s="7" t="s">
        <v>107</v>
      </c>
      <c r="H578" s="8">
        <v>987125</v>
      </c>
      <c r="I578" s="7" t="s">
        <v>73</v>
      </c>
      <c r="J578" s="5" t="s">
        <v>74</v>
      </c>
      <c r="K578" s="7" t="s">
        <v>2738</v>
      </c>
      <c r="L578" s="9" t="s">
        <v>2739</v>
      </c>
      <c r="M578" s="10">
        <v>45322</v>
      </c>
      <c r="N578" s="7" t="s">
        <v>67</v>
      </c>
      <c r="O578" s="7" t="s">
        <v>68</v>
      </c>
      <c r="P578" s="7"/>
      <c r="Q578" s="40">
        <v>231</v>
      </c>
      <c r="R578" s="1"/>
      <c r="S578" s="1"/>
      <c r="T578" s="1"/>
      <c r="U578" s="1"/>
      <c r="V578" s="1"/>
      <c r="W578" s="1">
        <v>335</v>
      </c>
      <c r="X578" s="1"/>
      <c r="Y578" s="1">
        <v>340</v>
      </c>
      <c r="Z578" s="1"/>
      <c r="AA578" s="1"/>
      <c r="AB578" s="1"/>
      <c r="AC578" s="1"/>
      <c r="AD578" s="1"/>
      <c r="AE578" s="1">
        <f>COUNT(Q578:AD578)</f>
        <v>3</v>
      </c>
      <c r="AF578" s="1">
        <f t="shared" si="41"/>
        <v>302</v>
      </c>
      <c r="AG578" s="11" t="str">
        <f t="shared" si="42"/>
        <v>APROVADO</v>
      </c>
    </row>
    <row r="579" spans="2:33" ht="25.5" x14ac:dyDescent="0.25">
      <c r="B579" s="5">
        <v>573</v>
      </c>
      <c r="C579" s="16" t="s">
        <v>2740</v>
      </c>
      <c r="D579" s="5" t="s">
        <v>33</v>
      </c>
      <c r="E579" s="7" t="s">
        <v>2741</v>
      </c>
      <c r="F579" s="7" t="s">
        <v>2742</v>
      </c>
      <c r="G579" s="7" t="s">
        <v>107</v>
      </c>
      <c r="H579" s="8">
        <v>1214351.32</v>
      </c>
      <c r="I579" s="7" t="s">
        <v>73</v>
      </c>
      <c r="J579" s="5" t="s">
        <v>74</v>
      </c>
      <c r="K579" s="7" t="s">
        <v>2743</v>
      </c>
      <c r="L579" s="9" t="s">
        <v>2744</v>
      </c>
      <c r="M579" s="10">
        <v>45322</v>
      </c>
      <c r="N579" s="7" t="s">
        <v>82</v>
      </c>
      <c r="O579" s="7" t="s">
        <v>419</v>
      </c>
      <c r="P579" s="7"/>
      <c r="Q579" s="40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 t="e">
        <f t="shared" si="41"/>
        <v>#DIV/0!</v>
      </c>
      <c r="AG579" s="11" t="e">
        <f t="shared" si="42"/>
        <v>#DIV/0!</v>
      </c>
    </row>
    <row r="580" spans="2:33" ht="38.25" x14ac:dyDescent="0.25">
      <c r="B580" s="5">
        <v>574</v>
      </c>
      <c r="C580" s="16" t="s">
        <v>2745</v>
      </c>
      <c r="D580" s="5" t="s">
        <v>33</v>
      </c>
      <c r="E580" s="7" t="s">
        <v>2746</v>
      </c>
      <c r="F580" s="7" t="s">
        <v>2747</v>
      </c>
      <c r="G580" s="7" t="s">
        <v>107</v>
      </c>
      <c r="H580" s="8">
        <v>388400</v>
      </c>
      <c r="I580" s="7" t="s">
        <v>2748</v>
      </c>
      <c r="J580" s="7" t="s">
        <v>795</v>
      </c>
      <c r="K580" s="7" t="s">
        <v>2749</v>
      </c>
      <c r="L580" s="9" t="s">
        <v>2750</v>
      </c>
      <c r="M580" s="10">
        <v>45322</v>
      </c>
      <c r="N580" s="7" t="s">
        <v>82</v>
      </c>
      <c r="O580" s="7" t="s">
        <v>2751</v>
      </c>
      <c r="P580" s="7"/>
      <c r="Q580" s="40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 t="e">
        <f t="shared" si="41"/>
        <v>#DIV/0!</v>
      </c>
      <c r="AG580" s="11" t="e">
        <f t="shared" si="42"/>
        <v>#DIV/0!</v>
      </c>
    </row>
    <row r="581" spans="2:33" ht="38.25" x14ac:dyDescent="0.25">
      <c r="B581" s="5">
        <v>575</v>
      </c>
      <c r="C581" s="16" t="s">
        <v>2752</v>
      </c>
      <c r="D581" s="5" t="s">
        <v>33</v>
      </c>
      <c r="E581" s="7" t="s">
        <v>2746</v>
      </c>
      <c r="F581" s="7" t="s">
        <v>2753</v>
      </c>
      <c r="G581" s="7" t="s">
        <v>107</v>
      </c>
      <c r="H581" s="8">
        <v>342980</v>
      </c>
      <c r="I581" s="7" t="s">
        <v>2748</v>
      </c>
      <c r="J581" s="7" t="s">
        <v>795</v>
      </c>
      <c r="K581" s="7" t="s">
        <v>2754</v>
      </c>
      <c r="L581" s="9" t="s">
        <v>2750</v>
      </c>
      <c r="M581" s="10">
        <v>45322</v>
      </c>
      <c r="N581" s="7" t="s">
        <v>82</v>
      </c>
      <c r="O581" s="7" t="s">
        <v>2751</v>
      </c>
      <c r="P581" s="7"/>
      <c r="Q581" s="40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 t="e">
        <f t="shared" ref="AF581:AF618" si="45">AVERAGE(Q581:AD581)</f>
        <v>#DIV/0!</v>
      </c>
      <c r="AG581" s="11" t="e">
        <f t="shared" ref="AG581:AG618" si="46">IF(AF581&gt;=$AG$1,"APROVADO","REPROVADO")</f>
        <v>#DIV/0!</v>
      </c>
    </row>
    <row r="582" spans="2:33" ht="25.5" x14ac:dyDescent="0.25">
      <c r="B582" s="5">
        <v>576</v>
      </c>
      <c r="C582" s="16" t="s">
        <v>2755</v>
      </c>
      <c r="D582" s="5" t="s">
        <v>33</v>
      </c>
      <c r="E582" s="7" t="s">
        <v>2756</v>
      </c>
      <c r="F582" s="7" t="s">
        <v>2757</v>
      </c>
      <c r="G582" s="7" t="s">
        <v>36</v>
      </c>
      <c r="H582" s="8">
        <v>161302.98000000001</v>
      </c>
      <c r="I582" s="7" t="s">
        <v>73</v>
      </c>
      <c r="J582" s="5" t="s">
        <v>74</v>
      </c>
      <c r="K582" s="7" t="s">
        <v>2758</v>
      </c>
      <c r="L582" s="9" t="s">
        <v>2759</v>
      </c>
      <c r="M582" s="10">
        <v>45322</v>
      </c>
      <c r="N582" s="7" t="s">
        <v>82</v>
      </c>
      <c r="O582" s="7" t="s">
        <v>845</v>
      </c>
      <c r="P582" s="7"/>
      <c r="Q582" s="40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 t="e">
        <f t="shared" si="45"/>
        <v>#DIV/0!</v>
      </c>
      <c r="AG582" s="11" t="e">
        <f t="shared" si="46"/>
        <v>#DIV/0!</v>
      </c>
    </row>
    <row r="583" spans="2:33" ht="25.5" x14ac:dyDescent="0.25">
      <c r="B583" s="5">
        <v>577</v>
      </c>
      <c r="C583" s="6" t="s">
        <v>2760</v>
      </c>
      <c r="D583" s="5" t="s">
        <v>33</v>
      </c>
      <c r="E583" s="5" t="s">
        <v>2761</v>
      </c>
      <c r="F583" s="5" t="s">
        <v>2762</v>
      </c>
      <c r="G583" s="7" t="s">
        <v>107</v>
      </c>
      <c r="H583" s="8">
        <v>403540</v>
      </c>
      <c r="I583" s="7" t="s">
        <v>73</v>
      </c>
      <c r="J583" s="5" t="s">
        <v>74</v>
      </c>
      <c r="K583" s="7" t="s">
        <v>2763</v>
      </c>
      <c r="L583" s="9" t="s">
        <v>2764</v>
      </c>
      <c r="M583" s="10">
        <v>45322</v>
      </c>
      <c r="N583" s="5" t="s">
        <v>67</v>
      </c>
      <c r="O583" s="7" t="s">
        <v>68</v>
      </c>
      <c r="P583" s="7" t="s">
        <v>2765</v>
      </c>
      <c r="Q583" s="39">
        <v>288</v>
      </c>
      <c r="R583" s="1"/>
      <c r="S583" s="1"/>
      <c r="T583" s="1"/>
      <c r="U583" s="1"/>
      <c r="V583" s="1"/>
      <c r="W583" s="1"/>
      <c r="X583" s="1">
        <v>308</v>
      </c>
      <c r="Y583" s="1">
        <v>282</v>
      </c>
      <c r="Z583" s="1"/>
      <c r="AA583" s="1"/>
      <c r="AB583" s="1"/>
      <c r="AC583" s="1"/>
      <c r="AD583" s="1"/>
      <c r="AE583" s="1">
        <f>COUNT(Q583:AD583)</f>
        <v>3</v>
      </c>
      <c r="AF583" s="1">
        <f t="shared" si="45"/>
        <v>292.66666666666669</v>
      </c>
      <c r="AG583" s="11" t="str">
        <f t="shared" si="46"/>
        <v>APROVADO</v>
      </c>
    </row>
    <row r="584" spans="2:33" ht="38.25" x14ac:dyDescent="0.25">
      <c r="B584" s="5">
        <v>578</v>
      </c>
      <c r="C584" s="16" t="s">
        <v>2766</v>
      </c>
      <c r="D584" s="5" t="s">
        <v>33</v>
      </c>
      <c r="E584" s="7" t="s">
        <v>2746</v>
      </c>
      <c r="F584" s="7" t="s">
        <v>2767</v>
      </c>
      <c r="G584" s="7" t="s">
        <v>107</v>
      </c>
      <c r="H584" s="8">
        <v>356288</v>
      </c>
      <c r="I584" s="7" t="s">
        <v>2748</v>
      </c>
      <c r="J584" s="7" t="s">
        <v>795</v>
      </c>
      <c r="K584" s="7" t="s">
        <v>2768</v>
      </c>
      <c r="L584" s="9" t="s">
        <v>2750</v>
      </c>
      <c r="M584" s="10">
        <v>45322</v>
      </c>
      <c r="N584" s="7" t="s">
        <v>82</v>
      </c>
      <c r="O584" s="7" t="s">
        <v>83</v>
      </c>
      <c r="P584" s="7" t="s">
        <v>784</v>
      </c>
      <c r="Q584" s="40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 t="e">
        <f t="shared" si="45"/>
        <v>#DIV/0!</v>
      </c>
      <c r="AG584" s="11" t="e">
        <f t="shared" si="46"/>
        <v>#DIV/0!</v>
      </c>
    </row>
    <row r="585" spans="2:33" ht="25.5" x14ac:dyDescent="0.25">
      <c r="B585" s="5">
        <v>579</v>
      </c>
      <c r="C585" s="16" t="s">
        <v>2769</v>
      </c>
      <c r="D585" s="5" t="s">
        <v>33</v>
      </c>
      <c r="E585" s="7" t="s">
        <v>2761</v>
      </c>
      <c r="F585" s="7" t="s">
        <v>2770</v>
      </c>
      <c r="G585" s="7" t="s">
        <v>107</v>
      </c>
      <c r="H585" s="8">
        <v>517300</v>
      </c>
      <c r="I585" s="7" t="s">
        <v>73</v>
      </c>
      <c r="J585" s="5" t="s">
        <v>74</v>
      </c>
      <c r="K585" s="7" t="s">
        <v>2763</v>
      </c>
      <c r="L585" s="9" t="s">
        <v>2764</v>
      </c>
      <c r="M585" s="10">
        <v>45322</v>
      </c>
      <c r="N585" s="7" t="s">
        <v>82</v>
      </c>
      <c r="O585" s="7" t="s">
        <v>68</v>
      </c>
      <c r="P585" s="9"/>
      <c r="Q585" s="40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 t="e">
        <f t="shared" si="45"/>
        <v>#DIV/0!</v>
      </c>
      <c r="AG585" s="11" t="e">
        <f t="shared" si="46"/>
        <v>#DIV/0!</v>
      </c>
    </row>
    <row r="586" spans="2:33" ht="25.5" x14ac:dyDescent="0.25">
      <c r="B586" s="5">
        <v>580</v>
      </c>
      <c r="C586" s="16" t="s">
        <v>2771</v>
      </c>
      <c r="D586" s="5" t="s">
        <v>33</v>
      </c>
      <c r="E586" s="7" t="s">
        <v>2761</v>
      </c>
      <c r="F586" s="7" t="s">
        <v>2772</v>
      </c>
      <c r="G586" s="7" t="s">
        <v>107</v>
      </c>
      <c r="H586" s="8">
        <v>472580</v>
      </c>
      <c r="I586" s="7" t="s">
        <v>73</v>
      </c>
      <c r="J586" s="5" t="s">
        <v>74</v>
      </c>
      <c r="K586" s="7" t="s">
        <v>2763</v>
      </c>
      <c r="L586" s="9" t="s">
        <v>2764</v>
      </c>
      <c r="M586" s="10">
        <v>45322</v>
      </c>
      <c r="N586" s="7" t="s">
        <v>82</v>
      </c>
      <c r="O586" s="7" t="s">
        <v>2751</v>
      </c>
      <c r="P586" s="7" t="s">
        <v>2765</v>
      </c>
      <c r="Q586" s="40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 t="e">
        <f t="shared" si="45"/>
        <v>#DIV/0!</v>
      </c>
      <c r="AG586" s="11" t="e">
        <f t="shared" si="46"/>
        <v>#DIV/0!</v>
      </c>
    </row>
    <row r="587" spans="2:33" ht="25.5" x14ac:dyDescent="0.25">
      <c r="B587" s="5">
        <v>581</v>
      </c>
      <c r="C587" s="16" t="s">
        <v>2773</v>
      </c>
      <c r="D587" s="5" t="s">
        <v>33</v>
      </c>
      <c r="E587" s="7" t="s">
        <v>2774</v>
      </c>
      <c r="F587" s="7" t="s">
        <v>2775</v>
      </c>
      <c r="G587" s="7" t="s">
        <v>107</v>
      </c>
      <c r="H587" s="8">
        <v>811992.39</v>
      </c>
      <c r="I587" s="7" t="s">
        <v>73</v>
      </c>
      <c r="J587" s="5" t="s">
        <v>74</v>
      </c>
      <c r="K587" s="7" t="s">
        <v>2776</v>
      </c>
      <c r="L587" s="9" t="s">
        <v>2777</v>
      </c>
      <c r="M587" s="10">
        <v>45322</v>
      </c>
      <c r="N587" s="7" t="s">
        <v>82</v>
      </c>
      <c r="O587" s="7" t="s">
        <v>83</v>
      </c>
      <c r="P587" s="9"/>
      <c r="Q587" s="40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 t="e">
        <f t="shared" si="45"/>
        <v>#DIV/0!</v>
      </c>
      <c r="AG587" s="11" t="e">
        <f t="shared" si="46"/>
        <v>#DIV/0!</v>
      </c>
    </row>
    <row r="588" spans="2:33" ht="25.5" x14ac:dyDescent="0.25">
      <c r="B588" s="5">
        <v>582</v>
      </c>
      <c r="C588" s="16" t="s">
        <v>2778</v>
      </c>
      <c r="D588" s="5" t="s">
        <v>33</v>
      </c>
      <c r="E588" s="7" t="s">
        <v>2779</v>
      </c>
      <c r="F588" s="7" t="s">
        <v>2780</v>
      </c>
      <c r="G588" s="7" t="s">
        <v>107</v>
      </c>
      <c r="H588" s="8">
        <v>780717.03</v>
      </c>
      <c r="I588" s="7" t="s">
        <v>73</v>
      </c>
      <c r="J588" s="5" t="s">
        <v>74</v>
      </c>
      <c r="K588" s="7" t="s">
        <v>2781</v>
      </c>
      <c r="L588" s="9" t="s">
        <v>2782</v>
      </c>
      <c r="M588" s="10">
        <v>45322</v>
      </c>
      <c r="N588" s="7" t="s">
        <v>82</v>
      </c>
      <c r="O588" s="7" t="s">
        <v>845</v>
      </c>
      <c r="P588" s="9"/>
      <c r="Q588" s="40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 t="e">
        <f t="shared" si="45"/>
        <v>#DIV/0!</v>
      </c>
      <c r="AG588" s="11" t="e">
        <f t="shared" si="46"/>
        <v>#DIV/0!</v>
      </c>
    </row>
    <row r="589" spans="2:33" ht="25.5" x14ac:dyDescent="0.25">
      <c r="B589" s="5">
        <v>583</v>
      </c>
      <c r="C589" s="16" t="s">
        <v>2783</v>
      </c>
      <c r="D589" s="5" t="s">
        <v>33</v>
      </c>
      <c r="E589" s="7" t="s">
        <v>2779</v>
      </c>
      <c r="F589" s="7" t="s">
        <v>2784</v>
      </c>
      <c r="G589" s="7" t="s">
        <v>107</v>
      </c>
      <c r="H589" s="8">
        <v>780717.03</v>
      </c>
      <c r="I589" s="7" t="s">
        <v>73</v>
      </c>
      <c r="J589" s="5" t="s">
        <v>74</v>
      </c>
      <c r="K589" s="7" t="s">
        <v>2781</v>
      </c>
      <c r="L589" s="9" t="s">
        <v>2782</v>
      </c>
      <c r="M589" s="10">
        <v>45322</v>
      </c>
      <c r="N589" s="7" t="s">
        <v>82</v>
      </c>
      <c r="O589" s="7" t="s">
        <v>845</v>
      </c>
      <c r="P589" s="9"/>
      <c r="Q589" s="40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 t="e">
        <f t="shared" si="45"/>
        <v>#DIV/0!</v>
      </c>
      <c r="AG589" s="11" t="e">
        <f t="shared" si="46"/>
        <v>#DIV/0!</v>
      </c>
    </row>
    <row r="590" spans="2:33" ht="25.5" x14ac:dyDescent="0.25">
      <c r="B590" s="5">
        <v>584</v>
      </c>
      <c r="C590" s="16" t="s">
        <v>2785</v>
      </c>
      <c r="D590" s="5" t="s">
        <v>33</v>
      </c>
      <c r="E590" s="7" t="s">
        <v>2786</v>
      </c>
      <c r="F590" s="7" t="s">
        <v>2787</v>
      </c>
      <c r="G590" s="5" t="s">
        <v>62</v>
      </c>
      <c r="H590" s="8">
        <v>845957.38</v>
      </c>
      <c r="I590" s="7" t="s">
        <v>73</v>
      </c>
      <c r="J590" s="5" t="s">
        <v>74</v>
      </c>
      <c r="K590" s="7" t="s">
        <v>2788</v>
      </c>
      <c r="L590" s="9" t="s">
        <v>2789</v>
      </c>
      <c r="M590" s="10">
        <v>45322</v>
      </c>
      <c r="N590" s="7" t="s">
        <v>82</v>
      </c>
      <c r="O590" s="7" t="s">
        <v>845</v>
      </c>
      <c r="P590" s="9" t="s">
        <v>2790</v>
      </c>
      <c r="Q590" s="40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 t="e">
        <f t="shared" si="45"/>
        <v>#DIV/0!</v>
      </c>
      <c r="AG590" s="11" t="e">
        <f t="shared" si="46"/>
        <v>#DIV/0!</v>
      </c>
    </row>
    <row r="591" spans="2:33" ht="25.5" x14ac:dyDescent="0.25">
      <c r="B591" s="5">
        <v>585</v>
      </c>
      <c r="C591" s="27" t="s">
        <v>2791</v>
      </c>
      <c r="D591" s="5" t="s">
        <v>33</v>
      </c>
      <c r="E591" s="7" t="s">
        <v>2792</v>
      </c>
      <c r="F591" s="7" t="s">
        <v>2793</v>
      </c>
      <c r="G591" s="5" t="s">
        <v>62</v>
      </c>
      <c r="H591" s="8">
        <v>130000</v>
      </c>
      <c r="I591" s="7" t="s">
        <v>2794</v>
      </c>
      <c r="J591" s="7" t="s">
        <v>391</v>
      </c>
      <c r="K591" s="7" t="s">
        <v>2795</v>
      </c>
      <c r="L591" s="9" t="s">
        <v>2796</v>
      </c>
      <c r="M591" s="10">
        <v>45322</v>
      </c>
      <c r="N591" s="7" t="s">
        <v>41</v>
      </c>
      <c r="O591" s="9"/>
      <c r="P591" s="9"/>
      <c r="Q591" s="40">
        <v>337</v>
      </c>
      <c r="R591" s="1">
        <v>263</v>
      </c>
      <c r="S591" s="1"/>
      <c r="T591" s="1">
        <v>261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>
        <f t="shared" ref="AE591:AE599" si="47">COUNT(Q591:AD591)</f>
        <v>3</v>
      </c>
      <c r="AF591" s="1">
        <f t="shared" si="45"/>
        <v>287</v>
      </c>
      <c r="AG591" s="11" t="str">
        <f t="shared" si="46"/>
        <v>APROVADO</v>
      </c>
    </row>
    <row r="592" spans="2:33" ht="38.25" x14ac:dyDescent="0.25">
      <c r="B592" s="5">
        <v>586</v>
      </c>
      <c r="C592" s="6" t="s">
        <v>2797</v>
      </c>
      <c r="D592" s="5" t="s">
        <v>33</v>
      </c>
      <c r="E592" s="7" t="s">
        <v>2798</v>
      </c>
      <c r="F592" s="7" t="s">
        <v>2799</v>
      </c>
      <c r="G592" s="7" t="s">
        <v>107</v>
      </c>
      <c r="H592" s="8">
        <v>343320</v>
      </c>
      <c r="I592" s="7" t="s">
        <v>73</v>
      </c>
      <c r="J592" s="5" t="s">
        <v>74</v>
      </c>
      <c r="K592" s="7" t="s">
        <v>2800</v>
      </c>
      <c r="L592" s="9" t="s">
        <v>2801</v>
      </c>
      <c r="M592" s="10">
        <v>45322</v>
      </c>
      <c r="N592" s="7" t="s">
        <v>67</v>
      </c>
      <c r="O592" s="7" t="s">
        <v>68</v>
      </c>
      <c r="P592" s="9"/>
      <c r="Q592" s="40">
        <v>264</v>
      </c>
      <c r="R592" s="1"/>
      <c r="S592" s="1"/>
      <c r="T592" s="1"/>
      <c r="U592" s="1"/>
      <c r="V592" s="1"/>
      <c r="W592" s="1">
        <v>333</v>
      </c>
      <c r="X592" s="1"/>
      <c r="Y592" s="1">
        <v>340</v>
      </c>
      <c r="Z592" s="1"/>
      <c r="AA592" s="1"/>
      <c r="AB592" s="1"/>
      <c r="AC592" s="1"/>
      <c r="AD592" s="1"/>
      <c r="AE592" s="1">
        <f t="shared" si="47"/>
        <v>3</v>
      </c>
      <c r="AF592" s="1">
        <f t="shared" si="45"/>
        <v>312.33333333333331</v>
      </c>
      <c r="AG592" s="11" t="str">
        <f t="shared" si="46"/>
        <v>APROVADO</v>
      </c>
    </row>
    <row r="593" spans="2:33" ht="38.25" x14ac:dyDescent="0.25">
      <c r="B593" s="5">
        <v>587</v>
      </c>
      <c r="C593" s="6" t="s">
        <v>2802</v>
      </c>
      <c r="D593" s="5" t="s">
        <v>33</v>
      </c>
      <c r="E593" s="7" t="s">
        <v>2798</v>
      </c>
      <c r="F593" s="7" t="s">
        <v>2803</v>
      </c>
      <c r="G593" s="7" t="s">
        <v>107</v>
      </c>
      <c r="H593" s="8">
        <v>397080</v>
      </c>
      <c r="I593" s="7" t="s">
        <v>73</v>
      </c>
      <c r="J593" s="5" t="s">
        <v>74</v>
      </c>
      <c r="K593" s="7" t="s">
        <v>2800</v>
      </c>
      <c r="L593" s="9" t="s">
        <v>2801</v>
      </c>
      <c r="M593" s="10">
        <v>45322</v>
      </c>
      <c r="N593" s="7" t="s">
        <v>67</v>
      </c>
      <c r="O593" s="7" t="s">
        <v>68</v>
      </c>
      <c r="P593" s="9"/>
      <c r="Q593" s="40">
        <v>292</v>
      </c>
      <c r="R593" s="1">
        <v>170</v>
      </c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>
        <v>177</v>
      </c>
      <c r="AE593" s="1">
        <f t="shared" si="47"/>
        <v>3</v>
      </c>
      <c r="AF593" s="1">
        <f t="shared" si="45"/>
        <v>213</v>
      </c>
      <c r="AG593" s="11" t="str">
        <f t="shared" si="46"/>
        <v>APROVADO</v>
      </c>
    </row>
    <row r="594" spans="2:33" ht="38.25" x14ac:dyDescent="0.25">
      <c r="B594" s="5">
        <v>588</v>
      </c>
      <c r="C594" s="6" t="s">
        <v>2804</v>
      </c>
      <c r="D594" s="5" t="s">
        <v>33</v>
      </c>
      <c r="E594" s="5" t="s">
        <v>2798</v>
      </c>
      <c r="F594" s="5" t="s">
        <v>2805</v>
      </c>
      <c r="G594" s="7" t="s">
        <v>107</v>
      </c>
      <c r="H594" s="8">
        <v>467160</v>
      </c>
      <c r="I594" s="7" t="s">
        <v>73</v>
      </c>
      <c r="J594" s="5" t="s">
        <v>74</v>
      </c>
      <c r="K594" s="7" t="s">
        <v>2800</v>
      </c>
      <c r="L594" s="9" t="s">
        <v>2801</v>
      </c>
      <c r="M594" s="10">
        <v>45322</v>
      </c>
      <c r="N594" s="5" t="s">
        <v>67</v>
      </c>
      <c r="O594" s="7" t="s">
        <v>68</v>
      </c>
      <c r="P594" s="9"/>
      <c r="Q594" s="39">
        <v>258</v>
      </c>
      <c r="R594" s="1"/>
      <c r="S594" s="1"/>
      <c r="T594" s="1"/>
      <c r="U594" s="1"/>
      <c r="V594" s="1"/>
      <c r="W594" s="1"/>
      <c r="X594" s="1">
        <v>260</v>
      </c>
      <c r="Y594" s="1">
        <v>279</v>
      </c>
      <c r="Z594" s="1"/>
      <c r="AA594" s="1"/>
      <c r="AB594" s="1"/>
      <c r="AC594" s="1"/>
      <c r="AD594" s="1"/>
      <c r="AE594" s="1">
        <f t="shared" si="47"/>
        <v>3</v>
      </c>
      <c r="AF594" s="1">
        <f t="shared" si="45"/>
        <v>265.66666666666669</v>
      </c>
      <c r="AG594" s="11" t="str">
        <f t="shared" si="46"/>
        <v>APROVADO</v>
      </c>
    </row>
    <row r="595" spans="2:33" ht="25.5" x14ac:dyDescent="0.25">
      <c r="B595" s="5">
        <v>589</v>
      </c>
      <c r="C595" s="6" t="s">
        <v>2806</v>
      </c>
      <c r="D595" s="5" t="s">
        <v>33</v>
      </c>
      <c r="E595" s="5" t="s">
        <v>2807</v>
      </c>
      <c r="F595" s="5" t="s">
        <v>2808</v>
      </c>
      <c r="G595" s="7" t="s">
        <v>107</v>
      </c>
      <c r="H595" s="8">
        <v>468232.2</v>
      </c>
      <c r="I595" s="7" t="s">
        <v>73</v>
      </c>
      <c r="J595" s="5" t="s">
        <v>74</v>
      </c>
      <c r="K595" s="7" t="s">
        <v>2809</v>
      </c>
      <c r="L595" s="9" t="s">
        <v>2810</v>
      </c>
      <c r="M595" s="10">
        <v>45322</v>
      </c>
      <c r="N595" s="5" t="s">
        <v>67</v>
      </c>
      <c r="O595" s="7" t="s">
        <v>68</v>
      </c>
      <c r="P595" s="9"/>
      <c r="Q595" s="39">
        <v>271</v>
      </c>
      <c r="R595" s="1"/>
      <c r="S595" s="1"/>
      <c r="T595" s="1"/>
      <c r="U595" s="1"/>
      <c r="V595" s="1"/>
      <c r="W595" s="1">
        <v>288</v>
      </c>
      <c r="X595" s="1">
        <v>271</v>
      </c>
      <c r="Y595" s="1"/>
      <c r="Z595" s="1"/>
      <c r="AA595" s="1"/>
      <c r="AB595" s="1"/>
      <c r="AC595" s="1"/>
      <c r="AD595" s="1"/>
      <c r="AE595" s="1">
        <f t="shared" si="47"/>
        <v>3</v>
      </c>
      <c r="AF595" s="1">
        <f t="shared" si="45"/>
        <v>276.66666666666669</v>
      </c>
      <c r="AG595" s="11" t="str">
        <f t="shared" si="46"/>
        <v>APROVADO</v>
      </c>
    </row>
    <row r="596" spans="2:33" ht="25.5" x14ac:dyDescent="0.25">
      <c r="B596" s="5">
        <v>590</v>
      </c>
      <c r="C596" s="6" t="s">
        <v>2811</v>
      </c>
      <c r="D596" s="5" t="s">
        <v>33</v>
      </c>
      <c r="E596" s="7" t="s">
        <v>2807</v>
      </c>
      <c r="F596" s="7" t="s">
        <v>2812</v>
      </c>
      <c r="G596" s="7" t="s">
        <v>107</v>
      </c>
      <c r="H596" s="8">
        <v>433836</v>
      </c>
      <c r="I596" s="7" t="s">
        <v>73</v>
      </c>
      <c r="J596" s="5" t="s">
        <v>74</v>
      </c>
      <c r="K596" s="7" t="s">
        <v>2809</v>
      </c>
      <c r="L596" s="9" t="s">
        <v>2810</v>
      </c>
      <c r="M596" s="10">
        <v>45322</v>
      </c>
      <c r="N596" s="7" t="s">
        <v>67</v>
      </c>
      <c r="O596" s="7" t="s">
        <v>68</v>
      </c>
      <c r="P596" s="9"/>
      <c r="Q596" s="40">
        <v>244</v>
      </c>
      <c r="R596" s="1"/>
      <c r="S596" s="1"/>
      <c r="T596" s="1"/>
      <c r="U596" s="1"/>
      <c r="V596" s="1"/>
      <c r="W596" s="1"/>
      <c r="X596" s="1">
        <v>316</v>
      </c>
      <c r="Y596" s="1"/>
      <c r="Z596" s="1"/>
      <c r="AA596" s="1"/>
      <c r="AB596" s="1"/>
      <c r="AC596" s="1">
        <v>329</v>
      </c>
      <c r="AD596" s="1"/>
      <c r="AE596" s="1">
        <f t="shared" si="47"/>
        <v>3</v>
      </c>
      <c r="AF596" s="1">
        <f t="shared" si="45"/>
        <v>296.33333333333331</v>
      </c>
      <c r="AG596" s="11" t="str">
        <f t="shared" si="46"/>
        <v>APROVADO</v>
      </c>
    </row>
    <row r="597" spans="2:33" ht="25.5" x14ac:dyDescent="0.25">
      <c r="B597" s="5">
        <v>591</v>
      </c>
      <c r="C597" s="6" t="s">
        <v>2813</v>
      </c>
      <c r="D597" s="5" t="s">
        <v>33</v>
      </c>
      <c r="E597" s="7" t="s">
        <v>2807</v>
      </c>
      <c r="F597" s="7" t="s">
        <v>2814</v>
      </c>
      <c r="G597" s="7" t="s">
        <v>107</v>
      </c>
      <c r="H597" s="8">
        <v>367680</v>
      </c>
      <c r="I597" s="7" t="s">
        <v>73</v>
      </c>
      <c r="J597" s="5" t="s">
        <v>74</v>
      </c>
      <c r="K597" s="7" t="s">
        <v>2809</v>
      </c>
      <c r="L597" s="9" t="s">
        <v>2810</v>
      </c>
      <c r="M597" s="10">
        <v>45322</v>
      </c>
      <c r="N597" s="7" t="s">
        <v>67</v>
      </c>
      <c r="O597" s="7" t="s">
        <v>68</v>
      </c>
      <c r="P597" s="9"/>
      <c r="Q597" s="40">
        <v>299</v>
      </c>
      <c r="R597" s="1"/>
      <c r="S597" s="1"/>
      <c r="T597" s="1"/>
      <c r="U597" s="1"/>
      <c r="V597" s="1"/>
      <c r="W597" s="1">
        <v>320</v>
      </c>
      <c r="X597" s="1"/>
      <c r="Y597" s="1">
        <v>340</v>
      </c>
      <c r="Z597" s="1"/>
      <c r="AA597" s="1"/>
      <c r="AB597" s="1"/>
      <c r="AC597" s="1"/>
      <c r="AD597" s="1"/>
      <c r="AE597" s="1">
        <f t="shared" si="47"/>
        <v>3</v>
      </c>
      <c r="AF597" s="1">
        <f t="shared" si="45"/>
        <v>319.66666666666669</v>
      </c>
      <c r="AG597" s="11" t="str">
        <f t="shared" si="46"/>
        <v>APROVADO</v>
      </c>
    </row>
    <row r="598" spans="2:33" x14ac:dyDescent="0.25">
      <c r="B598" s="5">
        <v>592</v>
      </c>
      <c r="C598" s="6" t="s">
        <v>2815</v>
      </c>
      <c r="D598" s="5" t="s">
        <v>33</v>
      </c>
      <c r="E598" s="7" t="s">
        <v>2816</v>
      </c>
      <c r="F598" s="7" t="s">
        <v>2817</v>
      </c>
      <c r="G598" s="7" t="s">
        <v>107</v>
      </c>
      <c r="H598" s="8">
        <v>349940</v>
      </c>
      <c r="I598" s="7" t="s">
        <v>2818</v>
      </c>
      <c r="J598" s="7" t="s">
        <v>1414</v>
      </c>
      <c r="K598" s="7" t="s">
        <v>2819</v>
      </c>
      <c r="L598" s="9" t="s">
        <v>2820</v>
      </c>
      <c r="M598" s="10">
        <v>45322</v>
      </c>
      <c r="N598" s="7" t="s">
        <v>67</v>
      </c>
      <c r="O598" s="7" t="s">
        <v>2821</v>
      </c>
      <c r="P598" s="7"/>
      <c r="Q598" s="40">
        <v>269</v>
      </c>
      <c r="R598" s="1"/>
      <c r="S598" s="1"/>
      <c r="T598" s="1"/>
      <c r="U598" s="1"/>
      <c r="V598" s="1">
        <v>258</v>
      </c>
      <c r="W598" s="1">
        <v>256</v>
      </c>
      <c r="X598" s="1"/>
      <c r="Y598" s="1"/>
      <c r="Z598" s="1"/>
      <c r="AA598" s="1"/>
      <c r="AB598" s="1"/>
      <c r="AC598" s="1"/>
      <c r="AD598" s="1"/>
      <c r="AE598" s="1">
        <f t="shared" si="47"/>
        <v>3</v>
      </c>
      <c r="AF598" s="1">
        <f t="shared" si="45"/>
        <v>261</v>
      </c>
      <c r="AG598" s="11" t="str">
        <f t="shared" si="46"/>
        <v>APROVADO</v>
      </c>
    </row>
    <row r="599" spans="2:33" x14ac:dyDescent="0.25">
      <c r="B599" s="5">
        <v>593</v>
      </c>
      <c r="C599" s="6" t="s">
        <v>2822</v>
      </c>
      <c r="D599" s="5" t="s">
        <v>33</v>
      </c>
      <c r="E599" s="7" t="s">
        <v>2816</v>
      </c>
      <c r="F599" s="7" t="s">
        <v>2823</v>
      </c>
      <c r="G599" s="7" t="s">
        <v>107</v>
      </c>
      <c r="H599" s="8">
        <v>428520</v>
      </c>
      <c r="I599" s="7" t="s">
        <v>2818</v>
      </c>
      <c r="J599" s="7" t="s">
        <v>1414</v>
      </c>
      <c r="K599" s="7" t="s">
        <v>2819</v>
      </c>
      <c r="L599" s="9" t="s">
        <v>2820</v>
      </c>
      <c r="M599" s="10">
        <v>45322</v>
      </c>
      <c r="N599" s="7" t="s">
        <v>67</v>
      </c>
      <c r="O599" s="9"/>
      <c r="P599" s="7" t="s">
        <v>2111</v>
      </c>
      <c r="Q599" s="40">
        <v>287</v>
      </c>
      <c r="R599" s="1"/>
      <c r="S599" s="1"/>
      <c r="T599" s="1"/>
      <c r="U599" s="1"/>
      <c r="V599" s="1"/>
      <c r="W599" s="1">
        <v>331</v>
      </c>
      <c r="X599" s="1"/>
      <c r="Y599" s="1">
        <v>340</v>
      </c>
      <c r="Z599" s="1"/>
      <c r="AA599" s="1"/>
      <c r="AB599" s="1"/>
      <c r="AC599" s="1"/>
      <c r="AD599" s="1"/>
      <c r="AE599" s="1">
        <f t="shared" si="47"/>
        <v>3</v>
      </c>
      <c r="AF599" s="1">
        <f t="shared" si="45"/>
        <v>319.33333333333331</v>
      </c>
      <c r="AG599" s="11" t="str">
        <f t="shared" si="46"/>
        <v>APROVADO</v>
      </c>
    </row>
    <row r="600" spans="2:33" x14ac:dyDescent="0.25">
      <c r="B600" s="5">
        <v>594</v>
      </c>
      <c r="C600" s="16" t="s">
        <v>2824</v>
      </c>
      <c r="D600" s="5" t="s">
        <v>33</v>
      </c>
      <c r="E600" s="7" t="s">
        <v>2816</v>
      </c>
      <c r="F600" s="7" t="s">
        <v>2825</v>
      </c>
      <c r="G600" s="7" t="s">
        <v>107</v>
      </c>
      <c r="H600" s="8">
        <v>428520</v>
      </c>
      <c r="I600" s="7" t="s">
        <v>2818</v>
      </c>
      <c r="J600" s="7" t="s">
        <v>1414</v>
      </c>
      <c r="K600" s="7" t="s">
        <v>2819</v>
      </c>
      <c r="L600" s="9" t="s">
        <v>2820</v>
      </c>
      <c r="M600" s="10">
        <v>45322</v>
      </c>
      <c r="N600" s="7" t="s">
        <v>226</v>
      </c>
      <c r="O600" s="9" t="s">
        <v>2826</v>
      </c>
      <c r="P600" s="7" t="s">
        <v>2111</v>
      </c>
      <c r="Q600" s="40">
        <v>0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>
        <f t="shared" si="45"/>
        <v>0</v>
      </c>
      <c r="AG600" s="11" t="str">
        <f t="shared" si="46"/>
        <v>REPROVADO</v>
      </c>
    </row>
    <row r="601" spans="2:33" ht="25.5" x14ac:dyDescent="0.25">
      <c r="B601" s="5">
        <v>595</v>
      </c>
      <c r="C601" s="16" t="s">
        <v>2827</v>
      </c>
      <c r="D601" s="5" t="s">
        <v>33</v>
      </c>
      <c r="E601" s="7" t="s">
        <v>2828</v>
      </c>
      <c r="F601" s="7" t="s">
        <v>2808</v>
      </c>
      <c r="G601" s="7" t="s">
        <v>107</v>
      </c>
      <c r="H601" s="8">
        <v>367680</v>
      </c>
      <c r="I601" s="7" t="s">
        <v>73</v>
      </c>
      <c r="J601" s="5" t="s">
        <v>74</v>
      </c>
      <c r="K601" s="7" t="s">
        <v>2829</v>
      </c>
      <c r="L601" s="9" t="s">
        <v>2830</v>
      </c>
      <c r="M601" s="10">
        <v>45322</v>
      </c>
      <c r="N601" s="7" t="s">
        <v>82</v>
      </c>
      <c r="O601" s="7" t="s">
        <v>845</v>
      </c>
      <c r="P601" s="9"/>
      <c r="Q601" s="40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 t="e">
        <f t="shared" si="45"/>
        <v>#DIV/0!</v>
      </c>
      <c r="AG601" s="11" t="e">
        <f t="shared" si="46"/>
        <v>#DIV/0!</v>
      </c>
    </row>
    <row r="602" spans="2:33" ht="25.5" x14ac:dyDescent="0.25">
      <c r="B602" s="5">
        <v>596</v>
      </c>
      <c r="C602" s="16" t="s">
        <v>2831</v>
      </c>
      <c r="D602" s="5" t="s">
        <v>51</v>
      </c>
      <c r="E602" s="7" t="s">
        <v>2832</v>
      </c>
      <c r="F602" s="7" t="s">
        <v>2833</v>
      </c>
      <c r="G602" s="7" t="s">
        <v>45</v>
      </c>
      <c r="H602" s="28">
        <v>265000</v>
      </c>
      <c r="I602" s="13" t="s">
        <v>2834</v>
      </c>
      <c r="J602" s="11" t="s">
        <v>181</v>
      </c>
      <c r="K602" s="13" t="s">
        <v>2835</v>
      </c>
      <c r="L602" s="30" t="s">
        <v>2836</v>
      </c>
      <c r="M602" s="26">
        <v>45322</v>
      </c>
      <c r="N602" s="7" t="s">
        <v>82</v>
      </c>
      <c r="O602" s="14" t="s">
        <v>83</v>
      </c>
      <c r="P602" s="14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0"/>
      <c r="AD602" s="20"/>
      <c r="AE602" s="20"/>
      <c r="AF602" s="1" t="e">
        <f t="shared" si="45"/>
        <v>#DIV/0!</v>
      </c>
      <c r="AG602" s="11" t="e">
        <f t="shared" si="46"/>
        <v>#DIV/0!</v>
      </c>
    </row>
    <row r="603" spans="2:33" ht="25.5" x14ac:dyDescent="0.25">
      <c r="B603" s="5">
        <v>597</v>
      </c>
      <c r="C603" s="16" t="s">
        <v>2837</v>
      </c>
      <c r="D603" s="5" t="s">
        <v>33</v>
      </c>
      <c r="E603" s="7" t="s">
        <v>2838</v>
      </c>
      <c r="F603" s="7" t="s">
        <v>2839</v>
      </c>
      <c r="G603" s="7" t="s">
        <v>107</v>
      </c>
      <c r="H603" s="8">
        <v>1819351.32</v>
      </c>
      <c r="I603" s="7" t="s">
        <v>73</v>
      </c>
      <c r="J603" s="5" t="s">
        <v>74</v>
      </c>
      <c r="K603" s="7" t="s">
        <v>2840</v>
      </c>
      <c r="L603" s="9" t="s">
        <v>2841</v>
      </c>
      <c r="M603" s="10">
        <v>45322</v>
      </c>
      <c r="N603" s="7" t="s">
        <v>82</v>
      </c>
      <c r="O603" s="7" t="s">
        <v>419</v>
      </c>
      <c r="P603" s="7"/>
      <c r="Q603" s="40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 t="e">
        <f t="shared" si="45"/>
        <v>#DIV/0!</v>
      </c>
      <c r="AG603" s="11" t="e">
        <f t="shared" si="46"/>
        <v>#DIV/0!</v>
      </c>
    </row>
    <row r="604" spans="2:33" ht="25.5" x14ac:dyDescent="0.25">
      <c r="B604" s="5">
        <v>598</v>
      </c>
      <c r="C604" s="16" t="s">
        <v>2842</v>
      </c>
      <c r="D604" s="5" t="s">
        <v>33</v>
      </c>
      <c r="E604" s="7" t="s">
        <v>2843</v>
      </c>
      <c r="F604" s="7" t="s">
        <v>2844</v>
      </c>
      <c r="G604" s="7" t="s">
        <v>107</v>
      </c>
      <c r="H604" s="8">
        <v>1134197.56</v>
      </c>
      <c r="I604" s="7" t="s">
        <v>73</v>
      </c>
      <c r="J604" s="7" t="s">
        <v>74</v>
      </c>
      <c r="K604" s="7" t="s">
        <v>2845</v>
      </c>
      <c r="L604" s="9" t="s">
        <v>2846</v>
      </c>
      <c r="M604" s="10">
        <v>45322</v>
      </c>
      <c r="N604" s="7" t="s">
        <v>82</v>
      </c>
      <c r="O604" s="7" t="s">
        <v>845</v>
      </c>
      <c r="P604" s="7"/>
      <c r="Q604" s="40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 t="e">
        <f t="shared" si="45"/>
        <v>#DIV/0!</v>
      </c>
      <c r="AG604" s="11" t="e">
        <f t="shared" si="46"/>
        <v>#DIV/0!</v>
      </c>
    </row>
    <row r="605" spans="2:33" ht="25.5" x14ac:dyDescent="0.25">
      <c r="B605" s="5">
        <v>599</v>
      </c>
      <c r="C605" s="16" t="s">
        <v>2847</v>
      </c>
      <c r="D605" s="5" t="s">
        <v>33</v>
      </c>
      <c r="E605" s="7" t="s">
        <v>2848</v>
      </c>
      <c r="F605" s="7" t="s">
        <v>2849</v>
      </c>
      <c r="G605" s="7" t="s">
        <v>107</v>
      </c>
      <c r="H605" s="8">
        <v>1214351.32</v>
      </c>
      <c r="I605" s="7" t="s">
        <v>73</v>
      </c>
      <c r="J605" s="5" t="s">
        <v>74</v>
      </c>
      <c r="K605" s="7" t="s">
        <v>2850</v>
      </c>
      <c r="L605" s="9" t="s">
        <v>2851</v>
      </c>
      <c r="M605" s="10">
        <v>45322</v>
      </c>
      <c r="N605" s="7" t="s">
        <v>82</v>
      </c>
      <c r="O605" s="7" t="s">
        <v>419</v>
      </c>
      <c r="P605" s="7"/>
      <c r="Q605" s="40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 t="e">
        <f t="shared" si="45"/>
        <v>#DIV/0!</v>
      </c>
      <c r="AG605" s="11" t="e">
        <f t="shared" si="46"/>
        <v>#DIV/0!</v>
      </c>
    </row>
    <row r="606" spans="2:33" ht="25.5" x14ac:dyDescent="0.25">
      <c r="B606" s="5">
        <v>600</v>
      </c>
      <c r="C606" s="16" t="s">
        <v>2852</v>
      </c>
      <c r="D606" s="5" t="s">
        <v>33</v>
      </c>
      <c r="E606" s="7" t="s">
        <v>2853</v>
      </c>
      <c r="F606" s="7" t="s">
        <v>2854</v>
      </c>
      <c r="G606" s="7" t="s">
        <v>107</v>
      </c>
      <c r="H606" s="8">
        <v>1819351.32</v>
      </c>
      <c r="I606" s="7" t="s">
        <v>73</v>
      </c>
      <c r="J606" s="5" t="s">
        <v>74</v>
      </c>
      <c r="K606" s="7" t="s">
        <v>2855</v>
      </c>
      <c r="L606" s="9" t="s">
        <v>2856</v>
      </c>
      <c r="M606" s="10">
        <v>45322</v>
      </c>
      <c r="N606" s="7" t="s">
        <v>82</v>
      </c>
      <c r="O606" s="7" t="s">
        <v>419</v>
      </c>
      <c r="P606" s="7"/>
      <c r="Q606" s="40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 t="e">
        <f t="shared" si="45"/>
        <v>#DIV/0!</v>
      </c>
      <c r="AG606" s="11" t="e">
        <f t="shared" si="46"/>
        <v>#DIV/0!</v>
      </c>
    </row>
    <row r="607" spans="2:33" ht="25.5" x14ac:dyDescent="0.25">
      <c r="B607" s="5">
        <v>601</v>
      </c>
      <c r="C607" s="16" t="s">
        <v>2857</v>
      </c>
      <c r="D607" s="5" t="s">
        <v>33</v>
      </c>
      <c r="E607" s="7" t="s">
        <v>2858</v>
      </c>
      <c r="F607" s="7" t="s">
        <v>2859</v>
      </c>
      <c r="G607" s="7" t="s">
        <v>107</v>
      </c>
      <c r="H607" s="8">
        <v>1214351.32</v>
      </c>
      <c r="I607" s="7" t="s">
        <v>73</v>
      </c>
      <c r="J607" s="5" t="s">
        <v>74</v>
      </c>
      <c r="K607" s="7" t="s">
        <v>2860</v>
      </c>
      <c r="L607" s="9" t="s">
        <v>2861</v>
      </c>
      <c r="M607" s="10">
        <v>45322</v>
      </c>
      <c r="N607" s="7" t="s">
        <v>82</v>
      </c>
      <c r="O607" s="7" t="s">
        <v>419</v>
      </c>
      <c r="P607" s="7"/>
      <c r="Q607" s="40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 t="e">
        <f t="shared" si="45"/>
        <v>#DIV/0!</v>
      </c>
      <c r="AG607" s="11" t="e">
        <f t="shared" si="46"/>
        <v>#DIV/0!</v>
      </c>
    </row>
    <row r="608" spans="2:33" ht="25.5" x14ac:dyDescent="0.25">
      <c r="B608" s="5">
        <v>602</v>
      </c>
      <c r="C608" s="16" t="s">
        <v>2862</v>
      </c>
      <c r="D608" s="5" t="s">
        <v>33</v>
      </c>
      <c r="E608" s="5" t="s">
        <v>2863</v>
      </c>
      <c r="F608" s="5" t="s">
        <v>2864</v>
      </c>
      <c r="G608" s="7" t="s">
        <v>36</v>
      </c>
      <c r="H608" s="17">
        <v>2500000</v>
      </c>
      <c r="I608" s="7" t="s">
        <v>73</v>
      </c>
      <c r="J608" s="5" t="s">
        <v>74</v>
      </c>
      <c r="K608" s="5" t="s">
        <v>2865</v>
      </c>
      <c r="L608" s="9" t="s">
        <v>2866</v>
      </c>
      <c r="M608" s="10">
        <v>45322</v>
      </c>
      <c r="N608" s="7" t="s">
        <v>82</v>
      </c>
      <c r="O608" s="7" t="s">
        <v>845</v>
      </c>
      <c r="P608" s="7"/>
      <c r="Q608" s="40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 t="e">
        <f t="shared" si="45"/>
        <v>#DIV/0!</v>
      </c>
      <c r="AG608" s="11" t="e">
        <f t="shared" si="46"/>
        <v>#DIV/0!</v>
      </c>
    </row>
    <row r="609" spans="2:33" ht="25.5" x14ac:dyDescent="0.25">
      <c r="B609" s="5">
        <v>603</v>
      </c>
      <c r="C609" s="6" t="s">
        <v>2867</v>
      </c>
      <c r="D609" s="5" t="s">
        <v>33</v>
      </c>
      <c r="E609" s="7" t="s">
        <v>2868</v>
      </c>
      <c r="F609" s="7" t="s">
        <v>2869</v>
      </c>
      <c r="G609" s="7" t="s">
        <v>36</v>
      </c>
      <c r="H609" s="8">
        <v>1149380</v>
      </c>
      <c r="I609" s="7" t="s">
        <v>73</v>
      </c>
      <c r="J609" s="5" t="s">
        <v>74</v>
      </c>
      <c r="K609" s="7" t="s">
        <v>2870</v>
      </c>
      <c r="L609" s="9" t="s">
        <v>2871</v>
      </c>
      <c r="M609" s="10">
        <v>45322</v>
      </c>
      <c r="N609" s="7" t="s">
        <v>41</v>
      </c>
      <c r="O609" s="7" t="s">
        <v>83</v>
      </c>
      <c r="P609" s="7" t="s">
        <v>2872</v>
      </c>
      <c r="Q609" s="40">
        <v>296</v>
      </c>
      <c r="R609" s="1"/>
      <c r="S609" s="1">
        <v>245</v>
      </c>
      <c r="T609" s="1"/>
      <c r="U609" s="1"/>
      <c r="V609" s="1"/>
      <c r="W609" s="1"/>
      <c r="X609" s="1"/>
      <c r="Y609" s="1"/>
      <c r="Z609" s="1"/>
      <c r="AA609" s="1"/>
      <c r="AB609" s="1"/>
      <c r="AC609" s="1">
        <v>219</v>
      </c>
      <c r="AD609" s="1"/>
      <c r="AE609" s="1">
        <f>COUNT(Q609:AD609)</f>
        <v>3</v>
      </c>
      <c r="AF609" s="1">
        <f t="shared" si="45"/>
        <v>253.33333333333334</v>
      </c>
      <c r="AG609" s="11" t="str">
        <f t="shared" si="46"/>
        <v>APROVADO</v>
      </c>
    </row>
    <row r="610" spans="2:33" ht="25.5" x14ac:dyDescent="0.25">
      <c r="B610" s="5">
        <v>604</v>
      </c>
      <c r="C610" s="16" t="s">
        <v>2873</v>
      </c>
      <c r="D610" s="5" t="s">
        <v>33</v>
      </c>
      <c r="E610" s="7" t="s">
        <v>2868</v>
      </c>
      <c r="F610" s="7" t="s">
        <v>2874</v>
      </c>
      <c r="G610" s="7" t="s">
        <v>107</v>
      </c>
      <c r="H610" s="8">
        <v>2034120</v>
      </c>
      <c r="I610" s="7" t="s">
        <v>73</v>
      </c>
      <c r="J610" s="5" t="s">
        <v>74</v>
      </c>
      <c r="K610" s="7" t="s">
        <v>2870</v>
      </c>
      <c r="L610" s="9" t="s">
        <v>2871</v>
      </c>
      <c r="M610" s="10">
        <v>45322</v>
      </c>
      <c r="N610" s="7" t="s">
        <v>226</v>
      </c>
      <c r="O610" s="7" t="s">
        <v>2875</v>
      </c>
      <c r="P610" s="7" t="s">
        <v>2876</v>
      </c>
      <c r="Q610" s="40"/>
      <c r="R610" s="1"/>
      <c r="S610" s="1"/>
      <c r="T610" s="1"/>
      <c r="U610" s="1"/>
      <c r="V610" s="1"/>
      <c r="W610" s="1"/>
      <c r="X610" s="1"/>
      <c r="Y610" s="1"/>
      <c r="Z610" s="1">
        <v>0</v>
      </c>
      <c r="AA610" s="1"/>
      <c r="AB610" s="1"/>
      <c r="AC610" s="1"/>
      <c r="AD610" s="1"/>
      <c r="AE610" s="1"/>
      <c r="AF610" s="1">
        <f t="shared" si="45"/>
        <v>0</v>
      </c>
      <c r="AG610" s="11" t="str">
        <f t="shared" si="46"/>
        <v>REPROVADO</v>
      </c>
    </row>
    <row r="611" spans="2:33" ht="25.5" x14ac:dyDescent="0.25">
      <c r="B611" s="5">
        <v>605</v>
      </c>
      <c r="C611" s="6" t="s">
        <v>2877</v>
      </c>
      <c r="D611" s="5" t="s">
        <v>33</v>
      </c>
      <c r="E611" s="7" t="s">
        <v>2868</v>
      </c>
      <c r="F611" s="7" t="s">
        <v>2878</v>
      </c>
      <c r="G611" s="7" t="s">
        <v>336</v>
      </c>
      <c r="H611" s="8">
        <v>1422430</v>
      </c>
      <c r="I611" s="7" t="s">
        <v>73</v>
      </c>
      <c r="J611" s="5" t="s">
        <v>74</v>
      </c>
      <c r="K611" s="7" t="s">
        <v>2870</v>
      </c>
      <c r="L611" s="9" t="s">
        <v>2871</v>
      </c>
      <c r="M611" s="10">
        <v>45322</v>
      </c>
      <c r="N611" s="7" t="s">
        <v>41</v>
      </c>
      <c r="O611" s="7" t="s">
        <v>83</v>
      </c>
      <c r="P611" s="7" t="s">
        <v>2872</v>
      </c>
      <c r="Q611" s="40">
        <v>273</v>
      </c>
      <c r="R611" s="1"/>
      <c r="S611" s="1">
        <v>260</v>
      </c>
      <c r="T611" s="1"/>
      <c r="U611" s="1"/>
      <c r="V611" s="1"/>
      <c r="W611" s="1"/>
      <c r="X611" s="1"/>
      <c r="Y611" s="1"/>
      <c r="Z611" s="1"/>
      <c r="AA611" s="1"/>
      <c r="AB611" s="1"/>
      <c r="AC611" s="1">
        <v>224</v>
      </c>
      <c r="AD611" s="1"/>
      <c r="AE611" s="1">
        <f>COUNT(Q611:AD611)</f>
        <v>3</v>
      </c>
      <c r="AF611" s="1">
        <f t="shared" si="45"/>
        <v>252.33333333333334</v>
      </c>
      <c r="AG611" s="11" t="str">
        <f t="shared" si="46"/>
        <v>APROVADO</v>
      </c>
    </row>
    <row r="612" spans="2:33" x14ac:dyDescent="0.25">
      <c r="B612" s="5">
        <v>606</v>
      </c>
      <c r="C612" s="16" t="s">
        <v>2879</v>
      </c>
      <c r="D612" s="5" t="s">
        <v>51</v>
      </c>
      <c r="E612" s="7" t="s">
        <v>2880</v>
      </c>
      <c r="F612" s="7" t="s">
        <v>2881</v>
      </c>
      <c r="G612" s="7" t="s">
        <v>36</v>
      </c>
      <c r="H612" s="28">
        <v>91992</v>
      </c>
      <c r="I612" s="7" t="s">
        <v>585</v>
      </c>
      <c r="J612" s="11" t="s">
        <v>38</v>
      </c>
      <c r="K612" s="7" t="s">
        <v>2882</v>
      </c>
      <c r="L612" s="7" t="s">
        <v>2883</v>
      </c>
      <c r="M612" s="26">
        <v>45322</v>
      </c>
      <c r="N612" s="7" t="s">
        <v>82</v>
      </c>
      <c r="O612" s="14" t="s">
        <v>83</v>
      </c>
      <c r="P612" s="1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0"/>
      <c r="AD612" s="20"/>
      <c r="AE612" s="20"/>
      <c r="AF612" s="1" t="e">
        <f t="shared" si="45"/>
        <v>#DIV/0!</v>
      </c>
      <c r="AG612" s="11" t="e">
        <f t="shared" si="46"/>
        <v>#DIV/0!</v>
      </c>
    </row>
    <row r="613" spans="2:33" x14ac:dyDescent="0.25">
      <c r="B613" s="5">
        <v>607</v>
      </c>
      <c r="C613" s="16" t="s">
        <v>2884</v>
      </c>
      <c r="D613" s="5" t="s">
        <v>51</v>
      </c>
      <c r="E613" s="7" t="s">
        <v>2880</v>
      </c>
      <c r="F613" s="7" t="s">
        <v>2885</v>
      </c>
      <c r="G613" s="7" t="s">
        <v>72</v>
      </c>
      <c r="H613" s="28">
        <v>184320</v>
      </c>
      <c r="I613" s="7" t="s">
        <v>585</v>
      </c>
      <c r="J613" s="11" t="s">
        <v>38</v>
      </c>
      <c r="K613" s="7" t="s">
        <v>2882</v>
      </c>
      <c r="L613" s="7" t="s">
        <v>2883</v>
      </c>
      <c r="M613" s="26">
        <v>45322</v>
      </c>
      <c r="N613" s="7" t="s">
        <v>82</v>
      </c>
      <c r="O613" s="14" t="s">
        <v>83</v>
      </c>
      <c r="P613" s="1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0"/>
      <c r="AD613" s="20"/>
      <c r="AE613" s="20"/>
      <c r="AF613" s="1" t="e">
        <f t="shared" si="45"/>
        <v>#DIV/0!</v>
      </c>
      <c r="AG613" s="11" t="e">
        <f t="shared" si="46"/>
        <v>#DIV/0!</v>
      </c>
    </row>
    <row r="614" spans="2:33" x14ac:dyDescent="0.25">
      <c r="B614" s="5">
        <v>608</v>
      </c>
      <c r="C614" s="16" t="s">
        <v>2886</v>
      </c>
      <c r="D614" s="5" t="s">
        <v>51</v>
      </c>
      <c r="E614" s="7" t="s">
        <v>2880</v>
      </c>
      <c r="F614" s="7" t="s">
        <v>2887</v>
      </c>
      <c r="G614" s="7" t="s">
        <v>36</v>
      </c>
      <c r="H614" s="28">
        <v>303333.33</v>
      </c>
      <c r="I614" s="7" t="s">
        <v>585</v>
      </c>
      <c r="J614" s="11" t="s">
        <v>38</v>
      </c>
      <c r="K614" s="7" t="s">
        <v>2882</v>
      </c>
      <c r="L614" s="7" t="s">
        <v>2883</v>
      </c>
      <c r="M614" s="26">
        <v>45322</v>
      </c>
      <c r="N614" s="7" t="s">
        <v>82</v>
      </c>
      <c r="O614" s="14" t="s">
        <v>83</v>
      </c>
      <c r="P614" s="14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0"/>
      <c r="AD614" s="20"/>
      <c r="AE614" s="20"/>
      <c r="AF614" s="1" t="e">
        <f t="shared" si="45"/>
        <v>#DIV/0!</v>
      </c>
      <c r="AG614" s="11" t="e">
        <f t="shared" si="46"/>
        <v>#DIV/0!</v>
      </c>
    </row>
    <row r="615" spans="2:33" ht="25.5" x14ac:dyDescent="0.25">
      <c r="B615" s="5">
        <v>609</v>
      </c>
      <c r="C615" s="6" t="s">
        <v>2888</v>
      </c>
      <c r="D615" s="5" t="s">
        <v>33</v>
      </c>
      <c r="E615" s="5" t="s">
        <v>2889</v>
      </c>
      <c r="F615" s="5" t="s">
        <v>2890</v>
      </c>
      <c r="G615" s="7" t="s">
        <v>336</v>
      </c>
      <c r="H615" s="17">
        <v>399300</v>
      </c>
      <c r="I615" s="7" t="s">
        <v>73</v>
      </c>
      <c r="J615" s="5" t="s">
        <v>74</v>
      </c>
      <c r="K615" s="5" t="s">
        <v>2891</v>
      </c>
      <c r="L615" s="52" t="s">
        <v>2892</v>
      </c>
      <c r="M615" s="10">
        <v>45322</v>
      </c>
      <c r="N615" s="5" t="s">
        <v>67</v>
      </c>
      <c r="O615" s="7" t="s">
        <v>89</v>
      </c>
      <c r="P615" s="7" t="s">
        <v>90</v>
      </c>
      <c r="Q615" s="39">
        <v>286</v>
      </c>
      <c r="R615" s="1"/>
      <c r="S615" s="1"/>
      <c r="T615" s="1"/>
      <c r="U615" s="1"/>
      <c r="V615" s="1">
        <v>289</v>
      </c>
      <c r="W615" s="1">
        <v>273</v>
      </c>
      <c r="X615" s="1"/>
      <c r="Y615" s="1"/>
      <c r="Z615" s="1"/>
      <c r="AA615" s="1"/>
      <c r="AB615" s="1"/>
      <c r="AC615" s="1"/>
      <c r="AD615" s="1"/>
      <c r="AE615" s="1">
        <f>COUNT(Q615:AD615)</f>
        <v>3</v>
      </c>
      <c r="AF615" s="1">
        <f t="shared" si="45"/>
        <v>282.66666666666669</v>
      </c>
      <c r="AG615" s="11" t="str">
        <f t="shared" si="46"/>
        <v>APROVADO</v>
      </c>
    </row>
    <row r="616" spans="2:33" ht="25.5" x14ac:dyDescent="0.25">
      <c r="B616" s="5">
        <v>610</v>
      </c>
      <c r="C616" s="16" t="s">
        <v>2893</v>
      </c>
      <c r="D616" s="5" t="s">
        <v>33</v>
      </c>
      <c r="E616" s="5" t="s">
        <v>2894</v>
      </c>
      <c r="F616" s="5" t="s">
        <v>521</v>
      </c>
      <c r="G616" s="7" t="s">
        <v>107</v>
      </c>
      <c r="H616" s="8">
        <v>630000</v>
      </c>
      <c r="I616" s="7" t="s">
        <v>73</v>
      </c>
      <c r="J616" s="5" t="s">
        <v>74</v>
      </c>
      <c r="K616" s="7" t="s">
        <v>522</v>
      </c>
      <c r="L616" s="9" t="s">
        <v>523</v>
      </c>
      <c r="M616" s="10">
        <v>45322</v>
      </c>
      <c r="N616" s="7" t="s">
        <v>82</v>
      </c>
      <c r="O616" s="7" t="s">
        <v>2895</v>
      </c>
      <c r="P616" s="7" t="s">
        <v>2896</v>
      </c>
      <c r="Q616" s="40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 t="e">
        <f t="shared" si="45"/>
        <v>#DIV/0!</v>
      </c>
      <c r="AG616" s="11" t="e">
        <f t="shared" si="46"/>
        <v>#DIV/0!</v>
      </c>
    </row>
    <row r="617" spans="2:33" ht="25.5" x14ac:dyDescent="0.25">
      <c r="B617" s="5">
        <v>611</v>
      </c>
      <c r="C617" s="16" t="s">
        <v>2897</v>
      </c>
      <c r="D617" s="5" t="s">
        <v>33</v>
      </c>
      <c r="E617" s="5" t="s">
        <v>2894</v>
      </c>
      <c r="F617" s="5" t="s">
        <v>2898</v>
      </c>
      <c r="G617" s="7" t="s">
        <v>36</v>
      </c>
      <c r="H617" s="17">
        <v>950000</v>
      </c>
      <c r="I617" s="7" t="s">
        <v>73</v>
      </c>
      <c r="J617" s="5" t="s">
        <v>74</v>
      </c>
      <c r="K617" s="5" t="s">
        <v>522</v>
      </c>
      <c r="L617" s="9" t="s">
        <v>523</v>
      </c>
      <c r="M617" s="10">
        <v>45322</v>
      </c>
      <c r="N617" s="7" t="s">
        <v>82</v>
      </c>
      <c r="O617" s="7" t="s">
        <v>845</v>
      </c>
      <c r="P617" s="7"/>
      <c r="Q617" s="40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 t="e">
        <f t="shared" si="45"/>
        <v>#DIV/0!</v>
      </c>
      <c r="AG617" s="11" t="e">
        <f t="shared" si="46"/>
        <v>#DIV/0!</v>
      </c>
    </row>
    <row r="618" spans="2:33" ht="51" x14ac:dyDescent="0.25">
      <c r="B618" s="5">
        <v>612</v>
      </c>
      <c r="C618" s="16" t="s">
        <v>2899</v>
      </c>
      <c r="D618" s="5" t="s">
        <v>33</v>
      </c>
      <c r="E618" s="7" t="s">
        <v>2900</v>
      </c>
      <c r="F618" s="7" t="s">
        <v>2901</v>
      </c>
      <c r="G618" s="7" t="s">
        <v>36</v>
      </c>
      <c r="H618" s="8">
        <v>0</v>
      </c>
      <c r="I618" s="7" t="s">
        <v>73</v>
      </c>
      <c r="J618" s="5" t="s">
        <v>74</v>
      </c>
      <c r="K618" s="7" t="s">
        <v>2902</v>
      </c>
      <c r="L618" s="9" t="s">
        <v>2903</v>
      </c>
      <c r="M618" s="10">
        <v>45322</v>
      </c>
      <c r="N618" s="7" t="s">
        <v>82</v>
      </c>
      <c r="O618" s="7" t="s">
        <v>83</v>
      </c>
      <c r="P618" s="7" t="s">
        <v>626</v>
      </c>
      <c r="Q618" s="40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 t="e">
        <f t="shared" si="45"/>
        <v>#DIV/0!</v>
      </c>
      <c r="AG618" s="11" t="e">
        <f t="shared" si="46"/>
        <v>#DIV/0!</v>
      </c>
    </row>
    <row r="619" spans="2:33" x14ac:dyDescent="0.25">
      <c r="AD619" t="s">
        <v>2904</v>
      </c>
      <c r="AG619"/>
    </row>
  </sheetData>
  <autoFilter ref="B4:AG619" xr:uid="{4236D1EC-F48A-4690-BC1C-BCC1124A5676}"/>
  <mergeCells count="2">
    <mergeCell ref="B2:AF2"/>
    <mergeCell ref="B3:AG3"/>
  </mergeCells>
  <hyperlinks>
    <hyperlink ref="I77" r:id="rId1" display="professorsanioto@gmail.com" xr:uid="{64EFF7DF-A52D-4B17-91FD-E89D2F7DDB7C}"/>
    <hyperlink ref="I179" r:id="rId2" display="Isvp.manduri@hotmail.com" xr:uid="{91A0650D-6691-4061-A09E-BF01BEB4E134}"/>
    <hyperlink ref="I273" r:id="rId3" display="arcoirirs01.grupo21@terra.com.br" xr:uid="{6D1B1D84-423C-461F-98A8-AE49DC6F8DEA}"/>
    <hyperlink ref="L615" r:id="rId4" xr:uid="{13087AD5-F060-447F-8AD4-AA4A54455C05}"/>
    <hyperlink ref="L553" r:id="rId5" xr:uid="{C82D8308-9195-4DD8-80D2-1BC131BCAA49}"/>
    <hyperlink ref="L550" r:id="rId6" xr:uid="{AE1C5325-4E52-492E-9216-EEBF5BCB345C}"/>
    <hyperlink ref="L130" r:id="rId7" xr:uid="{9B733499-8B65-475A-8B40-91E6CD7B3A9C}"/>
    <hyperlink ref="L216" r:id="rId8" xr:uid="{D5D1D829-7A57-400C-9C07-19923654F568}"/>
    <hyperlink ref="L217" r:id="rId9" xr:uid="{71AAB5F1-CF08-42BF-A5CA-C7E305ADE49E}"/>
    <hyperlink ref="L305" r:id="rId10" xr:uid="{A3C2F2B3-8F58-4191-9F81-27FE0E684B99}"/>
    <hyperlink ref="L177" r:id="rId11" xr:uid="{2A1FFA96-33F0-4986-8706-514323CD3E8E}"/>
    <hyperlink ref="L346" r:id="rId12" xr:uid="{61A3E3F2-6425-4C28-811A-5CF8FAF438DF}"/>
    <hyperlink ref="L474" r:id="rId13" xr:uid="{3FE065F9-567C-47B2-B945-428D57FC653F}"/>
    <hyperlink ref="L396" r:id="rId14" xr:uid="{CB89CCED-4493-43AB-85F2-494A6F57D505}"/>
    <hyperlink ref="L481" r:id="rId15" xr:uid="{FD91AB35-85B5-4EA8-911C-E35A0AA6BD23}"/>
    <hyperlink ref="L518" r:id="rId16" xr:uid="{10CB7146-68FB-4508-A2D2-882635AD4C74}"/>
    <hyperlink ref="L532" r:id="rId17" xr:uid="{37EEFE1E-CFAA-4076-8447-9E957FC76501}"/>
    <hyperlink ref="L80" r:id="rId18" xr:uid="{29E023C5-77C0-4941-AF48-EF45BA0845EC}"/>
    <hyperlink ref="L219" r:id="rId19" xr:uid="{E9BFF525-1D6D-43A2-BC5A-BA7B6F20CC18}"/>
    <hyperlink ref="L206" r:id="rId20" xr:uid="{FCBB0D1A-3BBA-43F5-9BC3-2C1197CC6782}"/>
    <hyperlink ref="L250" r:id="rId21" xr:uid="{1975CE63-F90F-468B-A210-E196D1CCBD5C}"/>
    <hyperlink ref="L244" r:id="rId22" xr:uid="{8DD6CCF6-0DA5-487D-88D2-5EC9F3B38A11}"/>
    <hyperlink ref="L247" r:id="rId23" xr:uid="{B0088F3D-F5CF-481D-AEA0-5B4A7BA169D6}"/>
    <hyperlink ref="L253" r:id="rId24" xr:uid="{A8E6EC8E-526F-4F04-9006-B6D8CDFA4D03}"/>
    <hyperlink ref="L254" r:id="rId25" xr:uid="{29F9EBD4-61BF-43AA-B026-EA93B3EA8D9B}"/>
    <hyperlink ref="L257" r:id="rId26" xr:uid="{EF9488BC-CEA9-4AD0-9710-872E62263B27}"/>
    <hyperlink ref="L260" r:id="rId27" xr:uid="{7DEBA011-CA65-49F3-B544-3E1018F8A2D7}"/>
    <hyperlink ref="L256" r:id="rId28" xr:uid="{B0C14781-6B6D-475A-A605-7FD81FC7588B}"/>
    <hyperlink ref="L255" r:id="rId29" xr:uid="{CE673D00-DBEF-42A4-A5DE-920075E61EA1}"/>
    <hyperlink ref="L258" r:id="rId30" xr:uid="{C78E210A-042F-4D64-88D0-DFA22368C02A}"/>
    <hyperlink ref="L286" r:id="rId31" xr:uid="{2AD2EC1B-757C-4320-8588-D56AA3679B08}"/>
    <hyperlink ref="L259" r:id="rId32" xr:uid="{7843CE45-4223-4687-97F7-DDB2D01DF5D5}"/>
    <hyperlink ref="L249" r:id="rId33" xr:uid="{B6D36D5E-1635-4EE7-9217-06E675C3C67A}"/>
    <hyperlink ref="L375" r:id="rId34" xr:uid="{2544DD4E-4A75-4184-AADB-0C4A27099412}"/>
    <hyperlink ref="L372" r:id="rId35" xr:uid="{9D67CB46-8297-4D1B-86C0-79A8A24B3B75}"/>
    <hyperlink ref="L363" r:id="rId36" xr:uid="{F55CEF0A-DB65-44CF-A975-139D916BF693}"/>
    <hyperlink ref="L369" r:id="rId37" xr:uid="{E5C49C91-D7D8-4AA0-9897-B025996FF972}"/>
    <hyperlink ref="L364" r:id="rId38" xr:uid="{69B1B272-C745-47BA-8456-73CEDFCDD142}"/>
    <hyperlink ref="L321" r:id="rId39" xr:uid="{E531A400-5035-4534-AA76-C7B4BBB7B957}"/>
    <hyperlink ref="L310" r:id="rId40" xr:uid="{1C8A3667-D42C-4A5E-B3D9-FA6FCAD77E15}"/>
    <hyperlink ref="L312" r:id="rId41" xr:uid="{0BCF95F9-1560-4068-8296-E5E8AB60CD4B}"/>
    <hyperlink ref="L295" r:id="rId42" xr:uid="{E6F80A0E-C14E-4184-8E4A-8482828F1EB2}"/>
    <hyperlink ref="L347" r:id="rId43" xr:uid="{A7E4283C-5CBD-453D-9D0A-0B972609FBE5}"/>
    <hyperlink ref="L361" r:id="rId44" xr:uid="{F64B7728-ED2E-4B13-8BB2-5837CA1B8853}"/>
    <hyperlink ref="L338" r:id="rId45" xr:uid="{1E245C8F-6341-4C43-91AF-D7F999C92B0D}"/>
    <hyperlink ref="L340" r:id="rId46" xr:uid="{A6CFD78F-163F-4C9A-8244-65960C54ED33}"/>
    <hyperlink ref="L524" r:id="rId47" xr:uid="{53202C48-6FD2-42DF-B9AB-A9E69E1A45AC}"/>
    <hyperlink ref="L525" r:id="rId48" xr:uid="{20640D64-C777-4BBF-A706-164C5D0F9059}"/>
    <hyperlink ref="L526" r:id="rId49" xr:uid="{3A40E1A9-9FDB-4A50-A780-8316F9B62624}"/>
    <hyperlink ref="L528" r:id="rId50" xr:uid="{A8E5F7F8-6F30-48F8-807F-B405A1228F69}"/>
    <hyperlink ref="L519" r:id="rId51" xr:uid="{8E59DB16-458F-440E-9700-A5A339CEA2AF}"/>
    <hyperlink ref="L514" r:id="rId52" xr:uid="{0B620735-730A-4AD8-B7D0-89E475F8C907}"/>
    <hyperlink ref="L515" r:id="rId53" xr:uid="{BB31FC8B-B3B1-42C4-B50D-0791A3538B2C}"/>
    <hyperlink ref="L552:L553" r:id="rId54" display="captaoderecursos@sorocaba.sp.gov.br" xr:uid="{347B1ABF-0EF6-44BD-863E-87D4678063DA}"/>
    <hyperlink ref="L503" r:id="rId55" xr:uid="{73B25E43-6990-4801-B660-470E2E9B7DD9}"/>
    <hyperlink ref="L497" r:id="rId56" xr:uid="{D97F6164-2831-4DFF-B3CC-3217EADC21C3}"/>
    <hyperlink ref="L506" r:id="rId57" xr:uid="{BD783789-C537-4A2E-A156-8DBAB0F35EA1}"/>
    <hyperlink ref="L484" r:id="rId58" xr:uid="{6477B8C0-AE6E-4F7E-8101-6D3049BD7F5C}"/>
    <hyperlink ref="L489" r:id="rId59" xr:uid="{B40E8CA1-032E-4761-A681-AA4D8ED4239E}"/>
    <hyperlink ref="L477" r:id="rId60" xr:uid="{D272E2F6-1846-45D5-AC1B-6B33A9D02577}"/>
    <hyperlink ref="L480" r:id="rId61" xr:uid="{7DA59E51-F1A6-4418-89A1-F52B68C5938B}"/>
    <hyperlink ref="L476" r:id="rId62" xr:uid="{2CF6200C-65C5-47BD-8AF1-D14505418700}"/>
    <hyperlink ref="L482" r:id="rId63" xr:uid="{61755887-B2CA-4C13-9883-C9D1A2E75E8F}"/>
    <hyperlink ref="L485" r:id="rId64" xr:uid="{36BB8D4B-E0AE-43F1-850D-B6FCE101DFCE}"/>
    <hyperlink ref="L488" r:id="rId65" xr:uid="{BA5EFF0A-84BC-4E02-A82D-8C663C785DAF}"/>
    <hyperlink ref="L490" r:id="rId66" xr:uid="{FCCF6DC8-B125-406B-81E6-556498192E83}"/>
    <hyperlink ref="L403" r:id="rId67" xr:uid="{3D0658D5-8BB7-4AF6-AE9D-51968D450086}"/>
    <hyperlink ref="L397" r:id="rId68" xr:uid="{E15960E9-1725-4F8F-9918-67FCFCCA6901}"/>
    <hyperlink ref="L427" r:id="rId69" xr:uid="{5D00C044-922E-45E7-A057-7E100365AF56}"/>
    <hyperlink ref="L575:L576" r:id="rId70" display="sepedi.departamentoidoso@saosebastiao.sp.gov.br" xr:uid="{038DBA9A-BC0A-4620-946A-71F82921D66D}"/>
    <hyperlink ref="L425" r:id="rId71" xr:uid="{8F3E3914-BA24-41BE-8BC0-F0FC084CD4B7}"/>
    <hyperlink ref="L382" r:id="rId72" xr:uid="{84C48EF1-E893-460F-8829-C966F96F86E6}"/>
    <hyperlink ref="L387" r:id="rId73" xr:uid="{F971481A-0231-4B72-A294-6B4480874313}"/>
    <hyperlink ref="L384" r:id="rId74" xr:uid="{A3AC6A51-18F3-47FF-8BB9-545D333889A2}"/>
    <hyperlink ref="L385" r:id="rId75" xr:uid="{3FF09F7E-6834-459E-825C-14363081A6B6}"/>
    <hyperlink ref="L383" r:id="rId76" xr:uid="{5F2B3926-790D-46BB-8023-E66DC25C9C17}"/>
    <hyperlink ref="L389" r:id="rId77" xr:uid="{9BDCD26F-B20C-48D9-A8CF-DFD354FF392B}"/>
    <hyperlink ref="L529" r:id="rId78" xr:uid="{C5900E50-945F-4E46-945B-38460826FFBD}"/>
    <hyperlink ref="L463" r:id="rId79" xr:uid="{8F9637F3-D693-4B66-93DB-D72839479163}"/>
    <hyperlink ref="L438" r:id="rId80" xr:uid="{8BE01693-067C-4B08-8AF0-4650A222666B}"/>
    <hyperlink ref="L430" r:id="rId81" xr:uid="{5C35E3BD-DE5B-4384-9872-78B769E3CF77}"/>
    <hyperlink ref="L602" r:id="rId82" xr:uid="{BD363095-AD29-4846-AFB6-8C995BD5F81C}"/>
    <hyperlink ref="L571" r:id="rId83" xr:uid="{48591AD9-BD12-423E-84DB-CE6DFA7EEE26}"/>
    <hyperlink ref="L458" r:id="rId84" xr:uid="{C757700F-81C1-4612-B98B-6E348FF61D3A}"/>
    <hyperlink ref="L456" r:id="rId85" xr:uid="{117A254E-34DE-4B8B-95A9-B6CCB9DBDF43}"/>
    <hyperlink ref="L457" r:id="rId86" xr:uid="{8B060C80-5015-4F7C-8E79-8F0B5E0F4672}"/>
    <hyperlink ref="L451" r:id="rId87" xr:uid="{5EA264D8-BBE2-4CA0-AF51-A15D6E957B7F}"/>
    <hyperlink ref="L415" r:id="rId88" xr:uid="{1511DC05-B7F3-4DDF-A34A-DCEAEEB0920A}"/>
    <hyperlink ref="L408" r:id="rId89" xr:uid="{4448CC22-BFF1-402F-B48E-86556CCAE2ED}"/>
    <hyperlink ref="L464" r:id="rId90" xr:uid="{FD84E7C2-2DB0-4AB8-9C77-6BA6AAAC0ADA}"/>
    <hyperlink ref="L251" r:id="rId91" xr:uid="{7D99F46F-4B31-46EF-9B62-B694E90E0D91}"/>
    <hyperlink ref="L38" r:id="rId92" xr:uid="{12DDDB16-40C1-453F-8CF8-275C9274DFD6}"/>
    <hyperlink ref="L359" r:id="rId93" xr:uid="{DA9A2F8F-9A88-4B16-B21F-559E19BDAAA3}"/>
    <hyperlink ref="L78" r:id="rId94" xr:uid="{5F8EC62E-DA1C-4B42-B6C8-6DD6B97392B9}"/>
    <hyperlink ref="L245" r:id="rId95" xr:uid="{DCAADB37-A64C-4645-8290-39EE8886F817}"/>
    <hyperlink ref="L282" r:id="rId96" xr:uid="{A30862F7-6254-418D-AB5C-886C43614524}"/>
    <hyperlink ref="L527" r:id="rId97" xr:uid="{28B2A384-BBD5-4D17-A081-6C42176E6B8E}"/>
    <hyperlink ref="L170" r:id="rId98" display="mailto:gabinete@tejupa.sp.gov.br" xr:uid="{29BB1239-5EF2-449D-9A3C-4095517DF057}"/>
    <hyperlink ref="L574" r:id="rId99" xr:uid="{78440E74-2D5D-4530-BA7E-48A4BA50EAC5}"/>
    <hyperlink ref="L605:L606" r:id="rId100" display="sads@francodarocha.sp.gov.br" xr:uid="{A3D51747-C481-48EE-93B0-15A93D9D69A4}"/>
    <hyperlink ref="L436" r:id="rId101" xr:uid="{32696501-8C67-4AD5-81B8-B8A06DD6D271}"/>
    <hyperlink ref="L492" r:id="rId102" xr:uid="{23B1E2CE-1C3A-4443-AE38-F3054BE10CCD}"/>
    <hyperlink ref="L469" r:id="rId103" xr:uid="{B9B6BC13-19D6-46A4-B8E1-DF346F54826D}"/>
    <hyperlink ref="L467" r:id="rId104" xr:uid="{E189A010-FCE2-42F0-8008-E86014A2B84D}"/>
    <hyperlink ref="L468" r:id="rId105" xr:uid="{58AA925A-2DED-4DA5-A0A1-2CF573E55634}"/>
    <hyperlink ref="L435" r:id="rId106" xr:uid="{84511719-76A9-4AAB-8AC0-2ACF05826334}"/>
    <hyperlink ref="L471" r:id="rId107" xr:uid="{FE9C001A-8FDB-40FB-955E-81B77F5F093B}"/>
    <hyperlink ref="L495" r:id="rId108" xr:uid="{A39D7B45-1F46-43EB-9FD1-598EBE8FE446}"/>
    <hyperlink ref="L322" r:id="rId109" xr:uid="{24BAB350-3EE6-4EA5-8880-ABB15BCEBCE3}"/>
    <hyperlink ref="L241" r:id="rId110" xr:uid="{4152C42B-4F2B-4E9F-8118-FA6EC8AC1341}"/>
    <hyperlink ref="L242" r:id="rId111" xr:uid="{4D6D0D78-D0A8-4A14-9F00-7CD6F491C843}"/>
    <hyperlink ref="L366" r:id="rId112" xr:uid="{CB074AF9-4DD1-433D-9CDA-24EF9D8DD437}"/>
    <hyperlink ref="L367" r:id="rId113" xr:uid="{3D18477E-21C5-49C9-9979-B0246DC1AD29}"/>
    <hyperlink ref="L362" r:id="rId114" xr:uid="{A8C89701-2E5C-4483-B1F8-9AB825D11156}"/>
    <hyperlink ref="L281" r:id="rId115" xr:uid="{4CB54EB4-B8AF-4811-B5DF-CE87192DDA98}"/>
    <hyperlink ref="L613" r:id="rId116" xr:uid="{247711FA-4AF5-47F1-BC54-D33B11063253}"/>
    <hyperlink ref="L614" r:id="rId117" xr:uid="{C8389946-637C-4D17-937C-B572E68CE016}"/>
    <hyperlink ref="L612" r:id="rId118" xr:uid="{CD243FE9-D19D-4C56-A6DD-545B5841A1B1}"/>
    <hyperlink ref="L437" r:id="rId119" xr:uid="{55F59B49-A1B5-405C-8607-30D079ADFD19}"/>
    <hyperlink ref="L296" r:id="rId120" xr:uid="{E46EFB42-A07C-42D8-8345-09B445986B55}"/>
    <hyperlink ref="L71" r:id="rId121" xr:uid="{8CDCBA19-1EA0-46BA-B81E-1D8A29DE5726}"/>
    <hyperlink ref="L169" r:id="rId122" xr:uid="{096E78BE-83B5-4756-B547-9779D488C0D0}"/>
    <hyperlink ref="L302" r:id="rId123" xr:uid="{14A26D09-56C3-460F-8806-054F0FE2DFAF}"/>
    <hyperlink ref="L185" r:id="rId124" xr:uid="{FBCF1CF7-8386-4D36-889D-48EAA713269E}"/>
    <hyperlink ref="L475" r:id="rId125" xr:uid="{02C651FB-5BC3-4A50-8E78-5D2D9B71A85F}"/>
    <hyperlink ref="L243" r:id="rId126" xr:uid="{BB133560-E921-48B7-9429-1EF965FDB212}"/>
    <hyperlink ref="L186" r:id="rId127" xr:uid="{8BAA9A50-85C7-48B7-8F1B-EFC7264BC39D}"/>
    <hyperlink ref="L200" r:id="rId128" xr:uid="{B4D95065-206C-4DDB-A809-2339EC99DEAA}"/>
    <hyperlink ref="L487" r:id="rId129" xr:uid="{CCEBC753-4460-4AF2-911B-9AC440D6FD2E}"/>
  </hyperlinks>
  <pageMargins left="0.15" right="0.13" top="0.18" bottom="0.2" header="0.17" footer="0.17"/>
  <pageSetup paperSize="9" orientation="landscape" horizontalDpi="300" verticalDpi="300" r:id="rId130"/>
  <drawing r:id="rId1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E9FD-6E65-4B9A-BF76-4A690DB58B1A}">
  <sheetPr filterMode="1"/>
  <dimension ref="B1:AF113"/>
  <sheetViews>
    <sheetView showGridLines="0" workbookViewId="0">
      <pane xSplit="1" ySplit="4" topLeftCell="B41" activePane="bottomRight" state="frozen"/>
      <selection pane="topRight" activeCell="C5" sqref="C5:C618"/>
      <selection pane="bottomLeft" activeCell="C5" sqref="C5:C618"/>
      <selection pane="bottomRight" activeCell="D89" sqref="D89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8" width="20.85546875" customWidth="1"/>
    <col min="9" max="9" width="23.42578125" customWidth="1"/>
    <col min="10" max="10" width="20.7109375" customWidth="1"/>
    <col min="11" max="11" width="34" customWidth="1"/>
    <col min="12" max="12" width="32.140625" customWidth="1"/>
    <col min="13" max="13" width="18.7109375" customWidth="1"/>
    <col min="14" max="14" width="20" customWidth="1"/>
    <col min="15" max="15" width="30.7109375" customWidth="1"/>
    <col min="16" max="16" width="32.140625" customWidth="1"/>
    <col min="17" max="17" width="13" customWidth="1"/>
    <col min="18" max="23" width="9.140625" customWidth="1"/>
    <col min="24" max="24" width="10" customWidth="1"/>
    <col min="25" max="31" width="9.140625" customWidth="1"/>
    <col min="32" max="32" width="13.85546875" style="2" customWidth="1"/>
    <col min="33" max="46" width="9.140625" customWidth="1"/>
  </cols>
  <sheetData>
    <row r="1" spans="2:32" x14ac:dyDescent="0.25">
      <c r="AF1" s="1">
        <v>204</v>
      </c>
    </row>
    <row r="2" spans="2:32" ht="84.75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</row>
    <row r="3" spans="2:32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spans="2:32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</row>
    <row r="5" spans="2:32" ht="25.5" hidden="1" x14ac:dyDescent="0.25">
      <c r="B5" s="5">
        <v>6</v>
      </c>
      <c r="C5" s="5" t="s">
        <v>77</v>
      </c>
      <c r="D5" s="5" t="s">
        <v>33</v>
      </c>
      <c r="E5" s="5" t="s">
        <v>78</v>
      </c>
      <c r="F5" s="5" t="s">
        <v>79</v>
      </c>
      <c r="G5" s="7" t="s">
        <v>36</v>
      </c>
      <c r="H5" s="17">
        <v>523070</v>
      </c>
      <c r="I5" s="5" t="s">
        <v>73</v>
      </c>
      <c r="J5" s="5" t="s">
        <v>74</v>
      </c>
      <c r="K5" s="5" t="s">
        <v>80</v>
      </c>
      <c r="L5" s="11" t="s">
        <v>81</v>
      </c>
      <c r="M5" s="10">
        <v>45288</v>
      </c>
      <c r="N5" s="7" t="s">
        <v>82</v>
      </c>
      <c r="O5" s="7" t="s">
        <v>2915</v>
      </c>
      <c r="P5" s="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 t="e">
        <f>AVERAGE(Q5:AD5)</f>
        <v>#DIV/0!</v>
      </c>
      <c r="AF5" s="11" t="e">
        <f>IF(AE5&gt;=$AF$1,"APROVADO","REPROVADO")</f>
        <v>#DIV/0!</v>
      </c>
    </row>
    <row r="6" spans="2:32" ht="26.25" hidden="1" customHeight="1" x14ac:dyDescent="0.25">
      <c r="B6" s="5">
        <v>21</v>
      </c>
      <c r="C6" s="5" t="s">
        <v>171</v>
      </c>
      <c r="D6" s="5" t="s">
        <v>33</v>
      </c>
      <c r="E6" s="5" t="s">
        <v>172</v>
      </c>
      <c r="F6" s="5" t="s">
        <v>173</v>
      </c>
      <c r="G6" s="5" t="s">
        <v>174</v>
      </c>
      <c r="H6" s="15">
        <v>192880.29</v>
      </c>
      <c r="I6" s="5" t="s">
        <v>175</v>
      </c>
      <c r="J6" s="5" t="s">
        <v>123</v>
      </c>
      <c r="K6" s="5" t="s">
        <v>176</v>
      </c>
      <c r="L6" s="9" t="s">
        <v>177</v>
      </c>
      <c r="M6" s="10">
        <v>45302</v>
      </c>
      <c r="N6" s="7" t="s">
        <v>82</v>
      </c>
      <c r="O6" s="7" t="s">
        <v>2915</v>
      </c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 t="e">
        <f>AVERAGE(Q6:AD6)</f>
        <v>#DIV/0!</v>
      </c>
      <c r="AF6" s="11" t="e">
        <f>IF(AE6&gt;=$AF$1,"APROVADO","REPROVADO")</f>
        <v>#DIV/0!</v>
      </c>
    </row>
    <row r="7" spans="2:32" ht="25.5" hidden="1" x14ac:dyDescent="0.25">
      <c r="B7" s="5">
        <v>32</v>
      </c>
      <c r="C7" s="5" t="s">
        <v>231</v>
      </c>
      <c r="D7" s="5" t="s">
        <v>51</v>
      </c>
      <c r="E7" s="7" t="s">
        <v>232</v>
      </c>
      <c r="F7" s="7" t="s">
        <v>233</v>
      </c>
      <c r="G7" s="7" t="s">
        <v>107</v>
      </c>
      <c r="H7" s="8">
        <v>344990</v>
      </c>
      <c r="I7" s="7" t="s">
        <v>234</v>
      </c>
      <c r="J7" s="7" t="s">
        <v>235</v>
      </c>
      <c r="K7" s="7" t="s">
        <v>236</v>
      </c>
      <c r="L7" s="13" t="s">
        <v>230</v>
      </c>
      <c r="M7" s="10">
        <v>45303</v>
      </c>
      <c r="N7" s="7" t="s">
        <v>82</v>
      </c>
      <c r="O7" s="7" t="s">
        <v>2915</v>
      </c>
      <c r="P7" s="2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 t="e">
        <f>AVERAGE(Q7:AD7)</f>
        <v>#DIV/0!</v>
      </c>
      <c r="AF7" s="11" t="e">
        <f>IF(AE7&gt;=$AF$1,"APROVADO","REPROVADO")</f>
        <v>#DIV/0!</v>
      </c>
    </row>
    <row r="8" spans="2:32" ht="25.5" hidden="1" x14ac:dyDescent="0.25">
      <c r="B8" s="5">
        <v>70</v>
      </c>
      <c r="C8" s="5" t="s">
        <v>417</v>
      </c>
      <c r="D8" s="5" t="s">
        <v>33</v>
      </c>
      <c r="E8" s="7" t="s">
        <v>411</v>
      </c>
      <c r="F8" s="7" t="s">
        <v>418</v>
      </c>
      <c r="G8" s="7" t="s">
        <v>36</v>
      </c>
      <c r="H8" s="8">
        <v>38337</v>
      </c>
      <c r="I8" s="7" t="s">
        <v>413</v>
      </c>
      <c r="J8" s="7" t="s">
        <v>47</v>
      </c>
      <c r="K8" s="7" t="s">
        <v>414</v>
      </c>
      <c r="L8" s="23" t="s">
        <v>415</v>
      </c>
      <c r="M8" s="10">
        <v>45306</v>
      </c>
      <c r="N8" s="7" t="s">
        <v>82</v>
      </c>
      <c r="O8" s="7" t="s">
        <v>419</v>
      </c>
      <c r="P8" s="7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 t="e">
        <f t="shared" ref="AE8:AE17" si="0">AVERAGE(Q8:AD8)</f>
        <v>#DIV/0!</v>
      </c>
      <c r="AF8" s="11" t="e">
        <f t="shared" ref="AF8:AF17" si="1">IF(AE8&gt;=$AF$1,"APROVADO","REPROVADO")</f>
        <v>#DIV/0!</v>
      </c>
    </row>
    <row r="9" spans="2:32" ht="25.5" hidden="1" x14ac:dyDescent="0.25">
      <c r="B9" s="5">
        <v>71</v>
      </c>
      <c r="C9" s="5" t="s">
        <v>420</v>
      </c>
      <c r="D9" s="5" t="s">
        <v>33</v>
      </c>
      <c r="E9" s="7" t="s">
        <v>411</v>
      </c>
      <c r="F9" s="7" t="s">
        <v>421</v>
      </c>
      <c r="G9" s="7" t="s">
        <v>36</v>
      </c>
      <c r="H9" s="8">
        <v>78212</v>
      </c>
      <c r="I9" s="7" t="s">
        <v>413</v>
      </c>
      <c r="J9" s="7" t="s">
        <v>47</v>
      </c>
      <c r="K9" s="7" t="s">
        <v>414</v>
      </c>
      <c r="L9" s="23" t="s">
        <v>415</v>
      </c>
      <c r="M9" s="10">
        <v>45306</v>
      </c>
      <c r="N9" s="7" t="s">
        <v>82</v>
      </c>
      <c r="O9" s="7" t="s">
        <v>419</v>
      </c>
      <c r="P9" s="7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e">
        <f t="shared" si="0"/>
        <v>#DIV/0!</v>
      </c>
      <c r="AF9" s="11" t="e">
        <f t="shared" si="1"/>
        <v>#DIV/0!</v>
      </c>
    </row>
    <row r="10" spans="2:32" ht="25.5" hidden="1" x14ac:dyDescent="0.25">
      <c r="B10" s="5">
        <v>82</v>
      </c>
      <c r="C10" s="5" t="s">
        <v>479</v>
      </c>
      <c r="D10" s="5" t="s">
        <v>33</v>
      </c>
      <c r="E10" s="7" t="s">
        <v>473</v>
      </c>
      <c r="F10" s="7" t="s">
        <v>480</v>
      </c>
      <c r="G10" s="7" t="s">
        <v>36</v>
      </c>
      <c r="H10" s="8">
        <v>10000</v>
      </c>
      <c r="I10" s="7" t="s">
        <v>475</v>
      </c>
      <c r="J10" s="7" t="s">
        <v>241</v>
      </c>
      <c r="K10" s="7" t="s">
        <v>476</v>
      </c>
      <c r="L10" s="9" t="s">
        <v>477</v>
      </c>
      <c r="M10" s="10">
        <v>45307</v>
      </c>
      <c r="N10" s="7" t="s">
        <v>82</v>
      </c>
      <c r="O10" s="7" t="s">
        <v>419</v>
      </c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e">
        <f t="shared" si="0"/>
        <v>#DIV/0!</v>
      </c>
      <c r="AF10" s="11" t="e">
        <f t="shared" si="1"/>
        <v>#DIV/0!</v>
      </c>
    </row>
    <row r="11" spans="2:32" ht="25.5" hidden="1" x14ac:dyDescent="0.25">
      <c r="B11" s="5">
        <v>83</v>
      </c>
      <c r="C11" s="5" t="s">
        <v>481</v>
      </c>
      <c r="D11" s="5" t="s">
        <v>33</v>
      </c>
      <c r="E11" s="7" t="s">
        <v>473</v>
      </c>
      <c r="F11" s="7" t="s">
        <v>482</v>
      </c>
      <c r="G11" s="7" t="s">
        <v>36</v>
      </c>
      <c r="H11" s="8">
        <v>10000</v>
      </c>
      <c r="I11" s="7" t="s">
        <v>475</v>
      </c>
      <c r="J11" s="7" t="s">
        <v>241</v>
      </c>
      <c r="K11" s="7" t="s">
        <v>476</v>
      </c>
      <c r="L11" s="9" t="s">
        <v>477</v>
      </c>
      <c r="M11" s="10">
        <v>45307</v>
      </c>
      <c r="N11" s="7" t="s">
        <v>82</v>
      </c>
      <c r="O11" s="7" t="s">
        <v>419</v>
      </c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 t="e">
        <f t="shared" si="0"/>
        <v>#DIV/0!</v>
      </c>
      <c r="AF11" s="11" t="e">
        <f t="shared" si="1"/>
        <v>#DIV/0!</v>
      </c>
    </row>
    <row r="12" spans="2:32" ht="25.5" hidden="1" x14ac:dyDescent="0.25">
      <c r="B12" s="5">
        <v>90</v>
      </c>
      <c r="C12" s="5" t="s">
        <v>519</v>
      </c>
      <c r="D12" s="5" t="s">
        <v>33</v>
      </c>
      <c r="E12" s="7" t="s">
        <v>520</v>
      </c>
      <c r="F12" s="7" t="s">
        <v>521</v>
      </c>
      <c r="G12" s="7" t="s">
        <v>107</v>
      </c>
      <c r="H12" s="8">
        <v>630000</v>
      </c>
      <c r="I12" s="7" t="s">
        <v>73</v>
      </c>
      <c r="J12" s="5" t="s">
        <v>74</v>
      </c>
      <c r="K12" s="7" t="s">
        <v>522</v>
      </c>
      <c r="L12" s="9" t="s">
        <v>523</v>
      </c>
      <c r="M12" s="10">
        <v>45307</v>
      </c>
      <c r="N12" s="7" t="s">
        <v>82</v>
      </c>
      <c r="O12" s="7" t="s">
        <v>2915</v>
      </c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 t="e">
        <f t="shared" si="0"/>
        <v>#DIV/0!</v>
      </c>
      <c r="AF12" s="11" t="e">
        <f t="shared" si="1"/>
        <v>#DIV/0!</v>
      </c>
    </row>
    <row r="13" spans="2:32" ht="25.5" hidden="1" x14ac:dyDescent="0.25">
      <c r="B13" s="5">
        <v>91</v>
      </c>
      <c r="C13" s="5" t="s">
        <v>524</v>
      </c>
      <c r="D13" s="5" t="s">
        <v>33</v>
      </c>
      <c r="E13" s="7" t="s">
        <v>525</v>
      </c>
      <c r="F13" s="7" t="s">
        <v>526</v>
      </c>
      <c r="G13" s="7" t="s">
        <v>107</v>
      </c>
      <c r="H13" s="8">
        <v>50000</v>
      </c>
      <c r="I13" s="7" t="s">
        <v>527</v>
      </c>
      <c r="J13" s="7" t="s">
        <v>391</v>
      </c>
      <c r="K13" s="7" t="s">
        <v>528</v>
      </c>
      <c r="L13" s="9" t="s">
        <v>529</v>
      </c>
      <c r="M13" s="10">
        <v>45307</v>
      </c>
      <c r="N13" s="7" t="s">
        <v>82</v>
      </c>
      <c r="O13" s="7" t="s">
        <v>2915</v>
      </c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 t="e">
        <f t="shared" si="0"/>
        <v>#DIV/0!</v>
      </c>
      <c r="AF13" s="11" t="e">
        <f t="shared" si="1"/>
        <v>#DIV/0!</v>
      </c>
    </row>
    <row r="14" spans="2:32" ht="25.5" hidden="1" x14ac:dyDescent="0.25">
      <c r="B14" s="5">
        <v>102</v>
      </c>
      <c r="C14" s="5" t="s">
        <v>580</v>
      </c>
      <c r="D14" s="5" t="s">
        <v>33</v>
      </c>
      <c r="E14" s="7" t="s">
        <v>574</v>
      </c>
      <c r="F14" s="7" t="s">
        <v>581</v>
      </c>
      <c r="G14" s="7" t="s">
        <v>36</v>
      </c>
      <c r="H14" s="8">
        <v>120000</v>
      </c>
      <c r="I14" s="7" t="s">
        <v>425</v>
      </c>
      <c r="J14" s="7" t="s">
        <v>348</v>
      </c>
      <c r="K14" s="7" t="s">
        <v>576</v>
      </c>
      <c r="L14" s="9" t="s">
        <v>577</v>
      </c>
      <c r="M14" s="10">
        <v>45307</v>
      </c>
      <c r="N14" s="7" t="s">
        <v>82</v>
      </c>
      <c r="O14" s="7" t="s">
        <v>419</v>
      </c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 t="e">
        <f t="shared" si="0"/>
        <v>#DIV/0!</v>
      </c>
      <c r="AF14" s="11" t="e">
        <f t="shared" si="1"/>
        <v>#DIV/0!</v>
      </c>
    </row>
    <row r="15" spans="2:32" ht="38.25" hidden="1" x14ac:dyDescent="0.25">
      <c r="B15" s="5">
        <v>123</v>
      </c>
      <c r="C15" s="5" t="s">
        <v>667</v>
      </c>
      <c r="D15" s="5" t="s">
        <v>33</v>
      </c>
      <c r="E15" s="7" t="s">
        <v>668</v>
      </c>
      <c r="F15" s="7" t="s">
        <v>669</v>
      </c>
      <c r="G15" s="7" t="s">
        <v>36</v>
      </c>
      <c r="H15" s="8">
        <v>2241682.9500000002</v>
      </c>
      <c r="I15" s="7" t="s">
        <v>670</v>
      </c>
      <c r="J15" s="7" t="s">
        <v>254</v>
      </c>
      <c r="K15" s="7" t="s">
        <v>671</v>
      </c>
      <c r="L15" s="9" t="s">
        <v>672</v>
      </c>
      <c r="M15" s="10">
        <v>45308</v>
      </c>
      <c r="N15" s="7" t="s">
        <v>82</v>
      </c>
      <c r="O15" s="7" t="s">
        <v>419</v>
      </c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e">
        <f t="shared" si="0"/>
        <v>#DIV/0!</v>
      </c>
      <c r="AF15" s="11" t="e">
        <f t="shared" si="1"/>
        <v>#DIV/0!</v>
      </c>
    </row>
    <row r="16" spans="2:32" ht="25.5" hidden="1" x14ac:dyDescent="0.25">
      <c r="B16" s="5">
        <v>124</v>
      </c>
      <c r="C16" s="5" t="s">
        <v>673</v>
      </c>
      <c r="D16" s="5" t="s">
        <v>33</v>
      </c>
      <c r="E16" s="7" t="s">
        <v>674</v>
      </c>
      <c r="F16" s="7" t="s">
        <v>675</v>
      </c>
      <c r="G16" s="7" t="s">
        <v>36</v>
      </c>
      <c r="H16" s="8">
        <v>373709.52</v>
      </c>
      <c r="I16" s="7" t="s">
        <v>676</v>
      </c>
      <c r="J16" s="7" t="s">
        <v>677</v>
      </c>
      <c r="K16" s="7" t="s">
        <v>678</v>
      </c>
      <c r="L16" s="9" t="s">
        <v>679</v>
      </c>
      <c r="M16" s="10">
        <v>45308</v>
      </c>
      <c r="N16" s="7" t="s">
        <v>82</v>
      </c>
      <c r="O16" s="7" t="s">
        <v>2915</v>
      </c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e">
        <f t="shared" si="0"/>
        <v>#DIV/0!</v>
      </c>
      <c r="AF16" s="11" t="e">
        <f t="shared" si="1"/>
        <v>#DIV/0!</v>
      </c>
    </row>
    <row r="17" spans="2:32" ht="25.5" hidden="1" x14ac:dyDescent="0.25">
      <c r="B17" s="5">
        <v>125</v>
      </c>
      <c r="C17" s="5" t="s">
        <v>680</v>
      </c>
      <c r="D17" s="5" t="s">
        <v>33</v>
      </c>
      <c r="E17" s="7" t="s">
        <v>681</v>
      </c>
      <c r="F17" s="7" t="s">
        <v>682</v>
      </c>
      <c r="G17" s="7" t="s">
        <v>36</v>
      </c>
      <c r="H17" s="8">
        <v>283360</v>
      </c>
      <c r="I17" s="7" t="s">
        <v>486</v>
      </c>
      <c r="J17" s="7" t="s">
        <v>348</v>
      </c>
      <c r="K17" s="7" t="s">
        <v>683</v>
      </c>
      <c r="L17" s="9" t="s">
        <v>684</v>
      </c>
      <c r="M17" s="10">
        <v>45308</v>
      </c>
      <c r="N17" s="7" t="s">
        <v>82</v>
      </c>
      <c r="O17" s="7" t="s">
        <v>2915</v>
      </c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e">
        <f t="shared" si="0"/>
        <v>#DIV/0!</v>
      </c>
      <c r="AF17" s="11" t="e">
        <f t="shared" si="1"/>
        <v>#DIV/0!</v>
      </c>
    </row>
    <row r="18" spans="2:32" ht="25.5" hidden="1" x14ac:dyDescent="0.25">
      <c r="B18" s="5">
        <v>138</v>
      </c>
      <c r="C18" s="9" t="s">
        <v>736</v>
      </c>
      <c r="D18" s="5" t="s">
        <v>33</v>
      </c>
      <c r="E18" s="7" t="s">
        <v>737</v>
      </c>
      <c r="F18" s="7" t="s">
        <v>738</v>
      </c>
      <c r="G18" s="7" t="s">
        <v>107</v>
      </c>
      <c r="H18" s="8">
        <v>396180.65</v>
      </c>
      <c r="I18" s="7" t="s">
        <v>73</v>
      </c>
      <c r="J18" s="5" t="s">
        <v>74</v>
      </c>
      <c r="K18" s="7" t="s">
        <v>739</v>
      </c>
      <c r="L18" s="9" t="s">
        <v>740</v>
      </c>
      <c r="M18" s="10">
        <v>45308</v>
      </c>
      <c r="N18" s="7" t="s">
        <v>82</v>
      </c>
      <c r="O18" s="7" t="s">
        <v>2915</v>
      </c>
      <c r="P18" s="9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e">
        <f>AVERAGE(Q18:AD18)</f>
        <v>#DIV/0!</v>
      </c>
      <c r="AF18" s="11" t="e">
        <f>IF(AE18&gt;=$AF$1,"APROVADO","REPROVADO")</f>
        <v>#DIV/0!</v>
      </c>
    </row>
    <row r="19" spans="2:32" hidden="1" x14ac:dyDescent="0.25">
      <c r="B19" s="5">
        <v>154</v>
      </c>
      <c r="C19" s="5" t="s">
        <v>818</v>
      </c>
      <c r="D19" s="5" t="s">
        <v>33</v>
      </c>
      <c r="E19" s="7" t="s">
        <v>819</v>
      </c>
      <c r="F19" s="7" t="s">
        <v>820</v>
      </c>
      <c r="G19" s="7" t="s">
        <v>36</v>
      </c>
      <c r="H19" s="8">
        <v>629084.76</v>
      </c>
      <c r="I19" s="7" t="s">
        <v>37</v>
      </c>
      <c r="J19" s="7" t="s">
        <v>38</v>
      </c>
      <c r="K19" s="7" t="s">
        <v>821</v>
      </c>
      <c r="L19" s="9" t="s">
        <v>822</v>
      </c>
      <c r="M19" s="10">
        <v>45308</v>
      </c>
      <c r="N19" s="7" t="s">
        <v>82</v>
      </c>
      <c r="O19" s="7" t="s">
        <v>419</v>
      </c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e">
        <f>AVERAGE(Q19:AD19)</f>
        <v>#DIV/0!</v>
      </c>
      <c r="AF19" s="11" t="e">
        <f>IF(AE19&gt;=$AF$1,"APROVADO","REPROVADO")</f>
        <v>#DIV/0!</v>
      </c>
    </row>
    <row r="20" spans="2:32" ht="25.5" hidden="1" x14ac:dyDescent="0.25">
      <c r="B20" s="5">
        <v>159</v>
      </c>
      <c r="C20" s="5" t="s">
        <v>841</v>
      </c>
      <c r="D20" s="5" t="s">
        <v>33</v>
      </c>
      <c r="E20" s="7" t="s">
        <v>842</v>
      </c>
      <c r="F20" s="7" t="s">
        <v>843</v>
      </c>
      <c r="G20" s="7" t="s">
        <v>45</v>
      </c>
      <c r="H20" s="8">
        <v>908000</v>
      </c>
      <c r="I20" s="7" t="s">
        <v>73</v>
      </c>
      <c r="J20" s="7" t="s">
        <v>74</v>
      </c>
      <c r="K20" s="7" t="s">
        <v>844</v>
      </c>
      <c r="L20" s="37" t="s">
        <v>45</v>
      </c>
      <c r="M20" s="10">
        <v>45308</v>
      </c>
      <c r="N20" s="7" t="s">
        <v>82</v>
      </c>
      <c r="O20" s="7" t="s">
        <v>2915</v>
      </c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e">
        <f>AVERAGE(Q20:AD20)</f>
        <v>#DIV/0!</v>
      </c>
      <c r="AF20" s="11" t="e">
        <f>IF(AE20&gt;=$AF$1,"APROVADO","REPROVADO")</f>
        <v>#DIV/0!</v>
      </c>
    </row>
    <row r="21" spans="2:32" ht="25.5" hidden="1" x14ac:dyDescent="0.25">
      <c r="B21" s="5">
        <v>196</v>
      </c>
      <c r="C21" s="5" t="s">
        <v>1041</v>
      </c>
      <c r="D21" s="5" t="s">
        <v>33</v>
      </c>
      <c r="E21" s="7" t="s">
        <v>1042</v>
      </c>
      <c r="F21" s="7" t="s">
        <v>1043</v>
      </c>
      <c r="G21" s="7" t="s">
        <v>36</v>
      </c>
      <c r="H21" s="8">
        <v>69600</v>
      </c>
      <c r="I21" s="7" t="s">
        <v>1044</v>
      </c>
      <c r="J21" s="7" t="s">
        <v>445</v>
      </c>
      <c r="K21" s="7" t="s">
        <v>1045</v>
      </c>
      <c r="L21" s="9" t="s">
        <v>1046</v>
      </c>
      <c r="M21" s="10">
        <v>45315</v>
      </c>
      <c r="N21" s="7" t="s">
        <v>82</v>
      </c>
      <c r="O21" s="7" t="s">
        <v>2915</v>
      </c>
      <c r="P21" s="20"/>
      <c r="Q21" s="4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e">
        <f t="shared" ref="AE21:AE26" si="2">AVERAGE(Q21:AD21)</f>
        <v>#DIV/0!</v>
      </c>
      <c r="AF21" s="11" t="e">
        <f t="shared" ref="AF21:AF26" si="3">IF(AE21&gt;=$AF$1,"APROVADO","REPROVADO")</f>
        <v>#DIV/0!</v>
      </c>
    </row>
    <row r="22" spans="2:32" ht="38.25" hidden="1" x14ac:dyDescent="0.25">
      <c r="B22" s="5">
        <v>204</v>
      </c>
      <c r="C22" s="5" t="s">
        <v>1080</v>
      </c>
      <c r="D22" s="5" t="s">
        <v>33</v>
      </c>
      <c r="E22" s="7" t="s">
        <v>1081</v>
      </c>
      <c r="F22" s="7" t="s">
        <v>1082</v>
      </c>
      <c r="G22" s="7" t="s">
        <v>36</v>
      </c>
      <c r="H22" s="8">
        <v>83615</v>
      </c>
      <c r="I22" s="7" t="s">
        <v>63</v>
      </c>
      <c r="J22" s="5" t="s">
        <v>64</v>
      </c>
      <c r="K22" s="7" t="s">
        <v>1083</v>
      </c>
      <c r="L22" s="9" t="s">
        <v>1084</v>
      </c>
      <c r="M22" s="10">
        <v>45320</v>
      </c>
      <c r="N22" s="7" t="s">
        <v>82</v>
      </c>
      <c r="O22" s="7" t="s">
        <v>2915</v>
      </c>
      <c r="P22" s="20"/>
      <c r="Q22" s="40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e">
        <f t="shared" si="2"/>
        <v>#DIV/0!</v>
      </c>
      <c r="AF22" s="11" t="e">
        <f t="shared" si="3"/>
        <v>#DIV/0!</v>
      </c>
    </row>
    <row r="23" spans="2:32" ht="38.25" hidden="1" x14ac:dyDescent="0.25">
      <c r="B23" s="5">
        <v>205</v>
      </c>
      <c r="C23" s="5" t="s">
        <v>1085</v>
      </c>
      <c r="D23" s="5" t="s">
        <v>33</v>
      </c>
      <c r="E23" s="7" t="s">
        <v>1081</v>
      </c>
      <c r="F23" s="7" t="s">
        <v>1086</v>
      </c>
      <c r="G23" s="7" t="s">
        <v>36</v>
      </c>
      <c r="H23" s="8">
        <v>81020</v>
      </c>
      <c r="I23" s="7" t="s">
        <v>63</v>
      </c>
      <c r="J23" s="5" t="s">
        <v>64</v>
      </c>
      <c r="K23" s="7" t="s">
        <v>1083</v>
      </c>
      <c r="L23" s="9" t="s">
        <v>1084</v>
      </c>
      <c r="M23" s="10">
        <v>45320</v>
      </c>
      <c r="N23" s="7" t="s">
        <v>82</v>
      </c>
      <c r="O23" s="7" t="s">
        <v>2915</v>
      </c>
      <c r="P23" s="20"/>
      <c r="Q23" s="40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 t="e">
        <f t="shared" si="2"/>
        <v>#DIV/0!</v>
      </c>
      <c r="AF23" s="11" t="e">
        <f t="shared" si="3"/>
        <v>#DIV/0!</v>
      </c>
    </row>
    <row r="24" spans="2:32" ht="38.25" hidden="1" x14ac:dyDescent="0.25">
      <c r="B24" s="5">
        <v>206</v>
      </c>
      <c r="C24" s="5" t="s">
        <v>1087</v>
      </c>
      <c r="D24" s="5" t="s">
        <v>33</v>
      </c>
      <c r="E24" s="7" t="s">
        <v>1081</v>
      </c>
      <c r="F24" s="7" t="s">
        <v>1088</v>
      </c>
      <c r="G24" s="7" t="s">
        <v>36</v>
      </c>
      <c r="H24" s="8">
        <v>95840.6</v>
      </c>
      <c r="I24" s="7" t="s">
        <v>63</v>
      </c>
      <c r="J24" s="5" t="s">
        <v>64</v>
      </c>
      <c r="K24" s="7" t="s">
        <v>1083</v>
      </c>
      <c r="L24" s="9" t="s">
        <v>1084</v>
      </c>
      <c r="M24" s="10">
        <v>45320</v>
      </c>
      <c r="N24" s="7" t="s">
        <v>82</v>
      </c>
      <c r="O24" s="7" t="s">
        <v>2915</v>
      </c>
      <c r="P24" s="20"/>
      <c r="Q24" s="40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 t="e">
        <f t="shared" si="2"/>
        <v>#DIV/0!</v>
      </c>
      <c r="AF24" s="11" t="e">
        <f t="shared" si="3"/>
        <v>#DIV/0!</v>
      </c>
    </row>
    <row r="25" spans="2:32" ht="25.5" hidden="1" x14ac:dyDescent="0.25">
      <c r="B25" s="5">
        <v>229</v>
      </c>
      <c r="C25" s="5" t="s">
        <v>1183</v>
      </c>
      <c r="D25" s="5" t="s">
        <v>33</v>
      </c>
      <c r="E25" s="7" t="s">
        <v>1184</v>
      </c>
      <c r="F25" s="7" t="s">
        <v>1185</v>
      </c>
      <c r="G25" s="7" t="s">
        <v>107</v>
      </c>
      <c r="H25" s="8">
        <v>35000</v>
      </c>
      <c r="I25" s="7" t="s">
        <v>1186</v>
      </c>
      <c r="J25" s="7" t="s">
        <v>445</v>
      </c>
      <c r="K25" s="7" t="s">
        <v>1187</v>
      </c>
      <c r="L25" s="9" t="s">
        <v>1188</v>
      </c>
      <c r="M25" s="10">
        <v>45320</v>
      </c>
      <c r="N25" s="7" t="s">
        <v>82</v>
      </c>
      <c r="O25" s="7" t="s">
        <v>419</v>
      </c>
      <c r="P25" s="20"/>
      <c r="Q25" s="40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 t="e">
        <f t="shared" si="2"/>
        <v>#DIV/0!</v>
      </c>
      <c r="AF25" s="11" t="e">
        <f t="shared" si="3"/>
        <v>#DIV/0!</v>
      </c>
    </row>
    <row r="26" spans="2:32" ht="25.5" hidden="1" x14ac:dyDescent="0.25">
      <c r="B26" s="5">
        <v>230</v>
      </c>
      <c r="C26" s="5" t="s">
        <v>1189</v>
      </c>
      <c r="D26" s="5" t="s">
        <v>33</v>
      </c>
      <c r="E26" s="7" t="s">
        <v>1184</v>
      </c>
      <c r="F26" s="7" t="s">
        <v>1190</v>
      </c>
      <c r="G26" s="7" t="s">
        <v>107</v>
      </c>
      <c r="H26" s="8">
        <v>110000</v>
      </c>
      <c r="I26" s="7" t="s">
        <v>1186</v>
      </c>
      <c r="J26" s="7" t="s">
        <v>445</v>
      </c>
      <c r="K26" s="7" t="s">
        <v>1187</v>
      </c>
      <c r="L26" s="9" t="s">
        <v>1188</v>
      </c>
      <c r="M26" s="10">
        <v>45320</v>
      </c>
      <c r="N26" s="7" t="s">
        <v>82</v>
      </c>
      <c r="O26" s="7" t="s">
        <v>419</v>
      </c>
      <c r="P26" s="20"/>
      <c r="Q26" s="40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 t="e">
        <f t="shared" si="2"/>
        <v>#DIV/0!</v>
      </c>
      <c r="AF26" s="11" t="e">
        <f t="shared" si="3"/>
        <v>#DIV/0!</v>
      </c>
    </row>
    <row r="27" spans="2:32" ht="25.5" hidden="1" x14ac:dyDescent="0.25">
      <c r="B27" s="5">
        <v>262</v>
      </c>
      <c r="C27" s="5" t="s">
        <v>1358</v>
      </c>
      <c r="D27" s="5" t="s">
        <v>33</v>
      </c>
      <c r="E27" s="7" t="s">
        <v>1359</v>
      </c>
      <c r="F27" s="7" t="s">
        <v>1360</v>
      </c>
      <c r="G27" s="7" t="s">
        <v>107</v>
      </c>
      <c r="H27" s="8">
        <v>2073425.66</v>
      </c>
      <c r="I27" s="7" t="s">
        <v>1361</v>
      </c>
      <c r="J27" s="7" t="s">
        <v>795</v>
      </c>
      <c r="K27" s="7" t="s">
        <v>1362</v>
      </c>
      <c r="L27" s="9" t="s">
        <v>1363</v>
      </c>
      <c r="M27" s="10">
        <v>45320</v>
      </c>
      <c r="N27" s="7" t="s">
        <v>82</v>
      </c>
      <c r="O27" s="7" t="s">
        <v>2915</v>
      </c>
      <c r="P27" s="20"/>
      <c r="Q27" s="40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 t="e">
        <f t="shared" ref="AE27:AE32" si="4">AVERAGE(Q27:AD27)</f>
        <v>#DIV/0!</v>
      </c>
      <c r="AF27" s="11" t="e">
        <f t="shared" ref="AF27:AF32" si="5">IF(AE27&gt;=$AF$1,"APROVADO","REPROVADO")</f>
        <v>#DIV/0!</v>
      </c>
    </row>
    <row r="28" spans="2:32" ht="26.25" hidden="1" x14ac:dyDescent="0.25">
      <c r="B28" s="5">
        <v>269</v>
      </c>
      <c r="C28" s="13" t="s">
        <v>1387</v>
      </c>
      <c r="D28" s="5" t="s">
        <v>51</v>
      </c>
      <c r="E28" s="13" t="s">
        <v>1388</v>
      </c>
      <c r="F28" s="14" t="s">
        <v>1389</v>
      </c>
      <c r="G28" s="7" t="s">
        <v>45</v>
      </c>
      <c r="H28" s="28">
        <v>275712</v>
      </c>
      <c r="I28" s="13" t="s">
        <v>1367</v>
      </c>
      <c r="J28" s="11" t="s">
        <v>453</v>
      </c>
      <c r="K28" s="14" t="s">
        <v>1390</v>
      </c>
      <c r="L28" s="14" t="s">
        <v>1391</v>
      </c>
      <c r="M28" s="26">
        <v>45320</v>
      </c>
      <c r="N28" s="7" t="s">
        <v>82</v>
      </c>
      <c r="O28" s="7" t="s">
        <v>2915</v>
      </c>
      <c r="P28" s="2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0"/>
      <c r="AD28" s="20"/>
      <c r="AE28" s="1" t="e">
        <f t="shared" si="4"/>
        <v>#DIV/0!</v>
      </c>
      <c r="AF28" s="11" t="e">
        <f t="shared" si="5"/>
        <v>#DIV/0!</v>
      </c>
    </row>
    <row r="29" spans="2:32" ht="25.5" hidden="1" x14ac:dyDescent="0.25">
      <c r="B29" s="5">
        <v>299</v>
      </c>
      <c r="C29" s="5" t="s">
        <v>1533</v>
      </c>
      <c r="D29" s="5" t="s">
        <v>33</v>
      </c>
      <c r="E29" s="7" t="s">
        <v>1534</v>
      </c>
      <c r="F29" s="7" t="s">
        <v>1535</v>
      </c>
      <c r="G29" s="7" t="s">
        <v>36</v>
      </c>
      <c r="H29" s="8">
        <v>73900</v>
      </c>
      <c r="I29" s="7" t="s">
        <v>1536</v>
      </c>
      <c r="J29" s="7" t="s">
        <v>445</v>
      </c>
      <c r="K29" s="7" t="s">
        <v>1537</v>
      </c>
      <c r="L29" s="9" t="s">
        <v>1538</v>
      </c>
      <c r="M29" s="10">
        <v>45321</v>
      </c>
      <c r="N29" s="7" t="s">
        <v>82</v>
      </c>
      <c r="O29" s="7" t="s">
        <v>2915</v>
      </c>
      <c r="P29" s="20"/>
      <c r="Q29" s="40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 t="e">
        <f t="shared" si="4"/>
        <v>#DIV/0!</v>
      </c>
      <c r="AF29" s="11" t="e">
        <f t="shared" si="5"/>
        <v>#DIV/0!</v>
      </c>
    </row>
    <row r="30" spans="2:32" ht="25.5" hidden="1" x14ac:dyDescent="0.25">
      <c r="B30" s="5">
        <v>313</v>
      </c>
      <c r="C30" s="5" t="s">
        <v>1610</v>
      </c>
      <c r="D30" s="5" t="s">
        <v>33</v>
      </c>
      <c r="E30" s="7" t="s">
        <v>1611</v>
      </c>
      <c r="F30" s="7" t="s">
        <v>1612</v>
      </c>
      <c r="G30" s="7" t="s">
        <v>36</v>
      </c>
      <c r="H30" s="8">
        <v>0</v>
      </c>
      <c r="I30" s="7" t="s">
        <v>859</v>
      </c>
      <c r="J30" s="7" t="s">
        <v>181</v>
      </c>
      <c r="K30" s="7" t="s">
        <v>1613</v>
      </c>
      <c r="L30" s="9" t="s">
        <v>1614</v>
      </c>
      <c r="M30" s="10">
        <v>45321</v>
      </c>
      <c r="N30" s="7" t="s">
        <v>82</v>
      </c>
      <c r="O30" s="7" t="s">
        <v>2916</v>
      </c>
      <c r="P30" s="20"/>
      <c r="Q30" s="40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 t="e">
        <f t="shared" si="4"/>
        <v>#DIV/0!</v>
      </c>
      <c r="AF30" s="11" t="e">
        <f t="shared" si="5"/>
        <v>#DIV/0!</v>
      </c>
    </row>
    <row r="31" spans="2:32" ht="25.5" hidden="1" x14ac:dyDescent="0.25">
      <c r="B31" s="5">
        <v>318</v>
      </c>
      <c r="C31" s="5" t="s">
        <v>1634</v>
      </c>
      <c r="D31" s="5" t="s">
        <v>33</v>
      </c>
      <c r="E31" s="7" t="s">
        <v>1635</v>
      </c>
      <c r="F31" s="7" t="s">
        <v>1636</v>
      </c>
      <c r="G31" s="7" t="s">
        <v>36</v>
      </c>
      <c r="H31" s="8">
        <v>1000000</v>
      </c>
      <c r="I31" s="7" t="s">
        <v>1637</v>
      </c>
      <c r="J31" s="7" t="s">
        <v>235</v>
      </c>
      <c r="K31" s="7" t="s">
        <v>1638</v>
      </c>
      <c r="L31" s="9" t="s">
        <v>1639</v>
      </c>
      <c r="M31" s="10">
        <v>45321</v>
      </c>
      <c r="N31" s="7" t="s">
        <v>82</v>
      </c>
      <c r="O31" s="7" t="s">
        <v>419</v>
      </c>
      <c r="P31" s="20"/>
      <c r="Q31" s="40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 t="e">
        <f t="shared" si="4"/>
        <v>#DIV/0!</v>
      </c>
      <c r="AF31" s="11" t="e">
        <f t="shared" si="5"/>
        <v>#DIV/0!</v>
      </c>
    </row>
    <row r="32" spans="2:32" ht="38.25" hidden="1" x14ac:dyDescent="0.25">
      <c r="B32" s="5">
        <v>319</v>
      </c>
      <c r="C32" s="5" t="s">
        <v>1641</v>
      </c>
      <c r="D32" s="5" t="s">
        <v>33</v>
      </c>
      <c r="E32" s="7" t="s">
        <v>1642</v>
      </c>
      <c r="F32" s="7" t="s">
        <v>1643</v>
      </c>
      <c r="G32" s="7" t="s">
        <v>36</v>
      </c>
      <c r="H32" s="8">
        <v>161880</v>
      </c>
      <c r="I32" s="7" t="s">
        <v>94</v>
      </c>
      <c r="J32" s="5" t="s">
        <v>95</v>
      </c>
      <c r="K32" s="7" t="s">
        <v>1644</v>
      </c>
      <c r="L32" s="9" t="s">
        <v>1645</v>
      </c>
      <c r="M32" s="10">
        <v>45321</v>
      </c>
      <c r="N32" s="7" t="s">
        <v>82</v>
      </c>
      <c r="O32" s="7" t="s">
        <v>2917</v>
      </c>
      <c r="P32" s="20"/>
      <c r="Q32" s="40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 t="e">
        <f t="shared" si="4"/>
        <v>#DIV/0!</v>
      </c>
      <c r="AF32" s="11" t="e">
        <f t="shared" si="5"/>
        <v>#DIV/0!</v>
      </c>
    </row>
    <row r="33" spans="2:32" ht="38.25" hidden="1" x14ac:dyDescent="0.25">
      <c r="B33" s="5">
        <v>320</v>
      </c>
      <c r="C33" s="5" t="s">
        <v>1647</v>
      </c>
      <c r="D33" s="5" t="s">
        <v>33</v>
      </c>
      <c r="E33" s="7" t="s">
        <v>1642</v>
      </c>
      <c r="F33" s="7" t="s">
        <v>1648</v>
      </c>
      <c r="G33" s="7" t="s">
        <v>36</v>
      </c>
      <c r="H33" s="8">
        <v>190080</v>
      </c>
      <c r="I33" s="7" t="s">
        <v>94</v>
      </c>
      <c r="J33" s="5" t="s">
        <v>95</v>
      </c>
      <c r="K33" s="7" t="s">
        <v>1644</v>
      </c>
      <c r="L33" s="9" t="s">
        <v>1645</v>
      </c>
      <c r="M33" s="10">
        <v>45321</v>
      </c>
      <c r="N33" s="7" t="s">
        <v>82</v>
      </c>
      <c r="O33" s="7" t="s">
        <v>2915</v>
      </c>
      <c r="P33" s="20"/>
      <c r="Q33" s="40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 t="e">
        <f t="shared" ref="AE33:AE39" si="6">AVERAGE(Q33:AD33)</f>
        <v>#DIV/0!</v>
      </c>
      <c r="AF33" s="11" t="e">
        <f t="shared" ref="AF33:AF39" si="7">IF(AE33&gt;=$AF$1,"APROVADO","REPROVADO")</f>
        <v>#DIV/0!</v>
      </c>
    </row>
    <row r="34" spans="2:32" ht="38.25" hidden="1" x14ac:dyDescent="0.25">
      <c r="B34" s="5">
        <v>334</v>
      </c>
      <c r="C34" s="5" t="s">
        <v>1707</v>
      </c>
      <c r="D34" s="5" t="s">
        <v>33</v>
      </c>
      <c r="E34" s="7" t="s">
        <v>1708</v>
      </c>
      <c r="F34" s="7" t="s">
        <v>1709</v>
      </c>
      <c r="G34" s="7" t="s">
        <v>336</v>
      </c>
      <c r="H34" s="8">
        <v>388034.49</v>
      </c>
      <c r="I34" s="7" t="s">
        <v>73</v>
      </c>
      <c r="J34" s="5" t="s">
        <v>74</v>
      </c>
      <c r="K34" s="7" t="s">
        <v>1710</v>
      </c>
      <c r="L34" s="9" t="s">
        <v>1711</v>
      </c>
      <c r="M34" s="10">
        <v>45321</v>
      </c>
      <c r="N34" s="7" t="s">
        <v>82</v>
      </c>
      <c r="O34" s="7" t="s">
        <v>2915</v>
      </c>
      <c r="P34" s="20"/>
      <c r="Q34" s="4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e">
        <f t="shared" si="6"/>
        <v>#DIV/0!</v>
      </c>
      <c r="AF34" s="11" t="e">
        <f t="shared" si="7"/>
        <v>#DIV/0!</v>
      </c>
    </row>
    <row r="35" spans="2:32" ht="25.5" hidden="1" x14ac:dyDescent="0.25">
      <c r="B35" s="5">
        <v>337</v>
      </c>
      <c r="C35" s="5" t="s">
        <v>1724</v>
      </c>
      <c r="D35" s="5" t="s">
        <v>33</v>
      </c>
      <c r="E35" s="7" t="s">
        <v>1725</v>
      </c>
      <c r="F35" s="7" t="s">
        <v>1726</v>
      </c>
      <c r="G35" s="7" t="s">
        <v>36</v>
      </c>
      <c r="H35" s="8">
        <v>300000</v>
      </c>
      <c r="I35" s="7" t="s">
        <v>73</v>
      </c>
      <c r="J35" s="7" t="s">
        <v>74</v>
      </c>
      <c r="K35" s="7" t="s">
        <v>1727</v>
      </c>
      <c r="L35" s="9" t="s">
        <v>1728</v>
      </c>
      <c r="M35" s="10">
        <v>45321</v>
      </c>
      <c r="N35" s="7" t="s">
        <v>82</v>
      </c>
      <c r="O35" s="7" t="s">
        <v>2915</v>
      </c>
      <c r="P35" s="20"/>
      <c r="Q35" s="40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 t="e">
        <f t="shared" si="6"/>
        <v>#DIV/0!</v>
      </c>
      <c r="AF35" s="11" t="e">
        <f t="shared" si="7"/>
        <v>#DIV/0!</v>
      </c>
    </row>
    <row r="36" spans="2:32" ht="25.5" hidden="1" x14ac:dyDescent="0.25">
      <c r="B36" s="5">
        <v>356</v>
      </c>
      <c r="C36" s="13" t="s">
        <v>1803</v>
      </c>
      <c r="D36" s="5" t="s">
        <v>51</v>
      </c>
      <c r="E36" s="13" t="s">
        <v>1804</v>
      </c>
      <c r="F36" s="14" t="s">
        <v>1805</v>
      </c>
      <c r="G36" s="14" t="s">
        <v>36</v>
      </c>
      <c r="H36" s="28">
        <v>80000</v>
      </c>
      <c r="I36" s="13" t="s">
        <v>1806</v>
      </c>
      <c r="J36" s="11" t="s">
        <v>189</v>
      </c>
      <c r="K36" s="13" t="s">
        <v>1807</v>
      </c>
      <c r="L36" s="30" t="s">
        <v>1797</v>
      </c>
      <c r="M36" s="26">
        <v>45321</v>
      </c>
      <c r="N36" s="7" t="s">
        <v>82</v>
      </c>
      <c r="O36" s="7" t="s">
        <v>2915</v>
      </c>
      <c r="P36" s="2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0"/>
      <c r="AD36" s="20"/>
      <c r="AE36" s="1" t="e">
        <f t="shared" si="6"/>
        <v>#DIV/0!</v>
      </c>
      <c r="AF36" s="11" t="e">
        <f t="shared" si="7"/>
        <v>#DIV/0!</v>
      </c>
    </row>
    <row r="37" spans="2:32" ht="38.25" hidden="1" x14ac:dyDescent="0.25">
      <c r="B37" s="5">
        <v>365</v>
      </c>
      <c r="C37" s="5" t="s">
        <v>1840</v>
      </c>
      <c r="D37" s="5" t="s">
        <v>33</v>
      </c>
      <c r="E37" s="7" t="s">
        <v>1841</v>
      </c>
      <c r="F37" s="7" t="s">
        <v>1842</v>
      </c>
      <c r="G37" s="7" t="s">
        <v>36</v>
      </c>
      <c r="H37" s="8">
        <v>190000</v>
      </c>
      <c r="I37" s="7" t="s">
        <v>1843</v>
      </c>
      <c r="J37" s="7" t="s">
        <v>95</v>
      </c>
      <c r="K37" s="7" t="s">
        <v>1844</v>
      </c>
      <c r="L37" s="9" t="s">
        <v>1845</v>
      </c>
      <c r="M37" s="10">
        <v>45322</v>
      </c>
      <c r="N37" s="7" t="s">
        <v>82</v>
      </c>
      <c r="O37" s="7" t="s">
        <v>419</v>
      </c>
      <c r="P37" s="20"/>
      <c r="Q37" s="4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 t="e">
        <f t="shared" si="6"/>
        <v>#DIV/0!</v>
      </c>
      <c r="AF37" s="11" t="e">
        <f t="shared" si="7"/>
        <v>#DIV/0!</v>
      </c>
    </row>
    <row r="38" spans="2:32" ht="38.25" hidden="1" x14ac:dyDescent="0.25">
      <c r="B38" s="5">
        <v>372</v>
      </c>
      <c r="C38" s="5" t="s">
        <v>1875</v>
      </c>
      <c r="D38" s="5" t="s">
        <v>33</v>
      </c>
      <c r="E38" s="7" t="s">
        <v>1876</v>
      </c>
      <c r="F38" s="7" t="s">
        <v>1842</v>
      </c>
      <c r="G38" s="7" t="s">
        <v>36</v>
      </c>
      <c r="H38" s="8">
        <v>50000</v>
      </c>
      <c r="I38" s="7" t="s">
        <v>1877</v>
      </c>
      <c r="J38" s="7" t="s">
        <v>95</v>
      </c>
      <c r="K38" s="7" t="s">
        <v>1878</v>
      </c>
      <c r="L38" s="9" t="s">
        <v>1879</v>
      </c>
      <c r="M38" s="10">
        <v>45322</v>
      </c>
      <c r="N38" s="7" t="s">
        <v>82</v>
      </c>
      <c r="O38" s="7" t="s">
        <v>419</v>
      </c>
      <c r="P38" s="20"/>
      <c r="Q38" s="4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 t="e">
        <f t="shared" si="6"/>
        <v>#DIV/0!</v>
      </c>
      <c r="AF38" s="11" t="e">
        <f t="shared" si="7"/>
        <v>#DIV/0!</v>
      </c>
    </row>
    <row r="39" spans="2:32" hidden="1" x14ac:dyDescent="0.25">
      <c r="B39" s="5">
        <v>383</v>
      </c>
      <c r="C39" s="5" t="s">
        <v>1925</v>
      </c>
      <c r="D39" s="5" t="s">
        <v>33</v>
      </c>
      <c r="E39" s="5" t="s">
        <v>1926</v>
      </c>
      <c r="F39" s="5" t="s">
        <v>1927</v>
      </c>
      <c r="G39" s="7" t="s">
        <v>36</v>
      </c>
      <c r="H39" s="17">
        <v>334582.09999999998</v>
      </c>
      <c r="I39" s="7" t="s">
        <v>290</v>
      </c>
      <c r="J39" s="7" t="s">
        <v>154</v>
      </c>
      <c r="K39" s="7" t="s">
        <v>1928</v>
      </c>
      <c r="L39" s="9" t="s">
        <v>1929</v>
      </c>
      <c r="M39" s="10">
        <v>45322</v>
      </c>
      <c r="N39" s="7" t="s">
        <v>82</v>
      </c>
      <c r="O39" s="7" t="s">
        <v>419</v>
      </c>
      <c r="P39" s="20"/>
      <c r="Q39" s="40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 t="e">
        <f t="shared" si="6"/>
        <v>#DIV/0!</v>
      </c>
      <c r="AF39" s="11" t="e">
        <f t="shared" si="7"/>
        <v>#DIV/0!</v>
      </c>
    </row>
    <row r="40" spans="2:32" ht="25.5" hidden="1" x14ac:dyDescent="0.25">
      <c r="B40" s="5">
        <v>385</v>
      </c>
      <c r="C40" s="5" t="s">
        <v>1936</v>
      </c>
      <c r="D40" s="5" t="s">
        <v>33</v>
      </c>
      <c r="E40" s="5" t="s">
        <v>1937</v>
      </c>
      <c r="F40" s="5" t="s">
        <v>1938</v>
      </c>
      <c r="G40" s="7" t="s">
        <v>36</v>
      </c>
      <c r="H40" s="17">
        <v>3000000</v>
      </c>
      <c r="I40" s="7" t="s">
        <v>1939</v>
      </c>
      <c r="J40" s="5" t="s">
        <v>597</v>
      </c>
      <c r="K40" s="5" t="s">
        <v>1940</v>
      </c>
      <c r="L40" s="9" t="s">
        <v>1941</v>
      </c>
      <c r="M40" s="10">
        <v>45322</v>
      </c>
      <c r="N40" s="7" t="s">
        <v>82</v>
      </c>
      <c r="O40" s="7" t="s">
        <v>2915</v>
      </c>
      <c r="P40" s="20"/>
      <c r="Q40" s="40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 t="e">
        <f t="shared" ref="AE40:AE48" si="8">AVERAGE(Q40:AD40)</f>
        <v>#DIV/0!</v>
      </c>
      <c r="AF40" s="11" t="e">
        <f t="shared" ref="AF40:AF48" si="9">IF(AE40&gt;=$AF$1,"APROVADO","REPROVADO")</f>
        <v>#DIV/0!</v>
      </c>
    </row>
    <row r="41" spans="2:32" ht="25.5" hidden="1" x14ac:dyDescent="0.25">
      <c r="B41" s="5">
        <v>386</v>
      </c>
      <c r="C41" s="5" t="s">
        <v>1942</v>
      </c>
      <c r="D41" s="5" t="s">
        <v>33</v>
      </c>
      <c r="E41" s="7" t="s">
        <v>1937</v>
      </c>
      <c r="F41" s="7" t="s">
        <v>1943</v>
      </c>
      <c r="G41" s="7" t="s">
        <v>36</v>
      </c>
      <c r="H41" s="8">
        <v>3000000</v>
      </c>
      <c r="I41" s="7" t="s">
        <v>1939</v>
      </c>
      <c r="J41" s="5" t="s">
        <v>597</v>
      </c>
      <c r="K41" s="7" t="s">
        <v>1944</v>
      </c>
      <c r="L41" s="9" t="s">
        <v>1941</v>
      </c>
      <c r="M41" s="10">
        <v>45322</v>
      </c>
      <c r="N41" s="7" t="s">
        <v>82</v>
      </c>
      <c r="O41" s="7" t="s">
        <v>2915</v>
      </c>
      <c r="P41" s="20"/>
      <c r="Q41" s="40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 t="e">
        <f t="shared" si="8"/>
        <v>#DIV/0!</v>
      </c>
      <c r="AF41" s="11" t="e">
        <f t="shared" si="9"/>
        <v>#DIV/0!</v>
      </c>
    </row>
    <row r="42" spans="2:32" ht="51" hidden="1" x14ac:dyDescent="0.25">
      <c r="B42" s="5">
        <v>389</v>
      </c>
      <c r="C42" s="5" t="s">
        <v>1956</v>
      </c>
      <c r="D42" s="5" t="s">
        <v>33</v>
      </c>
      <c r="E42" s="5" t="s">
        <v>1937</v>
      </c>
      <c r="F42" s="5" t="s">
        <v>1957</v>
      </c>
      <c r="G42" s="5" t="s">
        <v>36</v>
      </c>
      <c r="H42" s="17">
        <v>1000000</v>
      </c>
      <c r="I42" s="7" t="s">
        <v>1939</v>
      </c>
      <c r="J42" s="5" t="s">
        <v>597</v>
      </c>
      <c r="K42" s="5" t="s">
        <v>1940</v>
      </c>
      <c r="L42" s="9" t="s">
        <v>1941</v>
      </c>
      <c r="M42" s="10">
        <v>45322</v>
      </c>
      <c r="N42" s="7" t="s">
        <v>82</v>
      </c>
      <c r="O42" s="7" t="s">
        <v>2915</v>
      </c>
      <c r="P42" s="20"/>
      <c r="Q42" s="40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 t="e">
        <f t="shared" si="8"/>
        <v>#DIV/0!</v>
      </c>
      <c r="AF42" s="11" t="e">
        <f t="shared" si="9"/>
        <v>#DIV/0!</v>
      </c>
    </row>
    <row r="43" spans="2:32" ht="25.5" hidden="1" x14ac:dyDescent="0.25">
      <c r="B43" s="5">
        <v>410</v>
      </c>
      <c r="C43" s="5" t="s">
        <v>2036</v>
      </c>
      <c r="D43" s="5" t="s">
        <v>51</v>
      </c>
      <c r="E43" s="7" t="s">
        <v>2006</v>
      </c>
      <c r="F43" s="7" t="s">
        <v>2037</v>
      </c>
      <c r="G43" s="7" t="s">
        <v>107</v>
      </c>
      <c r="H43" s="28">
        <v>27175</v>
      </c>
      <c r="I43" s="13" t="s">
        <v>2008</v>
      </c>
      <c r="J43" s="11" t="s">
        <v>141</v>
      </c>
      <c r="K43" s="13" t="s">
        <v>2009</v>
      </c>
      <c r="L43" s="30" t="s">
        <v>2010</v>
      </c>
      <c r="M43" s="26">
        <v>45322</v>
      </c>
      <c r="N43" s="7" t="s">
        <v>82</v>
      </c>
      <c r="O43" s="7" t="s">
        <v>419</v>
      </c>
      <c r="P43" s="20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20"/>
      <c r="AD43" s="20"/>
      <c r="AE43" s="1" t="e">
        <f t="shared" si="8"/>
        <v>#DIV/0!</v>
      </c>
      <c r="AF43" s="11" t="e">
        <f t="shared" si="9"/>
        <v>#DIV/0!</v>
      </c>
    </row>
    <row r="44" spans="2:32" ht="25.5" x14ac:dyDescent="0.25">
      <c r="B44" s="5">
        <v>418</v>
      </c>
      <c r="C44" s="5" t="s">
        <v>2064</v>
      </c>
      <c r="D44" s="5" t="s">
        <v>33</v>
      </c>
      <c r="E44" s="7" t="s">
        <v>2065</v>
      </c>
      <c r="F44" s="7" t="s">
        <v>2066</v>
      </c>
      <c r="G44" s="7" t="s">
        <v>107</v>
      </c>
      <c r="H44" s="8">
        <v>253200</v>
      </c>
      <c r="I44" s="7" t="s">
        <v>859</v>
      </c>
      <c r="J44" s="7" t="s">
        <v>181</v>
      </c>
      <c r="K44" s="7" t="s">
        <v>2067</v>
      </c>
      <c r="L44" s="9" t="s">
        <v>2068</v>
      </c>
      <c r="M44" s="10">
        <v>45322</v>
      </c>
      <c r="N44" s="7" t="s">
        <v>82</v>
      </c>
      <c r="O44" s="7" t="s">
        <v>2915</v>
      </c>
      <c r="P44" s="20"/>
      <c r="Q44" s="40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e">
        <f t="shared" si="8"/>
        <v>#DIV/0!</v>
      </c>
      <c r="AF44" s="11" t="e">
        <f t="shared" si="9"/>
        <v>#DIV/0!</v>
      </c>
    </row>
    <row r="45" spans="2:32" ht="25.5" hidden="1" x14ac:dyDescent="0.25">
      <c r="B45" s="5">
        <v>429</v>
      </c>
      <c r="C45" s="5" t="s">
        <v>2112</v>
      </c>
      <c r="D45" s="5" t="s">
        <v>33</v>
      </c>
      <c r="E45" s="5" t="s">
        <v>2113</v>
      </c>
      <c r="F45" s="5" t="s">
        <v>2114</v>
      </c>
      <c r="G45" s="5" t="s">
        <v>107</v>
      </c>
      <c r="H45" s="17">
        <v>661500</v>
      </c>
      <c r="I45" s="7" t="s">
        <v>73</v>
      </c>
      <c r="J45" s="7" t="s">
        <v>74</v>
      </c>
      <c r="K45" s="5" t="s">
        <v>2115</v>
      </c>
      <c r="L45" s="9" t="s">
        <v>2116</v>
      </c>
      <c r="M45" s="10">
        <v>45322</v>
      </c>
      <c r="N45" s="7" t="s">
        <v>82</v>
      </c>
      <c r="O45" s="7" t="s">
        <v>2915</v>
      </c>
      <c r="P45" s="20"/>
      <c r="Q45" s="40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 t="e">
        <f t="shared" si="8"/>
        <v>#DIV/0!</v>
      </c>
      <c r="AF45" s="11" t="e">
        <f t="shared" si="9"/>
        <v>#DIV/0!</v>
      </c>
    </row>
    <row r="46" spans="2:32" ht="25.5" hidden="1" x14ac:dyDescent="0.25">
      <c r="B46" s="5">
        <v>430</v>
      </c>
      <c r="C46" s="5" t="s">
        <v>2117</v>
      </c>
      <c r="D46" s="5" t="s">
        <v>51</v>
      </c>
      <c r="E46" s="7" t="s">
        <v>2118</v>
      </c>
      <c r="F46" s="7" t="s">
        <v>2119</v>
      </c>
      <c r="G46" s="7" t="s">
        <v>36</v>
      </c>
      <c r="H46" s="28">
        <v>350940</v>
      </c>
      <c r="I46" s="13" t="s">
        <v>2120</v>
      </c>
      <c r="J46" s="11" t="s">
        <v>202</v>
      </c>
      <c r="K46" s="13" t="s">
        <v>1172</v>
      </c>
      <c r="L46" s="30" t="s">
        <v>2121</v>
      </c>
      <c r="M46" s="26">
        <v>45322</v>
      </c>
      <c r="N46" s="7" t="s">
        <v>82</v>
      </c>
      <c r="O46" s="7" t="s">
        <v>419</v>
      </c>
      <c r="P46" s="20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0"/>
      <c r="AD46" s="20"/>
      <c r="AE46" s="1" t="e">
        <f t="shared" si="8"/>
        <v>#DIV/0!</v>
      </c>
      <c r="AF46" s="11" t="e">
        <f t="shared" si="9"/>
        <v>#DIV/0!</v>
      </c>
    </row>
    <row r="47" spans="2:32" ht="26.25" hidden="1" x14ac:dyDescent="0.25">
      <c r="B47" s="5">
        <v>431</v>
      </c>
      <c r="C47" s="5" t="s">
        <v>2122</v>
      </c>
      <c r="D47" s="5" t="s">
        <v>51</v>
      </c>
      <c r="E47" s="7" t="s">
        <v>2123</v>
      </c>
      <c r="F47" s="7" t="s">
        <v>2124</v>
      </c>
      <c r="G47" s="7" t="s">
        <v>107</v>
      </c>
      <c r="H47" s="28">
        <v>98000</v>
      </c>
      <c r="I47" s="13" t="s">
        <v>2125</v>
      </c>
      <c r="J47" s="11" t="s">
        <v>123</v>
      </c>
      <c r="K47" s="7" t="s">
        <v>2126</v>
      </c>
      <c r="L47" s="43" t="s">
        <v>2127</v>
      </c>
      <c r="M47" s="26">
        <v>45322</v>
      </c>
      <c r="N47" s="7" t="s">
        <v>82</v>
      </c>
      <c r="O47" s="7" t="s">
        <v>419</v>
      </c>
      <c r="P47" s="20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0"/>
      <c r="AD47" s="20"/>
      <c r="AE47" s="1" t="e">
        <f t="shared" si="8"/>
        <v>#DIV/0!</v>
      </c>
      <c r="AF47" s="11" t="e">
        <f t="shared" si="9"/>
        <v>#DIV/0!</v>
      </c>
    </row>
    <row r="48" spans="2:32" ht="38.25" hidden="1" x14ac:dyDescent="0.25">
      <c r="B48" s="5">
        <v>445</v>
      </c>
      <c r="C48" s="5" t="s">
        <v>2177</v>
      </c>
      <c r="D48" s="5" t="s">
        <v>33</v>
      </c>
      <c r="E48" s="5" t="s">
        <v>2178</v>
      </c>
      <c r="F48" s="5" t="s">
        <v>2179</v>
      </c>
      <c r="G48" s="7" t="s">
        <v>36</v>
      </c>
      <c r="H48" s="17">
        <v>250000</v>
      </c>
      <c r="I48" s="7" t="s">
        <v>1146</v>
      </c>
      <c r="J48" s="7" t="s">
        <v>123</v>
      </c>
      <c r="K48" s="5" t="s">
        <v>2180</v>
      </c>
      <c r="L48" s="9" t="s">
        <v>2181</v>
      </c>
      <c r="M48" s="10">
        <v>45322</v>
      </c>
      <c r="N48" s="7" t="s">
        <v>82</v>
      </c>
      <c r="O48" s="7" t="s">
        <v>2915</v>
      </c>
      <c r="P48" s="20"/>
      <c r="Q48" s="40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 t="e">
        <f t="shared" si="8"/>
        <v>#DIV/0!</v>
      </c>
      <c r="AF48" s="11" t="e">
        <f t="shared" si="9"/>
        <v>#DIV/0!</v>
      </c>
    </row>
    <row r="49" spans="2:32" ht="25.5" hidden="1" x14ac:dyDescent="0.25">
      <c r="B49" s="5">
        <v>462</v>
      </c>
      <c r="C49" s="5" t="s">
        <v>2257</v>
      </c>
      <c r="D49" s="5" t="s">
        <v>51</v>
      </c>
      <c r="E49" s="7" t="s">
        <v>2258</v>
      </c>
      <c r="F49" s="7" t="s">
        <v>2259</v>
      </c>
      <c r="G49" s="14" t="s">
        <v>36</v>
      </c>
      <c r="H49" s="28">
        <v>500000</v>
      </c>
      <c r="I49" s="13" t="s">
        <v>2260</v>
      </c>
      <c r="J49" s="11" t="s">
        <v>162</v>
      </c>
      <c r="K49" s="13" t="s">
        <v>2261</v>
      </c>
      <c r="L49" s="30" t="s">
        <v>2262</v>
      </c>
      <c r="M49" s="26">
        <v>45322</v>
      </c>
      <c r="N49" s="7" t="s">
        <v>82</v>
      </c>
      <c r="O49" s="7" t="s">
        <v>2915</v>
      </c>
      <c r="P49" s="2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0"/>
      <c r="AD49" s="20"/>
      <c r="AE49" s="1" t="e">
        <f t="shared" ref="AE49:AE57" si="10">AVERAGE(Q49:AD49)</f>
        <v>#DIV/0!</v>
      </c>
      <c r="AF49" s="11" t="e">
        <f t="shared" ref="AF49:AF57" si="11">IF(AE49&gt;=$AF$1,"APROVADO","REPROVADO")</f>
        <v>#DIV/0!</v>
      </c>
    </row>
    <row r="50" spans="2:32" ht="25.5" hidden="1" x14ac:dyDescent="0.25">
      <c r="B50" s="5">
        <v>463</v>
      </c>
      <c r="C50" s="13" t="s">
        <v>2263</v>
      </c>
      <c r="D50" s="5" t="s">
        <v>51</v>
      </c>
      <c r="E50" s="13" t="s">
        <v>2258</v>
      </c>
      <c r="F50" s="7" t="s">
        <v>2264</v>
      </c>
      <c r="G50" s="14" t="s">
        <v>36</v>
      </c>
      <c r="H50" s="28">
        <v>198600</v>
      </c>
      <c r="I50" s="13" t="s">
        <v>2260</v>
      </c>
      <c r="J50" s="11" t="s">
        <v>162</v>
      </c>
      <c r="K50" s="13" t="s">
        <v>2261</v>
      </c>
      <c r="L50" s="30" t="s">
        <v>2262</v>
      </c>
      <c r="M50" s="26">
        <v>45322</v>
      </c>
      <c r="N50" s="7" t="s">
        <v>82</v>
      </c>
      <c r="O50" s="7" t="s">
        <v>2915</v>
      </c>
      <c r="P50" s="20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0"/>
      <c r="AD50" s="20"/>
      <c r="AE50" s="1" t="e">
        <f t="shared" si="10"/>
        <v>#DIV/0!</v>
      </c>
      <c r="AF50" s="11" t="e">
        <f t="shared" si="11"/>
        <v>#DIV/0!</v>
      </c>
    </row>
    <row r="51" spans="2:32" ht="25.5" hidden="1" x14ac:dyDescent="0.25">
      <c r="B51" s="5">
        <v>464</v>
      </c>
      <c r="C51" s="13" t="s">
        <v>2265</v>
      </c>
      <c r="D51" s="5" t="s">
        <v>51</v>
      </c>
      <c r="E51" s="13" t="s">
        <v>2258</v>
      </c>
      <c r="F51" s="13" t="s">
        <v>2266</v>
      </c>
      <c r="G51" s="14" t="s">
        <v>36</v>
      </c>
      <c r="H51" s="28">
        <v>200000</v>
      </c>
      <c r="I51" s="13" t="s">
        <v>2260</v>
      </c>
      <c r="J51" s="11" t="s">
        <v>162</v>
      </c>
      <c r="K51" s="13" t="s">
        <v>2261</v>
      </c>
      <c r="L51" s="30" t="s">
        <v>2262</v>
      </c>
      <c r="M51" s="26">
        <v>45322</v>
      </c>
      <c r="N51" s="7" t="s">
        <v>82</v>
      </c>
      <c r="O51" s="7" t="s">
        <v>2915</v>
      </c>
      <c r="P51" s="20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0"/>
      <c r="AD51" s="20"/>
      <c r="AE51" s="1" t="e">
        <f t="shared" si="10"/>
        <v>#DIV/0!</v>
      </c>
      <c r="AF51" s="11" t="e">
        <f t="shared" si="11"/>
        <v>#DIV/0!</v>
      </c>
    </row>
    <row r="52" spans="2:32" ht="25.5" hidden="1" x14ac:dyDescent="0.25">
      <c r="B52" s="5">
        <v>487</v>
      </c>
      <c r="C52" s="13" t="s">
        <v>2376</v>
      </c>
      <c r="D52" s="5" t="s">
        <v>51</v>
      </c>
      <c r="E52" s="13" t="s">
        <v>2377</v>
      </c>
      <c r="F52" s="13" t="s">
        <v>2378</v>
      </c>
      <c r="G52" s="14" t="s">
        <v>107</v>
      </c>
      <c r="H52" s="28">
        <v>30430.400000000001</v>
      </c>
      <c r="I52" s="13" t="s">
        <v>2379</v>
      </c>
      <c r="J52" s="11" t="s">
        <v>115</v>
      </c>
      <c r="K52" s="13" t="s">
        <v>2380</v>
      </c>
      <c r="L52" s="30" t="s">
        <v>2381</v>
      </c>
      <c r="M52" s="26">
        <v>45322</v>
      </c>
      <c r="N52" s="7" t="s">
        <v>82</v>
      </c>
      <c r="O52" s="7" t="s">
        <v>2915</v>
      </c>
      <c r="P52" s="20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20"/>
      <c r="AD52" s="20"/>
      <c r="AE52" s="1" t="e">
        <f t="shared" si="10"/>
        <v>#DIV/0!</v>
      </c>
      <c r="AF52" s="11" t="e">
        <f t="shared" si="11"/>
        <v>#DIV/0!</v>
      </c>
    </row>
    <row r="53" spans="2:32" ht="26.25" hidden="1" x14ac:dyDescent="0.25">
      <c r="B53" s="5">
        <v>489</v>
      </c>
      <c r="C53" s="13" t="s">
        <v>2387</v>
      </c>
      <c r="D53" s="5" t="s">
        <v>51</v>
      </c>
      <c r="E53" s="13" t="s">
        <v>2388</v>
      </c>
      <c r="F53" s="14" t="s">
        <v>2389</v>
      </c>
      <c r="G53" s="7" t="s">
        <v>45</v>
      </c>
      <c r="H53" s="28">
        <v>72000</v>
      </c>
      <c r="I53" s="13" t="s">
        <v>2390</v>
      </c>
      <c r="J53" s="11" t="s">
        <v>223</v>
      </c>
      <c r="K53" s="13" t="s">
        <v>2391</v>
      </c>
      <c r="L53" s="30" t="s">
        <v>2392</v>
      </c>
      <c r="M53" s="26">
        <v>45322</v>
      </c>
      <c r="N53" s="7" t="s">
        <v>82</v>
      </c>
      <c r="O53" s="7" t="s">
        <v>2915</v>
      </c>
      <c r="P53" s="20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20"/>
      <c r="AD53" s="20"/>
      <c r="AE53" s="1" t="e">
        <f t="shared" si="10"/>
        <v>#DIV/0!</v>
      </c>
      <c r="AF53" s="11" t="e">
        <f t="shared" si="11"/>
        <v>#DIV/0!</v>
      </c>
    </row>
    <row r="54" spans="2:32" ht="25.5" hidden="1" x14ac:dyDescent="0.25">
      <c r="B54" s="5">
        <v>501</v>
      </c>
      <c r="C54" s="5" t="s">
        <v>2449</v>
      </c>
      <c r="D54" s="5" t="s">
        <v>51</v>
      </c>
      <c r="E54" s="7" t="s">
        <v>2450</v>
      </c>
      <c r="F54" s="7" t="s">
        <v>2451</v>
      </c>
      <c r="G54" s="7" t="s">
        <v>36</v>
      </c>
      <c r="H54" s="28">
        <v>164000</v>
      </c>
      <c r="I54" s="13" t="s">
        <v>2452</v>
      </c>
      <c r="J54" s="11" t="s">
        <v>47</v>
      </c>
      <c r="K54" s="7" t="s">
        <v>2453</v>
      </c>
      <c r="L54" s="7" t="s">
        <v>2454</v>
      </c>
      <c r="M54" s="26">
        <v>45322</v>
      </c>
      <c r="N54" s="7" t="s">
        <v>82</v>
      </c>
      <c r="O54" s="7" t="s">
        <v>2915</v>
      </c>
      <c r="P54" s="1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0"/>
      <c r="AD54" s="20"/>
      <c r="AE54" s="1" t="e">
        <f t="shared" si="10"/>
        <v>#DIV/0!</v>
      </c>
      <c r="AF54" s="11" t="e">
        <f t="shared" si="11"/>
        <v>#DIV/0!</v>
      </c>
    </row>
    <row r="55" spans="2:32" ht="25.5" hidden="1" x14ac:dyDescent="0.25">
      <c r="B55" s="5">
        <v>503</v>
      </c>
      <c r="C55" s="5" t="s">
        <v>2462</v>
      </c>
      <c r="D55" s="5" t="s">
        <v>33</v>
      </c>
      <c r="E55" s="5" t="s">
        <v>2463</v>
      </c>
      <c r="F55" s="5" t="s">
        <v>2464</v>
      </c>
      <c r="G55" s="5" t="s">
        <v>107</v>
      </c>
      <c r="H55" s="17">
        <v>926171.28</v>
      </c>
      <c r="I55" s="7" t="s">
        <v>73</v>
      </c>
      <c r="J55" s="5" t="s">
        <v>74</v>
      </c>
      <c r="K55" s="5" t="s">
        <v>2465</v>
      </c>
      <c r="L55" s="51" t="s">
        <v>2466</v>
      </c>
      <c r="M55" s="10">
        <v>45322</v>
      </c>
      <c r="N55" s="7" t="s">
        <v>82</v>
      </c>
      <c r="O55" s="7" t="s">
        <v>2915</v>
      </c>
      <c r="P55" s="7"/>
      <c r="Q55" s="40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 t="e">
        <f t="shared" si="10"/>
        <v>#DIV/0!</v>
      </c>
      <c r="AF55" s="11" t="e">
        <f t="shared" si="11"/>
        <v>#DIV/0!</v>
      </c>
    </row>
    <row r="56" spans="2:32" ht="25.5" hidden="1" x14ac:dyDescent="0.25">
      <c r="B56" s="5">
        <v>504</v>
      </c>
      <c r="C56" s="5" t="s">
        <v>2467</v>
      </c>
      <c r="D56" s="5" t="s">
        <v>33</v>
      </c>
      <c r="E56" s="5" t="s">
        <v>2468</v>
      </c>
      <c r="F56" s="5" t="s">
        <v>2469</v>
      </c>
      <c r="G56" s="7" t="s">
        <v>45</v>
      </c>
      <c r="H56" s="17">
        <v>964213.56</v>
      </c>
      <c r="I56" s="7" t="s">
        <v>73</v>
      </c>
      <c r="J56" s="5" t="s">
        <v>74</v>
      </c>
      <c r="K56" s="5" t="s">
        <v>2470</v>
      </c>
      <c r="L56" s="51" t="s">
        <v>2471</v>
      </c>
      <c r="M56" s="10">
        <v>45322</v>
      </c>
      <c r="N56" s="7" t="s">
        <v>82</v>
      </c>
      <c r="O56" s="7" t="s">
        <v>2915</v>
      </c>
      <c r="P56" s="7"/>
      <c r="Q56" s="40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 t="e">
        <f t="shared" si="10"/>
        <v>#DIV/0!</v>
      </c>
      <c r="AF56" s="11" t="e">
        <f t="shared" si="11"/>
        <v>#DIV/0!</v>
      </c>
    </row>
    <row r="57" spans="2:32" ht="25.5" hidden="1" x14ac:dyDescent="0.25">
      <c r="B57" s="5">
        <v>505</v>
      </c>
      <c r="C57" s="5" t="s">
        <v>2472</v>
      </c>
      <c r="D57" s="5" t="s">
        <v>33</v>
      </c>
      <c r="E57" s="5" t="s">
        <v>2468</v>
      </c>
      <c r="F57" s="5" t="s">
        <v>2473</v>
      </c>
      <c r="G57" s="7" t="s">
        <v>45</v>
      </c>
      <c r="H57" s="17">
        <v>958879.56</v>
      </c>
      <c r="I57" s="7" t="s">
        <v>73</v>
      </c>
      <c r="J57" s="5" t="s">
        <v>74</v>
      </c>
      <c r="K57" s="5" t="s">
        <v>2465</v>
      </c>
      <c r="L57" s="51" t="s">
        <v>2466</v>
      </c>
      <c r="M57" s="10">
        <v>45322</v>
      </c>
      <c r="N57" s="7" t="s">
        <v>82</v>
      </c>
      <c r="O57" s="7" t="s">
        <v>2915</v>
      </c>
      <c r="P57" s="7"/>
      <c r="Q57" s="40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 t="e">
        <f t="shared" si="10"/>
        <v>#DIV/0!</v>
      </c>
      <c r="AF57" s="11" t="e">
        <f t="shared" si="11"/>
        <v>#DIV/0!</v>
      </c>
    </row>
    <row r="58" spans="2:32" ht="39" hidden="1" x14ac:dyDescent="0.25">
      <c r="B58" s="5">
        <v>520</v>
      </c>
      <c r="C58" s="13" t="s">
        <v>2542</v>
      </c>
      <c r="D58" s="5" t="s">
        <v>51</v>
      </c>
      <c r="E58" s="13" t="s">
        <v>2543</v>
      </c>
      <c r="F58" s="14" t="s">
        <v>2544</v>
      </c>
      <c r="G58" s="14" t="s">
        <v>36</v>
      </c>
      <c r="H58" s="28">
        <v>433800</v>
      </c>
      <c r="I58" s="13" t="s">
        <v>2545</v>
      </c>
      <c r="J58" s="11" t="s">
        <v>38</v>
      </c>
      <c r="K58" s="13" t="s">
        <v>2546</v>
      </c>
      <c r="L58" s="30" t="s">
        <v>2541</v>
      </c>
      <c r="M58" s="26">
        <v>45322</v>
      </c>
      <c r="N58" s="7" t="s">
        <v>82</v>
      </c>
      <c r="O58" s="7" t="s">
        <v>2915</v>
      </c>
      <c r="P58" s="1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0"/>
      <c r="AD58" s="20"/>
      <c r="AE58" s="1" t="e">
        <f t="shared" ref="AE58:AE71" si="12">AVERAGE(Q58:AD58)</f>
        <v>#DIV/0!</v>
      </c>
      <c r="AF58" s="11" t="e">
        <f t="shared" ref="AF58:AF71" si="13">IF(AE58&gt;=$AF$1,"APROVADO","REPROVADO")</f>
        <v>#DIV/0!</v>
      </c>
    </row>
    <row r="59" spans="2:32" ht="26.25" hidden="1" x14ac:dyDescent="0.25">
      <c r="B59" s="5">
        <v>521</v>
      </c>
      <c r="C59" s="13" t="s">
        <v>2547</v>
      </c>
      <c r="D59" s="5" t="s">
        <v>51</v>
      </c>
      <c r="E59" s="13" t="s">
        <v>2543</v>
      </c>
      <c r="F59" s="14" t="s">
        <v>2548</v>
      </c>
      <c r="G59" s="14" t="s">
        <v>36</v>
      </c>
      <c r="H59" s="28">
        <v>600000</v>
      </c>
      <c r="I59" s="13" t="s">
        <v>2545</v>
      </c>
      <c r="J59" s="11" t="s">
        <v>38</v>
      </c>
      <c r="K59" s="13" t="s">
        <v>2549</v>
      </c>
      <c r="L59" s="30" t="s">
        <v>2550</v>
      </c>
      <c r="M59" s="26">
        <v>45322</v>
      </c>
      <c r="N59" s="7" t="s">
        <v>82</v>
      </c>
      <c r="O59" s="7" t="s">
        <v>2915</v>
      </c>
      <c r="P59" s="1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0"/>
      <c r="AD59" s="20"/>
      <c r="AE59" s="1" t="e">
        <f t="shared" si="12"/>
        <v>#DIV/0!</v>
      </c>
      <c r="AF59" s="11" t="e">
        <f t="shared" si="13"/>
        <v>#DIV/0!</v>
      </c>
    </row>
    <row r="60" spans="2:32" ht="39" hidden="1" x14ac:dyDescent="0.25">
      <c r="B60" s="5">
        <v>522</v>
      </c>
      <c r="C60" s="13" t="s">
        <v>2551</v>
      </c>
      <c r="D60" s="5" t="s">
        <v>51</v>
      </c>
      <c r="E60" s="13" t="s">
        <v>2543</v>
      </c>
      <c r="F60" s="14" t="s">
        <v>2552</v>
      </c>
      <c r="G60" s="14" t="s">
        <v>36</v>
      </c>
      <c r="H60" s="28">
        <v>58200</v>
      </c>
      <c r="I60" s="13" t="s">
        <v>2545</v>
      </c>
      <c r="J60" s="11" t="s">
        <v>38</v>
      </c>
      <c r="K60" s="13" t="s">
        <v>2546</v>
      </c>
      <c r="L60" s="30" t="s">
        <v>2513</v>
      </c>
      <c r="M60" s="26">
        <v>45322</v>
      </c>
      <c r="N60" s="7" t="s">
        <v>82</v>
      </c>
      <c r="O60" s="7" t="s">
        <v>2915</v>
      </c>
      <c r="P60" s="1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0"/>
      <c r="AD60" s="20"/>
      <c r="AE60" s="1" t="e">
        <f t="shared" si="12"/>
        <v>#DIV/0!</v>
      </c>
      <c r="AF60" s="11" t="e">
        <f t="shared" si="13"/>
        <v>#DIV/0!</v>
      </c>
    </row>
    <row r="61" spans="2:32" ht="25.5" hidden="1" x14ac:dyDescent="0.25">
      <c r="B61" s="5">
        <v>525</v>
      </c>
      <c r="C61" s="5" t="s">
        <v>2565</v>
      </c>
      <c r="D61" s="5" t="s">
        <v>33</v>
      </c>
      <c r="E61" s="5" t="s">
        <v>2566</v>
      </c>
      <c r="F61" s="5" t="s">
        <v>2567</v>
      </c>
      <c r="G61" s="7" t="s">
        <v>36</v>
      </c>
      <c r="H61" s="17">
        <v>100250.84</v>
      </c>
      <c r="I61" s="7" t="s">
        <v>2556</v>
      </c>
      <c r="J61" s="5" t="s">
        <v>115</v>
      </c>
      <c r="K61" s="5" t="s">
        <v>2568</v>
      </c>
      <c r="L61" s="51" t="s">
        <v>2569</v>
      </c>
      <c r="M61" s="10">
        <v>45322</v>
      </c>
      <c r="N61" s="7" t="s">
        <v>82</v>
      </c>
      <c r="O61" s="7" t="s">
        <v>2915</v>
      </c>
      <c r="P61" s="20"/>
      <c r="Q61" s="40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 t="e">
        <f t="shared" si="12"/>
        <v>#DIV/0!</v>
      </c>
      <c r="AF61" s="11" t="e">
        <f t="shared" si="13"/>
        <v>#DIV/0!</v>
      </c>
    </row>
    <row r="62" spans="2:32" ht="25.5" hidden="1" x14ac:dyDescent="0.25">
      <c r="B62" s="5">
        <v>528</v>
      </c>
      <c r="C62" s="5" t="s">
        <v>2581</v>
      </c>
      <c r="D62" s="5" t="s">
        <v>51</v>
      </c>
      <c r="E62" s="7" t="s">
        <v>2582</v>
      </c>
      <c r="F62" s="7" t="s">
        <v>2583</v>
      </c>
      <c r="G62" s="7" t="s">
        <v>36</v>
      </c>
      <c r="H62" s="28">
        <v>33600</v>
      </c>
      <c r="I62" s="13" t="s">
        <v>2584</v>
      </c>
      <c r="J62" s="11" t="s">
        <v>254</v>
      </c>
      <c r="K62" s="13" t="s">
        <v>2585</v>
      </c>
      <c r="L62" s="14" t="s">
        <v>2586</v>
      </c>
      <c r="M62" s="26">
        <v>45322</v>
      </c>
      <c r="N62" s="7" t="s">
        <v>82</v>
      </c>
      <c r="O62" s="7" t="s">
        <v>2915</v>
      </c>
      <c r="P62" s="1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0"/>
      <c r="AD62" s="20"/>
      <c r="AE62" s="1" t="e">
        <f t="shared" si="12"/>
        <v>#DIV/0!</v>
      </c>
      <c r="AF62" s="11" t="e">
        <f t="shared" si="13"/>
        <v>#DIV/0!</v>
      </c>
    </row>
    <row r="63" spans="2:32" ht="25.5" hidden="1" x14ac:dyDescent="0.25">
      <c r="B63" s="5">
        <v>529</v>
      </c>
      <c r="C63" s="5" t="s">
        <v>2588</v>
      </c>
      <c r="D63" s="5" t="s">
        <v>51</v>
      </c>
      <c r="E63" s="7" t="s">
        <v>2582</v>
      </c>
      <c r="F63" s="7" t="s">
        <v>2589</v>
      </c>
      <c r="G63" s="7" t="s">
        <v>36</v>
      </c>
      <c r="H63" s="28">
        <v>432000</v>
      </c>
      <c r="I63" s="13" t="s">
        <v>2584</v>
      </c>
      <c r="J63" s="11" t="s">
        <v>254</v>
      </c>
      <c r="K63" s="13" t="s">
        <v>2585</v>
      </c>
      <c r="L63" s="14" t="s">
        <v>2586</v>
      </c>
      <c r="M63" s="26">
        <v>45322</v>
      </c>
      <c r="N63" s="7" t="s">
        <v>82</v>
      </c>
      <c r="O63" s="7" t="s">
        <v>2915</v>
      </c>
      <c r="P63" s="1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0"/>
      <c r="AD63" s="20"/>
      <c r="AE63" s="1" t="e">
        <f t="shared" si="12"/>
        <v>#DIV/0!</v>
      </c>
      <c r="AF63" s="11" t="e">
        <f t="shared" si="13"/>
        <v>#DIV/0!</v>
      </c>
    </row>
    <row r="64" spans="2:32" ht="25.5" hidden="1" x14ac:dyDescent="0.25">
      <c r="B64" s="5">
        <v>530</v>
      </c>
      <c r="C64" s="5" t="s">
        <v>2590</v>
      </c>
      <c r="D64" s="5" t="s">
        <v>51</v>
      </c>
      <c r="E64" s="7" t="s">
        <v>2582</v>
      </c>
      <c r="F64" s="7" t="s">
        <v>2591</v>
      </c>
      <c r="G64" s="7" t="s">
        <v>36</v>
      </c>
      <c r="H64" s="28">
        <v>33600</v>
      </c>
      <c r="I64" s="13" t="s">
        <v>2584</v>
      </c>
      <c r="J64" s="11" t="s">
        <v>254</v>
      </c>
      <c r="K64" s="13" t="s">
        <v>2585</v>
      </c>
      <c r="L64" s="14" t="s">
        <v>2586</v>
      </c>
      <c r="M64" s="26">
        <v>45322</v>
      </c>
      <c r="N64" s="7" t="s">
        <v>82</v>
      </c>
      <c r="O64" s="7" t="s">
        <v>2915</v>
      </c>
      <c r="P64" s="1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0"/>
      <c r="AD64" s="20"/>
      <c r="AE64" s="1" t="e">
        <f t="shared" si="12"/>
        <v>#DIV/0!</v>
      </c>
      <c r="AF64" s="11" t="e">
        <f t="shared" si="13"/>
        <v>#DIV/0!</v>
      </c>
    </row>
    <row r="65" spans="2:32" ht="25.5" hidden="1" x14ac:dyDescent="0.25">
      <c r="B65" s="5">
        <v>533</v>
      </c>
      <c r="C65" s="5" t="s">
        <v>2600</v>
      </c>
      <c r="D65" s="5" t="s">
        <v>33</v>
      </c>
      <c r="E65" s="7" t="s">
        <v>2593</v>
      </c>
      <c r="F65" s="7" t="s">
        <v>2601</v>
      </c>
      <c r="G65" s="5" t="s">
        <v>62</v>
      </c>
      <c r="H65" s="8">
        <v>572385</v>
      </c>
      <c r="I65" s="7" t="s">
        <v>2595</v>
      </c>
      <c r="J65" s="7" t="s">
        <v>391</v>
      </c>
      <c r="K65" s="7" t="s">
        <v>2596</v>
      </c>
      <c r="L65" s="9" t="s">
        <v>2597</v>
      </c>
      <c r="M65" s="10">
        <v>45322</v>
      </c>
      <c r="N65" s="7" t="s">
        <v>82</v>
      </c>
      <c r="O65" s="7" t="s">
        <v>2915</v>
      </c>
      <c r="P65" s="7"/>
      <c r="Q65" s="40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 t="e">
        <f t="shared" si="12"/>
        <v>#DIV/0!</v>
      </c>
      <c r="AF65" s="11" t="e">
        <f t="shared" si="13"/>
        <v>#DIV/0!</v>
      </c>
    </row>
    <row r="66" spans="2:32" ht="25.5" hidden="1" x14ac:dyDescent="0.25">
      <c r="B66" s="5">
        <v>539</v>
      </c>
      <c r="C66" s="5" t="s">
        <v>2619</v>
      </c>
      <c r="D66" s="5" t="s">
        <v>33</v>
      </c>
      <c r="E66" s="7" t="s">
        <v>2620</v>
      </c>
      <c r="F66" s="7" t="s">
        <v>2621</v>
      </c>
      <c r="G66" s="7" t="s">
        <v>36</v>
      </c>
      <c r="H66" s="8">
        <v>711219.24</v>
      </c>
      <c r="I66" s="7" t="s">
        <v>73</v>
      </c>
      <c r="J66" s="5" t="s">
        <v>74</v>
      </c>
      <c r="K66" s="7" t="s">
        <v>2622</v>
      </c>
      <c r="L66" s="9" t="s">
        <v>2623</v>
      </c>
      <c r="M66" s="10">
        <v>45322</v>
      </c>
      <c r="N66" s="7" t="s">
        <v>82</v>
      </c>
      <c r="O66" s="7" t="s">
        <v>2915</v>
      </c>
      <c r="P66" s="7"/>
      <c r="Q66" s="40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 t="e">
        <f t="shared" si="12"/>
        <v>#DIV/0!</v>
      </c>
      <c r="AF66" s="11" t="e">
        <f t="shared" si="13"/>
        <v>#DIV/0!</v>
      </c>
    </row>
    <row r="67" spans="2:32" ht="25.5" hidden="1" x14ac:dyDescent="0.25">
      <c r="B67" s="5">
        <v>543</v>
      </c>
      <c r="C67" s="5" t="s">
        <v>2634</v>
      </c>
      <c r="D67" s="5" t="s">
        <v>33</v>
      </c>
      <c r="E67" s="7" t="s">
        <v>2635</v>
      </c>
      <c r="F67" s="7" t="s">
        <v>2636</v>
      </c>
      <c r="G67" s="7" t="s">
        <v>36</v>
      </c>
      <c r="H67" s="8">
        <v>500000</v>
      </c>
      <c r="I67" s="7" t="s">
        <v>2436</v>
      </c>
      <c r="J67" s="7" t="s">
        <v>254</v>
      </c>
      <c r="K67" s="7" t="s">
        <v>2637</v>
      </c>
      <c r="L67" s="9" t="s">
        <v>2638</v>
      </c>
      <c r="M67" s="10">
        <v>45322</v>
      </c>
      <c r="N67" s="7" t="s">
        <v>82</v>
      </c>
      <c r="O67" s="7" t="s">
        <v>2915</v>
      </c>
      <c r="P67" s="9"/>
      <c r="Q67" s="40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 t="e">
        <f t="shared" si="12"/>
        <v>#DIV/0!</v>
      </c>
      <c r="AF67" s="11" t="e">
        <f t="shared" si="13"/>
        <v>#DIV/0!</v>
      </c>
    </row>
    <row r="68" spans="2:32" ht="25.5" hidden="1" x14ac:dyDescent="0.25">
      <c r="B68" s="5">
        <v>559</v>
      </c>
      <c r="C68" s="5" t="s">
        <v>2683</v>
      </c>
      <c r="D68" s="5" t="s">
        <v>33</v>
      </c>
      <c r="E68" s="7" t="s">
        <v>2684</v>
      </c>
      <c r="F68" s="7" t="s">
        <v>45</v>
      </c>
      <c r="G68" s="7" t="s">
        <v>45</v>
      </c>
      <c r="H68" s="8">
        <v>0</v>
      </c>
      <c r="I68" s="7" t="s">
        <v>73</v>
      </c>
      <c r="J68" s="5" t="s">
        <v>74</v>
      </c>
      <c r="K68" s="7" t="s">
        <v>2685</v>
      </c>
      <c r="L68" s="9" t="s">
        <v>2686</v>
      </c>
      <c r="M68" s="10">
        <v>45322</v>
      </c>
      <c r="N68" s="7" t="s">
        <v>82</v>
      </c>
      <c r="O68" s="7" t="s">
        <v>2915</v>
      </c>
      <c r="P68" s="7" t="s">
        <v>2687</v>
      </c>
      <c r="Q68" s="40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 t="e">
        <f t="shared" si="12"/>
        <v>#DIV/0!</v>
      </c>
      <c r="AF68" s="11" t="e">
        <f t="shared" si="13"/>
        <v>#DIV/0!</v>
      </c>
    </row>
    <row r="69" spans="2:32" ht="25.5" hidden="1" x14ac:dyDescent="0.25">
      <c r="B69" s="5">
        <v>560</v>
      </c>
      <c r="C69" s="5" t="s">
        <v>2688</v>
      </c>
      <c r="D69" s="5" t="s">
        <v>33</v>
      </c>
      <c r="E69" s="7" t="s">
        <v>2689</v>
      </c>
      <c r="F69" s="7" t="s">
        <v>45</v>
      </c>
      <c r="G69" s="7" t="s">
        <v>45</v>
      </c>
      <c r="H69" s="8" t="s">
        <v>45</v>
      </c>
      <c r="I69" s="7" t="s">
        <v>73</v>
      </c>
      <c r="J69" s="5" t="s">
        <v>74</v>
      </c>
      <c r="K69" s="7" t="s">
        <v>2690</v>
      </c>
      <c r="L69" s="9" t="s">
        <v>2691</v>
      </c>
      <c r="M69" s="10">
        <v>45322</v>
      </c>
      <c r="N69" s="7" t="s">
        <v>82</v>
      </c>
      <c r="O69" s="7" t="s">
        <v>2915</v>
      </c>
      <c r="P69" s="7"/>
      <c r="Q69" s="40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 t="e">
        <f t="shared" si="12"/>
        <v>#DIV/0!</v>
      </c>
      <c r="AF69" s="11" t="e">
        <f t="shared" si="13"/>
        <v>#DIV/0!</v>
      </c>
    </row>
    <row r="70" spans="2:32" ht="25.5" hidden="1" x14ac:dyDescent="0.25">
      <c r="B70" s="5">
        <v>573</v>
      </c>
      <c r="C70" s="5" t="s">
        <v>2740</v>
      </c>
      <c r="D70" s="5" t="s">
        <v>33</v>
      </c>
      <c r="E70" s="7" t="s">
        <v>2741</v>
      </c>
      <c r="F70" s="7" t="s">
        <v>2742</v>
      </c>
      <c r="G70" s="7" t="s">
        <v>107</v>
      </c>
      <c r="H70" s="8">
        <v>1214351.32</v>
      </c>
      <c r="I70" s="7" t="s">
        <v>73</v>
      </c>
      <c r="J70" s="5" t="s">
        <v>74</v>
      </c>
      <c r="K70" s="7" t="s">
        <v>2743</v>
      </c>
      <c r="L70" s="9" t="s">
        <v>2744</v>
      </c>
      <c r="M70" s="10">
        <v>45322</v>
      </c>
      <c r="N70" s="7" t="s">
        <v>82</v>
      </c>
      <c r="O70" s="7" t="s">
        <v>419</v>
      </c>
      <c r="P70" s="7"/>
      <c r="Q70" s="4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 t="e">
        <f t="shared" si="12"/>
        <v>#DIV/0!</v>
      </c>
      <c r="AF70" s="11" t="e">
        <f t="shared" si="13"/>
        <v>#DIV/0!</v>
      </c>
    </row>
    <row r="71" spans="2:32" ht="38.25" hidden="1" x14ac:dyDescent="0.25">
      <c r="B71" s="5">
        <v>574</v>
      </c>
      <c r="C71" s="5" t="s">
        <v>2745</v>
      </c>
      <c r="D71" s="5" t="s">
        <v>33</v>
      </c>
      <c r="E71" s="7" t="s">
        <v>2746</v>
      </c>
      <c r="F71" s="7" t="s">
        <v>2747</v>
      </c>
      <c r="G71" s="7" t="s">
        <v>107</v>
      </c>
      <c r="H71" s="8">
        <v>388400</v>
      </c>
      <c r="I71" s="7" t="s">
        <v>2748</v>
      </c>
      <c r="J71" s="7" t="s">
        <v>795</v>
      </c>
      <c r="K71" s="7" t="s">
        <v>2749</v>
      </c>
      <c r="L71" s="9" t="s">
        <v>2750</v>
      </c>
      <c r="M71" s="10">
        <v>45322</v>
      </c>
      <c r="N71" s="7" t="s">
        <v>82</v>
      </c>
      <c r="O71" s="7" t="s">
        <v>2915</v>
      </c>
      <c r="P71" s="7"/>
      <c r="Q71" s="40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 t="e">
        <f t="shared" si="12"/>
        <v>#DIV/0!</v>
      </c>
      <c r="AF71" s="11" t="e">
        <f t="shared" si="13"/>
        <v>#DIV/0!</v>
      </c>
    </row>
    <row r="72" spans="2:32" ht="38.25" hidden="1" x14ac:dyDescent="0.25">
      <c r="B72" s="5">
        <v>575</v>
      </c>
      <c r="C72" s="5" t="s">
        <v>2752</v>
      </c>
      <c r="D72" s="5" t="s">
        <v>33</v>
      </c>
      <c r="E72" s="7" t="s">
        <v>2746</v>
      </c>
      <c r="F72" s="7" t="s">
        <v>2753</v>
      </c>
      <c r="G72" s="7" t="s">
        <v>107</v>
      </c>
      <c r="H72" s="8">
        <v>342980</v>
      </c>
      <c r="I72" s="7" t="s">
        <v>2748</v>
      </c>
      <c r="J72" s="7" t="s">
        <v>795</v>
      </c>
      <c r="K72" s="7" t="s">
        <v>2754</v>
      </c>
      <c r="L72" s="9" t="s">
        <v>2750</v>
      </c>
      <c r="M72" s="10">
        <v>45322</v>
      </c>
      <c r="N72" s="7" t="s">
        <v>82</v>
      </c>
      <c r="O72" s="7" t="s">
        <v>2915</v>
      </c>
      <c r="P72" s="7"/>
      <c r="Q72" s="40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 t="e">
        <f t="shared" ref="AE72:AE94" si="14">AVERAGE(Q72:AD72)</f>
        <v>#DIV/0!</v>
      </c>
      <c r="AF72" s="11" t="e">
        <f t="shared" ref="AF72:AF94" si="15">IF(AE72&gt;=$AF$1,"APROVADO","REPROVADO")</f>
        <v>#DIV/0!</v>
      </c>
    </row>
    <row r="73" spans="2:32" ht="25.5" hidden="1" x14ac:dyDescent="0.25">
      <c r="B73" s="5">
        <v>576</v>
      </c>
      <c r="C73" s="5" t="s">
        <v>2755</v>
      </c>
      <c r="D73" s="5" t="s">
        <v>33</v>
      </c>
      <c r="E73" s="7" t="s">
        <v>2756</v>
      </c>
      <c r="F73" s="7" t="s">
        <v>2757</v>
      </c>
      <c r="G73" s="7" t="s">
        <v>36</v>
      </c>
      <c r="H73" s="8">
        <v>161302.98000000001</v>
      </c>
      <c r="I73" s="7" t="s">
        <v>73</v>
      </c>
      <c r="J73" s="5" t="s">
        <v>74</v>
      </c>
      <c r="K73" s="7" t="s">
        <v>2758</v>
      </c>
      <c r="L73" s="9" t="s">
        <v>2759</v>
      </c>
      <c r="M73" s="10">
        <v>45322</v>
      </c>
      <c r="N73" s="7" t="s">
        <v>82</v>
      </c>
      <c r="O73" s="7" t="s">
        <v>2915</v>
      </c>
      <c r="P73" s="7"/>
      <c r="Q73" s="40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 t="e">
        <f t="shared" si="14"/>
        <v>#DIV/0!</v>
      </c>
      <c r="AF73" s="11" t="e">
        <f t="shared" si="15"/>
        <v>#DIV/0!</v>
      </c>
    </row>
    <row r="74" spans="2:32" ht="38.25" hidden="1" x14ac:dyDescent="0.25">
      <c r="B74" s="5">
        <v>578</v>
      </c>
      <c r="C74" s="5" t="s">
        <v>2766</v>
      </c>
      <c r="D74" s="5" t="s">
        <v>33</v>
      </c>
      <c r="E74" s="7" t="s">
        <v>2746</v>
      </c>
      <c r="F74" s="7" t="s">
        <v>2767</v>
      </c>
      <c r="G74" s="7" t="s">
        <v>107</v>
      </c>
      <c r="H74" s="8">
        <v>356288</v>
      </c>
      <c r="I74" s="7" t="s">
        <v>2748</v>
      </c>
      <c r="J74" s="7" t="s">
        <v>795</v>
      </c>
      <c r="K74" s="7" t="s">
        <v>2768</v>
      </c>
      <c r="L74" s="9" t="s">
        <v>2750</v>
      </c>
      <c r="M74" s="10">
        <v>45322</v>
      </c>
      <c r="N74" s="7" t="s">
        <v>82</v>
      </c>
      <c r="O74" s="7" t="s">
        <v>2915</v>
      </c>
      <c r="P74" s="7" t="s">
        <v>784</v>
      </c>
      <c r="Q74" s="40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 t="e">
        <f t="shared" si="14"/>
        <v>#DIV/0!</v>
      </c>
      <c r="AF74" s="11" t="e">
        <f t="shared" si="15"/>
        <v>#DIV/0!</v>
      </c>
    </row>
    <row r="75" spans="2:32" ht="25.5" hidden="1" x14ac:dyDescent="0.25">
      <c r="B75" s="5">
        <v>579</v>
      </c>
      <c r="C75" s="5" t="s">
        <v>2769</v>
      </c>
      <c r="D75" s="5" t="s">
        <v>33</v>
      </c>
      <c r="E75" s="7" t="s">
        <v>2761</v>
      </c>
      <c r="F75" s="7" t="s">
        <v>2770</v>
      </c>
      <c r="G75" s="7" t="s">
        <v>107</v>
      </c>
      <c r="H75" s="8">
        <v>517300</v>
      </c>
      <c r="I75" s="7" t="s">
        <v>73</v>
      </c>
      <c r="J75" s="5" t="s">
        <v>74</v>
      </c>
      <c r="K75" s="7" t="s">
        <v>2763</v>
      </c>
      <c r="L75" s="9" t="s">
        <v>2764</v>
      </c>
      <c r="M75" s="10">
        <v>45322</v>
      </c>
      <c r="N75" s="7" t="s">
        <v>82</v>
      </c>
      <c r="O75" s="7" t="s">
        <v>2915</v>
      </c>
      <c r="P75" s="9"/>
      <c r="Q75" s="40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 t="e">
        <f t="shared" si="14"/>
        <v>#DIV/0!</v>
      </c>
      <c r="AF75" s="11" t="e">
        <f t="shared" si="15"/>
        <v>#DIV/0!</v>
      </c>
    </row>
    <row r="76" spans="2:32" ht="25.5" hidden="1" x14ac:dyDescent="0.25">
      <c r="B76" s="5">
        <v>580</v>
      </c>
      <c r="C76" s="5" t="s">
        <v>2771</v>
      </c>
      <c r="D76" s="5" t="s">
        <v>33</v>
      </c>
      <c r="E76" s="7" t="s">
        <v>2761</v>
      </c>
      <c r="F76" s="7" t="s">
        <v>2772</v>
      </c>
      <c r="G76" s="7" t="s">
        <v>107</v>
      </c>
      <c r="H76" s="8">
        <v>472580</v>
      </c>
      <c r="I76" s="7" t="s">
        <v>73</v>
      </c>
      <c r="J76" s="5" t="s">
        <v>74</v>
      </c>
      <c r="K76" s="7" t="s">
        <v>2763</v>
      </c>
      <c r="L76" s="9" t="s">
        <v>2764</v>
      </c>
      <c r="M76" s="10">
        <v>45322</v>
      </c>
      <c r="N76" s="7" t="s">
        <v>82</v>
      </c>
      <c r="O76" s="7" t="s">
        <v>2915</v>
      </c>
      <c r="P76" s="7" t="s">
        <v>2765</v>
      </c>
      <c r="Q76" s="40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 t="e">
        <f t="shared" si="14"/>
        <v>#DIV/0!</v>
      </c>
      <c r="AF76" s="11" t="e">
        <f t="shared" si="15"/>
        <v>#DIV/0!</v>
      </c>
    </row>
    <row r="77" spans="2:32" ht="25.5" hidden="1" x14ac:dyDescent="0.25">
      <c r="B77" s="5">
        <v>581</v>
      </c>
      <c r="C77" s="5" t="s">
        <v>2773</v>
      </c>
      <c r="D77" s="5" t="s">
        <v>33</v>
      </c>
      <c r="E77" s="7" t="s">
        <v>2774</v>
      </c>
      <c r="F77" s="7" t="s">
        <v>2775</v>
      </c>
      <c r="G77" s="7" t="s">
        <v>107</v>
      </c>
      <c r="H77" s="8">
        <v>811992.39</v>
      </c>
      <c r="I77" s="7" t="s">
        <v>73</v>
      </c>
      <c r="J77" s="5" t="s">
        <v>74</v>
      </c>
      <c r="K77" s="7" t="s">
        <v>2776</v>
      </c>
      <c r="L77" s="9" t="s">
        <v>2777</v>
      </c>
      <c r="M77" s="10">
        <v>45322</v>
      </c>
      <c r="N77" s="7" t="s">
        <v>82</v>
      </c>
      <c r="O77" s="7" t="s">
        <v>2915</v>
      </c>
      <c r="P77" s="9"/>
      <c r="Q77" s="40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 t="e">
        <f t="shared" si="14"/>
        <v>#DIV/0!</v>
      </c>
      <c r="AF77" s="11" t="e">
        <f t="shared" si="15"/>
        <v>#DIV/0!</v>
      </c>
    </row>
    <row r="78" spans="2:32" ht="25.5" hidden="1" x14ac:dyDescent="0.25">
      <c r="B78" s="5">
        <v>582</v>
      </c>
      <c r="C78" s="5" t="s">
        <v>2778</v>
      </c>
      <c r="D78" s="5" t="s">
        <v>33</v>
      </c>
      <c r="E78" s="7" t="s">
        <v>2779</v>
      </c>
      <c r="F78" s="7" t="s">
        <v>2780</v>
      </c>
      <c r="G78" s="7" t="s">
        <v>107</v>
      </c>
      <c r="H78" s="8">
        <v>780717.03</v>
      </c>
      <c r="I78" s="7" t="s">
        <v>73</v>
      </c>
      <c r="J78" s="5" t="s">
        <v>74</v>
      </c>
      <c r="K78" s="7" t="s">
        <v>2781</v>
      </c>
      <c r="L78" s="9" t="s">
        <v>2782</v>
      </c>
      <c r="M78" s="10">
        <v>45322</v>
      </c>
      <c r="N78" s="7" t="s">
        <v>82</v>
      </c>
      <c r="O78" s="7" t="s">
        <v>2915</v>
      </c>
      <c r="P78" s="9"/>
      <c r="Q78" s="40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 t="e">
        <f t="shared" si="14"/>
        <v>#DIV/0!</v>
      </c>
      <c r="AF78" s="11" t="e">
        <f t="shared" si="15"/>
        <v>#DIV/0!</v>
      </c>
    </row>
    <row r="79" spans="2:32" ht="25.5" hidden="1" x14ac:dyDescent="0.25">
      <c r="B79" s="5">
        <v>583</v>
      </c>
      <c r="C79" s="5" t="s">
        <v>2783</v>
      </c>
      <c r="D79" s="5" t="s">
        <v>33</v>
      </c>
      <c r="E79" s="7" t="s">
        <v>2779</v>
      </c>
      <c r="F79" s="7" t="s">
        <v>2784</v>
      </c>
      <c r="G79" s="7" t="s">
        <v>107</v>
      </c>
      <c r="H79" s="8">
        <v>780717.03</v>
      </c>
      <c r="I79" s="7" t="s">
        <v>73</v>
      </c>
      <c r="J79" s="5" t="s">
        <v>74</v>
      </c>
      <c r="K79" s="7" t="s">
        <v>2781</v>
      </c>
      <c r="L79" s="9" t="s">
        <v>2782</v>
      </c>
      <c r="M79" s="10">
        <v>45322</v>
      </c>
      <c r="N79" s="7" t="s">
        <v>82</v>
      </c>
      <c r="O79" s="7" t="s">
        <v>2915</v>
      </c>
      <c r="P79" s="9"/>
      <c r="Q79" s="40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 t="e">
        <f t="shared" si="14"/>
        <v>#DIV/0!</v>
      </c>
      <c r="AF79" s="11" t="e">
        <f t="shared" si="15"/>
        <v>#DIV/0!</v>
      </c>
    </row>
    <row r="80" spans="2:32" ht="25.5" hidden="1" x14ac:dyDescent="0.25">
      <c r="B80" s="5">
        <v>584</v>
      </c>
      <c r="C80" s="5" t="s">
        <v>2785</v>
      </c>
      <c r="D80" s="5" t="s">
        <v>33</v>
      </c>
      <c r="E80" s="7" t="s">
        <v>2786</v>
      </c>
      <c r="F80" s="7" t="s">
        <v>2787</v>
      </c>
      <c r="G80" s="5" t="s">
        <v>62</v>
      </c>
      <c r="H80" s="8">
        <v>845957.38</v>
      </c>
      <c r="I80" s="7" t="s">
        <v>73</v>
      </c>
      <c r="J80" s="5" t="s">
        <v>74</v>
      </c>
      <c r="K80" s="7" t="s">
        <v>2788</v>
      </c>
      <c r="L80" s="9" t="s">
        <v>2789</v>
      </c>
      <c r="M80" s="10">
        <v>45322</v>
      </c>
      <c r="N80" s="7" t="s">
        <v>82</v>
      </c>
      <c r="O80" s="7" t="s">
        <v>2915</v>
      </c>
      <c r="P80" s="9" t="s">
        <v>2790</v>
      </c>
      <c r="Q80" s="40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 t="e">
        <f t="shared" si="14"/>
        <v>#DIV/0!</v>
      </c>
      <c r="AF80" s="11" t="e">
        <f t="shared" si="15"/>
        <v>#DIV/0!</v>
      </c>
    </row>
    <row r="81" spans="2:32" ht="25.5" hidden="1" x14ac:dyDescent="0.25">
      <c r="B81" s="5">
        <v>595</v>
      </c>
      <c r="C81" s="5" t="s">
        <v>2827</v>
      </c>
      <c r="D81" s="5" t="s">
        <v>33</v>
      </c>
      <c r="E81" s="7" t="s">
        <v>2828</v>
      </c>
      <c r="F81" s="7" t="s">
        <v>2808</v>
      </c>
      <c r="G81" s="7" t="s">
        <v>107</v>
      </c>
      <c r="H81" s="8">
        <v>367680</v>
      </c>
      <c r="I81" s="7" t="s">
        <v>73</v>
      </c>
      <c r="J81" s="5" t="s">
        <v>74</v>
      </c>
      <c r="K81" s="7" t="s">
        <v>2829</v>
      </c>
      <c r="L81" s="9" t="s">
        <v>2830</v>
      </c>
      <c r="M81" s="10">
        <v>45322</v>
      </c>
      <c r="N81" s="7" t="s">
        <v>82</v>
      </c>
      <c r="O81" s="7" t="s">
        <v>2915</v>
      </c>
      <c r="P81" s="9"/>
      <c r="Q81" s="40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 t="e">
        <f t="shared" si="14"/>
        <v>#DIV/0!</v>
      </c>
      <c r="AF81" s="11" t="e">
        <f t="shared" si="15"/>
        <v>#DIV/0!</v>
      </c>
    </row>
    <row r="82" spans="2:32" ht="25.5" hidden="1" x14ac:dyDescent="0.25">
      <c r="B82" s="5">
        <v>596</v>
      </c>
      <c r="C82" s="5" t="s">
        <v>2831</v>
      </c>
      <c r="D82" s="5" t="s">
        <v>51</v>
      </c>
      <c r="E82" s="7" t="s">
        <v>2832</v>
      </c>
      <c r="F82" s="7" t="s">
        <v>2833</v>
      </c>
      <c r="G82" s="7" t="s">
        <v>45</v>
      </c>
      <c r="H82" s="28">
        <v>265000</v>
      </c>
      <c r="I82" s="13" t="s">
        <v>2834</v>
      </c>
      <c r="J82" s="11" t="s">
        <v>181</v>
      </c>
      <c r="K82" s="13" t="s">
        <v>2835</v>
      </c>
      <c r="L82" s="30" t="s">
        <v>2836</v>
      </c>
      <c r="M82" s="26">
        <v>45322</v>
      </c>
      <c r="N82" s="7" t="s">
        <v>82</v>
      </c>
      <c r="O82" s="7" t="s">
        <v>2915</v>
      </c>
      <c r="P82" s="1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0"/>
      <c r="AD82" s="20"/>
      <c r="AE82" s="1" t="e">
        <f t="shared" si="14"/>
        <v>#DIV/0!</v>
      </c>
      <c r="AF82" s="11" t="e">
        <f t="shared" si="15"/>
        <v>#DIV/0!</v>
      </c>
    </row>
    <row r="83" spans="2:32" ht="25.5" hidden="1" x14ac:dyDescent="0.25">
      <c r="B83" s="5">
        <v>597</v>
      </c>
      <c r="C83" s="5" t="s">
        <v>2837</v>
      </c>
      <c r="D83" s="5" t="s">
        <v>33</v>
      </c>
      <c r="E83" s="7" t="s">
        <v>2838</v>
      </c>
      <c r="F83" s="7" t="s">
        <v>2839</v>
      </c>
      <c r="G83" s="7" t="s">
        <v>107</v>
      </c>
      <c r="H83" s="8">
        <v>1819351.32</v>
      </c>
      <c r="I83" s="7" t="s">
        <v>73</v>
      </c>
      <c r="J83" s="5" t="s">
        <v>74</v>
      </c>
      <c r="K83" s="7" t="s">
        <v>2840</v>
      </c>
      <c r="L83" s="9" t="s">
        <v>2841</v>
      </c>
      <c r="M83" s="10">
        <v>45322</v>
      </c>
      <c r="N83" s="7" t="s">
        <v>82</v>
      </c>
      <c r="O83" s="7" t="s">
        <v>419</v>
      </c>
      <c r="P83" s="7"/>
      <c r="Q83" s="40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 t="e">
        <f t="shared" si="14"/>
        <v>#DIV/0!</v>
      </c>
      <c r="AF83" s="11" t="e">
        <f t="shared" si="15"/>
        <v>#DIV/0!</v>
      </c>
    </row>
    <row r="84" spans="2:32" ht="25.5" hidden="1" x14ac:dyDescent="0.25">
      <c r="B84" s="5">
        <v>598</v>
      </c>
      <c r="C84" s="5" t="s">
        <v>2842</v>
      </c>
      <c r="D84" s="5" t="s">
        <v>33</v>
      </c>
      <c r="E84" s="7" t="s">
        <v>2843</v>
      </c>
      <c r="F84" s="7" t="s">
        <v>2844</v>
      </c>
      <c r="G84" s="7" t="s">
        <v>107</v>
      </c>
      <c r="H84" s="8">
        <v>1134197.56</v>
      </c>
      <c r="I84" s="7" t="s">
        <v>73</v>
      </c>
      <c r="J84" s="7" t="s">
        <v>74</v>
      </c>
      <c r="K84" s="7" t="s">
        <v>2845</v>
      </c>
      <c r="L84" s="9" t="s">
        <v>2846</v>
      </c>
      <c r="M84" s="10">
        <v>45322</v>
      </c>
      <c r="N84" s="7" t="s">
        <v>82</v>
      </c>
      <c r="O84" s="7" t="s">
        <v>2915</v>
      </c>
      <c r="P84" s="7"/>
      <c r="Q84" s="40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 t="e">
        <f t="shared" si="14"/>
        <v>#DIV/0!</v>
      </c>
      <c r="AF84" s="11" t="e">
        <f t="shared" si="15"/>
        <v>#DIV/0!</v>
      </c>
    </row>
    <row r="85" spans="2:32" ht="25.5" hidden="1" x14ac:dyDescent="0.25">
      <c r="B85" s="5">
        <v>599</v>
      </c>
      <c r="C85" s="5" t="s">
        <v>2847</v>
      </c>
      <c r="D85" s="5" t="s">
        <v>33</v>
      </c>
      <c r="E85" s="7" t="s">
        <v>2848</v>
      </c>
      <c r="F85" s="7" t="s">
        <v>2849</v>
      </c>
      <c r="G85" s="7" t="s">
        <v>107</v>
      </c>
      <c r="H85" s="8">
        <v>1214351.32</v>
      </c>
      <c r="I85" s="7" t="s">
        <v>73</v>
      </c>
      <c r="J85" s="5" t="s">
        <v>74</v>
      </c>
      <c r="K85" s="7" t="s">
        <v>2850</v>
      </c>
      <c r="L85" s="9" t="s">
        <v>2851</v>
      </c>
      <c r="M85" s="10">
        <v>45322</v>
      </c>
      <c r="N85" s="7" t="s">
        <v>82</v>
      </c>
      <c r="O85" s="7" t="s">
        <v>419</v>
      </c>
      <c r="P85" s="7"/>
      <c r="Q85" s="40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 t="e">
        <f t="shared" si="14"/>
        <v>#DIV/0!</v>
      </c>
      <c r="AF85" s="11" t="e">
        <f t="shared" si="15"/>
        <v>#DIV/0!</v>
      </c>
    </row>
    <row r="86" spans="2:32" ht="25.5" hidden="1" x14ac:dyDescent="0.25">
      <c r="B86" s="5">
        <v>600</v>
      </c>
      <c r="C86" s="5" t="s">
        <v>2852</v>
      </c>
      <c r="D86" s="5" t="s">
        <v>33</v>
      </c>
      <c r="E86" s="7" t="s">
        <v>2853</v>
      </c>
      <c r="F86" s="7" t="s">
        <v>2854</v>
      </c>
      <c r="G86" s="7" t="s">
        <v>107</v>
      </c>
      <c r="H86" s="8">
        <v>1819351.32</v>
      </c>
      <c r="I86" s="7" t="s">
        <v>73</v>
      </c>
      <c r="J86" s="5" t="s">
        <v>74</v>
      </c>
      <c r="K86" s="7" t="s">
        <v>2855</v>
      </c>
      <c r="L86" s="9" t="s">
        <v>2856</v>
      </c>
      <c r="M86" s="10">
        <v>45322</v>
      </c>
      <c r="N86" s="7" t="s">
        <v>82</v>
      </c>
      <c r="O86" s="7" t="s">
        <v>419</v>
      </c>
      <c r="P86" s="7"/>
      <c r="Q86" s="40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 t="e">
        <f t="shared" si="14"/>
        <v>#DIV/0!</v>
      </c>
      <c r="AF86" s="11" t="e">
        <f t="shared" si="15"/>
        <v>#DIV/0!</v>
      </c>
    </row>
    <row r="87" spans="2:32" ht="25.5" hidden="1" x14ac:dyDescent="0.25">
      <c r="B87" s="5">
        <v>601</v>
      </c>
      <c r="C87" s="5" t="s">
        <v>2857</v>
      </c>
      <c r="D87" s="5" t="s">
        <v>33</v>
      </c>
      <c r="E87" s="7" t="s">
        <v>2858</v>
      </c>
      <c r="F87" s="7" t="s">
        <v>2859</v>
      </c>
      <c r="G87" s="7" t="s">
        <v>107</v>
      </c>
      <c r="H87" s="8">
        <v>1214351.32</v>
      </c>
      <c r="I87" s="7" t="s">
        <v>73</v>
      </c>
      <c r="J87" s="5" t="s">
        <v>74</v>
      </c>
      <c r="K87" s="7" t="s">
        <v>2860</v>
      </c>
      <c r="L87" s="9" t="s">
        <v>2861</v>
      </c>
      <c r="M87" s="10">
        <v>45322</v>
      </c>
      <c r="N87" s="7" t="s">
        <v>82</v>
      </c>
      <c r="O87" s="7" t="s">
        <v>419</v>
      </c>
      <c r="P87" s="7"/>
      <c r="Q87" s="40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 t="e">
        <f t="shared" si="14"/>
        <v>#DIV/0!</v>
      </c>
      <c r="AF87" s="11" t="e">
        <f t="shared" si="15"/>
        <v>#DIV/0!</v>
      </c>
    </row>
    <row r="88" spans="2:32" ht="25.5" hidden="1" x14ac:dyDescent="0.25">
      <c r="B88" s="5">
        <v>602</v>
      </c>
      <c r="C88" s="5" t="s">
        <v>2862</v>
      </c>
      <c r="D88" s="5" t="s">
        <v>33</v>
      </c>
      <c r="E88" s="5" t="s">
        <v>2863</v>
      </c>
      <c r="F88" s="5" t="s">
        <v>2864</v>
      </c>
      <c r="G88" s="7" t="s">
        <v>36</v>
      </c>
      <c r="H88" s="17">
        <v>2500000</v>
      </c>
      <c r="I88" s="7" t="s">
        <v>73</v>
      </c>
      <c r="J88" s="5" t="s">
        <v>74</v>
      </c>
      <c r="K88" s="5" t="s">
        <v>2865</v>
      </c>
      <c r="L88" s="9" t="s">
        <v>2866</v>
      </c>
      <c r="M88" s="10">
        <v>45322</v>
      </c>
      <c r="N88" s="7" t="s">
        <v>82</v>
      </c>
      <c r="O88" s="7" t="s">
        <v>2915</v>
      </c>
      <c r="P88" s="7"/>
      <c r="Q88" s="40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 t="e">
        <f t="shared" si="14"/>
        <v>#DIV/0!</v>
      </c>
      <c r="AF88" s="11" t="e">
        <f t="shared" si="15"/>
        <v>#DIV/0!</v>
      </c>
    </row>
    <row r="89" spans="2:32" ht="25.5" hidden="1" x14ac:dyDescent="0.25">
      <c r="B89" s="5">
        <v>606</v>
      </c>
      <c r="C89" s="5" t="s">
        <v>2879</v>
      </c>
      <c r="D89" s="5" t="s">
        <v>51</v>
      </c>
      <c r="E89" s="7" t="s">
        <v>2880</v>
      </c>
      <c r="F89" s="7" t="s">
        <v>2881</v>
      </c>
      <c r="G89" s="7" t="s">
        <v>36</v>
      </c>
      <c r="H89" s="28">
        <v>91992</v>
      </c>
      <c r="I89" s="7" t="s">
        <v>585</v>
      </c>
      <c r="J89" s="11" t="s">
        <v>38</v>
      </c>
      <c r="K89" s="7" t="s">
        <v>2882</v>
      </c>
      <c r="L89" s="7" t="s">
        <v>2883</v>
      </c>
      <c r="M89" s="26">
        <v>45322</v>
      </c>
      <c r="N89" s="7" t="s">
        <v>82</v>
      </c>
      <c r="O89" s="7" t="s">
        <v>2915</v>
      </c>
      <c r="P89" s="1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0"/>
      <c r="AD89" s="20"/>
      <c r="AE89" s="1" t="e">
        <f t="shared" si="14"/>
        <v>#DIV/0!</v>
      </c>
      <c r="AF89" s="11" t="e">
        <f t="shared" si="15"/>
        <v>#DIV/0!</v>
      </c>
    </row>
    <row r="90" spans="2:32" ht="25.5" hidden="1" x14ac:dyDescent="0.25">
      <c r="B90" s="5">
        <v>607</v>
      </c>
      <c r="C90" s="5" t="s">
        <v>2884</v>
      </c>
      <c r="D90" s="5" t="s">
        <v>51</v>
      </c>
      <c r="E90" s="7" t="s">
        <v>2880</v>
      </c>
      <c r="F90" s="7" t="s">
        <v>2885</v>
      </c>
      <c r="G90" s="7" t="s">
        <v>72</v>
      </c>
      <c r="H90" s="28">
        <v>184320</v>
      </c>
      <c r="I90" s="7" t="s">
        <v>585</v>
      </c>
      <c r="J90" s="11" t="s">
        <v>38</v>
      </c>
      <c r="K90" s="7" t="s">
        <v>2882</v>
      </c>
      <c r="L90" s="7" t="s">
        <v>2883</v>
      </c>
      <c r="M90" s="26">
        <v>45322</v>
      </c>
      <c r="N90" s="7" t="s">
        <v>82</v>
      </c>
      <c r="O90" s="7" t="s">
        <v>2915</v>
      </c>
      <c r="P90" s="1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0"/>
      <c r="AD90" s="20"/>
      <c r="AE90" s="1" t="e">
        <f t="shared" si="14"/>
        <v>#DIV/0!</v>
      </c>
      <c r="AF90" s="11" t="e">
        <f t="shared" si="15"/>
        <v>#DIV/0!</v>
      </c>
    </row>
    <row r="91" spans="2:32" ht="25.5" hidden="1" x14ac:dyDescent="0.25">
      <c r="B91" s="5">
        <v>608</v>
      </c>
      <c r="C91" s="5" t="s">
        <v>2886</v>
      </c>
      <c r="D91" s="5" t="s">
        <v>51</v>
      </c>
      <c r="E91" s="7" t="s">
        <v>2880</v>
      </c>
      <c r="F91" s="7" t="s">
        <v>2887</v>
      </c>
      <c r="G91" s="7" t="s">
        <v>36</v>
      </c>
      <c r="H91" s="28">
        <v>303333.33</v>
      </c>
      <c r="I91" s="7" t="s">
        <v>585</v>
      </c>
      <c r="J91" s="11" t="s">
        <v>38</v>
      </c>
      <c r="K91" s="7" t="s">
        <v>2882</v>
      </c>
      <c r="L91" s="7" t="s">
        <v>2883</v>
      </c>
      <c r="M91" s="26">
        <v>45322</v>
      </c>
      <c r="N91" s="7" t="s">
        <v>82</v>
      </c>
      <c r="O91" s="7" t="s">
        <v>2915</v>
      </c>
      <c r="P91" s="1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0"/>
      <c r="AD91" s="20"/>
      <c r="AE91" s="1" t="e">
        <f t="shared" si="14"/>
        <v>#DIV/0!</v>
      </c>
      <c r="AF91" s="11" t="e">
        <f t="shared" si="15"/>
        <v>#DIV/0!</v>
      </c>
    </row>
    <row r="92" spans="2:32" ht="38.25" hidden="1" x14ac:dyDescent="0.25">
      <c r="B92" s="5">
        <v>610</v>
      </c>
      <c r="C92" s="5" t="s">
        <v>2893</v>
      </c>
      <c r="D92" s="5" t="s">
        <v>33</v>
      </c>
      <c r="E92" s="5" t="s">
        <v>2894</v>
      </c>
      <c r="F92" s="5" t="s">
        <v>521</v>
      </c>
      <c r="G92" s="7" t="s">
        <v>107</v>
      </c>
      <c r="H92" s="8">
        <v>630000</v>
      </c>
      <c r="I92" s="7" t="s">
        <v>73</v>
      </c>
      <c r="J92" s="5" t="s">
        <v>74</v>
      </c>
      <c r="K92" s="7" t="s">
        <v>522</v>
      </c>
      <c r="L92" s="9" t="s">
        <v>523</v>
      </c>
      <c r="M92" s="10">
        <v>45322</v>
      </c>
      <c r="N92" s="7" t="s">
        <v>82</v>
      </c>
      <c r="O92" s="7" t="s">
        <v>2917</v>
      </c>
      <c r="P92" s="7" t="s">
        <v>2896</v>
      </c>
      <c r="Q92" s="40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 t="e">
        <f t="shared" si="14"/>
        <v>#DIV/0!</v>
      </c>
      <c r="AF92" s="11" t="e">
        <f t="shared" si="15"/>
        <v>#DIV/0!</v>
      </c>
    </row>
    <row r="93" spans="2:32" ht="25.5" hidden="1" x14ac:dyDescent="0.25">
      <c r="B93" s="5">
        <v>611</v>
      </c>
      <c r="C93" s="5" t="s">
        <v>2897</v>
      </c>
      <c r="D93" s="5" t="s">
        <v>33</v>
      </c>
      <c r="E93" s="5" t="s">
        <v>2894</v>
      </c>
      <c r="F93" s="5" t="s">
        <v>2898</v>
      </c>
      <c r="G93" s="7" t="s">
        <v>36</v>
      </c>
      <c r="H93" s="17">
        <v>950000</v>
      </c>
      <c r="I93" s="7" t="s">
        <v>73</v>
      </c>
      <c r="J93" s="5" t="s">
        <v>74</v>
      </c>
      <c r="K93" s="5" t="s">
        <v>522</v>
      </c>
      <c r="L93" s="9" t="s">
        <v>523</v>
      </c>
      <c r="M93" s="10">
        <v>45322</v>
      </c>
      <c r="N93" s="7" t="s">
        <v>82</v>
      </c>
      <c r="O93" s="7" t="s">
        <v>2915</v>
      </c>
      <c r="P93" s="7"/>
      <c r="Q93" s="40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 t="e">
        <f t="shared" si="14"/>
        <v>#DIV/0!</v>
      </c>
      <c r="AF93" s="11" t="e">
        <f t="shared" si="15"/>
        <v>#DIV/0!</v>
      </c>
    </row>
    <row r="94" spans="2:32" ht="51" hidden="1" x14ac:dyDescent="0.25">
      <c r="B94" s="5">
        <v>612</v>
      </c>
      <c r="C94" s="5" t="s">
        <v>2899</v>
      </c>
      <c r="D94" s="5" t="s">
        <v>33</v>
      </c>
      <c r="E94" s="7" t="s">
        <v>2900</v>
      </c>
      <c r="F94" s="7" t="s">
        <v>2901</v>
      </c>
      <c r="G94" s="7" t="s">
        <v>36</v>
      </c>
      <c r="H94" s="8">
        <v>0</v>
      </c>
      <c r="I94" s="7" t="s">
        <v>73</v>
      </c>
      <c r="J94" s="5" t="s">
        <v>74</v>
      </c>
      <c r="K94" s="7" t="s">
        <v>2902</v>
      </c>
      <c r="L94" s="9" t="s">
        <v>2903</v>
      </c>
      <c r="M94" s="10">
        <v>45322</v>
      </c>
      <c r="N94" s="7" t="s">
        <v>82</v>
      </c>
      <c r="O94" s="7" t="s">
        <v>2915</v>
      </c>
      <c r="P94" s="7" t="s">
        <v>626</v>
      </c>
      <c r="Q94" s="40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 t="e">
        <f t="shared" si="14"/>
        <v>#DIV/0!</v>
      </c>
      <c r="AF94" s="11" t="e">
        <f t="shared" si="15"/>
        <v>#DIV/0!</v>
      </c>
    </row>
    <row r="95" spans="2:32" hidden="1" x14ac:dyDescent="0.25">
      <c r="B95" s="5">
        <v>392</v>
      </c>
      <c r="C95" s="5" t="s">
        <v>1968</v>
      </c>
      <c r="D95" s="5" t="s">
        <v>51</v>
      </c>
      <c r="E95" s="7" t="s">
        <v>726</v>
      </c>
      <c r="F95" s="7" t="s">
        <v>1969</v>
      </c>
      <c r="G95" s="7" t="s">
        <v>36</v>
      </c>
      <c r="H95" s="28">
        <v>132794.13</v>
      </c>
      <c r="I95" s="13" t="s">
        <v>728</v>
      </c>
      <c r="J95" s="11" t="s">
        <v>123</v>
      </c>
      <c r="K95" s="13" t="s">
        <v>1970</v>
      </c>
      <c r="L95" s="30" t="s">
        <v>1971</v>
      </c>
      <c r="M95" s="26">
        <v>45322</v>
      </c>
      <c r="N95" s="7" t="s">
        <v>82</v>
      </c>
      <c r="O95" s="13" t="s">
        <v>2918</v>
      </c>
      <c r="P95" s="20"/>
      <c r="Q95" s="1">
        <v>230</v>
      </c>
      <c r="R95" s="1">
        <v>220</v>
      </c>
      <c r="S95" s="1"/>
      <c r="T95" s="1">
        <v>207</v>
      </c>
      <c r="U95" s="1"/>
      <c r="V95" s="1"/>
      <c r="W95" s="1"/>
      <c r="X95" s="1"/>
      <c r="Y95" s="1"/>
      <c r="Z95" s="1"/>
      <c r="AA95" s="1"/>
      <c r="AB95" s="1"/>
      <c r="AC95" s="20"/>
      <c r="AD95" s="20"/>
      <c r="AE95" s="1">
        <f>AVERAGE(Q95:AD95)</f>
        <v>219</v>
      </c>
      <c r="AF95" s="11" t="str">
        <f>IF(AE95&gt;='Aprovados CAC'!$AR$1,"APROVADO","REPROVADO")</f>
        <v>APROVADO</v>
      </c>
    </row>
    <row r="109" spans="3:4" x14ac:dyDescent="0.25">
      <c r="C109" s="53"/>
      <c r="D109" t="s">
        <v>2905</v>
      </c>
    </row>
    <row r="110" spans="3:4" x14ac:dyDescent="0.25">
      <c r="C110" s="54"/>
      <c r="D110" t="s">
        <v>2906</v>
      </c>
    </row>
    <row r="111" spans="3:4" x14ac:dyDescent="0.25">
      <c r="C111" s="55"/>
      <c r="D111" t="s">
        <v>2907</v>
      </c>
    </row>
    <row r="112" spans="3:4" x14ac:dyDescent="0.25">
      <c r="C112" s="56"/>
      <c r="D112" t="s">
        <v>2908</v>
      </c>
    </row>
    <row r="113" spans="3:4" x14ac:dyDescent="0.25">
      <c r="C113" s="57"/>
      <c r="D113" t="s">
        <v>2909</v>
      </c>
    </row>
  </sheetData>
  <autoFilter ref="B4:AF95" xr:uid="{4236D1EC-F48A-4690-BC1C-BCC1124A5676}">
    <filterColumn colId="1">
      <filters>
        <filter val="418/23"/>
      </filters>
    </filterColumn>
  </autoFilter>
  <mergeCells count="2">
    <mergeCell ref="B2:AE2"/>
    <mergeCell ref="B3:AF3"/>
  </mergeCells>
  <hyperlinks>
    <hyperlink ref="L36" r:id="rId1" xr:uid="{23BE7DFA-7597-4741-A90A-780F709F3822}"/>
    <hyperlink ref="L58" r:id="rId2" xr:uid="{700184A5-1E37-4032-A14B-537F3929DB80}"/>
    <hyperlink ref="L60" r:id="rId3" xr:uid="{4ECBF5E1-7607-497F-9356-42D5900CE3BC}"/>
    <hyperlink ref="L82" r:id="rId4" xr:uid="{8E58A33C-598C-4AE6-BEDE-10B1E7182C51}"/>
    <hyperlink ref="L43" r:id="rId5" xr:uid="{84279A8B-5B86-43A8-95D2-D44D08183B65}"/>
    <hyperlink ref="L59" r:id="rId6" xr:uid="{E3D3EBE7-9BDC-44DF-ABE6-10713EAD2A14}"/>
    <hyperlink ref="L85:L86" r:id="rId7" display="sads@francodarocha.sp.gov.br" xr:uid="{BB497E0D-E43A-493D-80DF-7197F043985B}"/>
    <hyperlink ref="L47" r:id="rId8" xr:uid="{D50B2B3D-1D30-4DB1-BAE3-72C1844114F9}"/>
    <hyperlink ref="L51" r:id="rId9" xr:uid="{A655EE6D-67F8-480A-96CD-F9FCF6F898EC}"/>
    <hyperlink ref="L49" r:id="rId10" xr:uid="{8589E055-0D07-40E9-A578-AF716B42FF54}"/>
    <hyperlink ref="L50" r:id="rId11" xr:uid="{9D73A877-D9BF-42C8-97DC-E3706377CB32}"/>
    <hyperlink ref="L46" r:id="rId12" xr:uid="{EEAEE3A4-F2B4-4866-944F-0F712A72B229}"/>
    <hyperlink ref="L53" r:id="rId13" xr:uid="{061E91E7-FB64-4189-B37F-09ADD2CAB190}"/>
    <hyperlink ref="L90" r:id="rId14" xr:uid="{6573FE08-D63C-45E7-8EFF-CE3B6BEAF96E}"/>
    <hyperlink ref="L91" r:id="rId15" xr:uid="{CFCF1264-AF64-4C43-88EF-AE696C122EC5}"/>
    <hyperlink ref="L89" r:id="rId16" xr:uid="{40D28DB5-9070-4DA9-813A-A4BEC7453940}"/>
    <hyperlink ref="L95" r:id="rId17" xr:uid="{0EF5AC9E-AC44-48B5-97B2-3DCBF2F05B94}"/>
  </hyperlinks>
  <pageMargins left="0.15" right="0.13" top="0.18" bottom="0.2" header="0.17" footer="0.17"/>
  <pageSetup paperSize="9" orientation="landscape" horizontalDpi="300" verticalDpi="300" r:id="rId18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EE37-9EA4-480E-AFC7-D3E5B081D2B3}">
  <dimension ref="B1:AF58"/>
  <sheetViews>
    <sheetView showGridLines="0" workbookViewId="0">
      <pane xSplit="1" ySplit="4" topLeftCell="D5" activePane="bottomRight" state="frozen"/>
      <selection pane="topRight" activeCell="C5" sqref="C5:C618"/>
      <selection pane="bottomLeft" activeCell="C5" sqref="C5:C618"/>
      <selection pane="bottomRight" activeCell="C5" sqref="C5:C618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8" width="20.85546875" customWidth="1"/>
    <col min="9" max="9" width="23.42578125" customWidth="1"/>
    <col min="10" max="10" width="20.7109375" customWidth="1"/>
    <col min="11" max="11" width="34" hidden="1" customWidth="1"/>
    <col min="12" max="12" width="32.140625" hidden="1" customWidth="1"/>
    <col min="13" max="13" width="18.7109375" hidden="1" customWidth="1"/>
    <col min="14" max="14" width="20" customWidth="1"/>
    <col min="15" max="15" width="34.42578125" customWidth="1"/>
    <col min="16" max="16" width="32.140625" hidden="1" customWidth="1"/>
    <col min="17" max="17" width="13" hidden="1" customWidth="1"/>
    <col min="18" max="23" width="9.140625" hidden="1" customWidth="1"/>
    <col min="24" max="24" width="10" hidden="1" customWidth="1"/>
    <col min="25" max="31" width="9.140625" hidden="1" customWidth="1"/>
    <col min="32" max="32" width="13.85546875" style="2" customWidth="1"/>
    <col min="33" max="46" width="9.140625" customWidth="1"/>
  </cols>
  <sheetData>
    <row r="1" spans="2:32" x14ac:dyDescent="0.25">
      <c r="AF1" s="1">
        <v>204</v>
      </c>
    </row>
    <row r="2" spans="2:32" ht="84.75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</row>
    <row r="3" spans="2:32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</row>
    <row r="4" spans="2:32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</row>
    <row r="5" spans="2:32" ht="30" customHeight="1" x14ac:dyDescent="0.25">
      <c r="B5" s="5">
        <v>30</v>
      </c>
      <c r="C5" s="5" t="s">
        <v>219</v>
      </c>
      <c r="D5" s="5" t="s">
        <v>51</v>
      </c>
      <c r="E5" s="7" t="s">
        <v>220</v>
      </c>
      <c r="F5" s="7" t="s">
        <v>221</v>
      </c>
      <c r="G5" s="7" t="s">
        <v>36</v>
      </c>
      <c r="H5" s="8">
        <v>610060.4</v>
      </c>
      <c r="I5" s="7" t="s">
        <v>222</v>
      </c>
      <c r="J5" s="7" t="s">
        <v>223</v>
      </c>
      <c r="K5" s="7" t="s">
        <v>224</v>
      </c>
      <c r="L5" s="13" t="s">
        <v>225</v>
      </c>
      <c r="M5" s="10">
        <v>45303</v>
      </c>
      <c r="N5" s="13" t="s">
        <v>226</v>
      </c>
      <c r="O5" s="14" t="s">
        <v>2919</v>
      </c>
      <c r="P5" s="20"/>
      <c r="Q5" s="1">
        <v>0</v>
      </c>
      <c r="R5" s="1">
        <v>29</v>
      </c>
      <c r="S5" s="1">
        <v>44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>
        <f t="shared" ref="AE5:AE18" si="0">AVERAGE(Q5:AD5)</f>
        <v>24.333333333333332</v>
      </c>
      <c r="AF5" s="11" t="str">
        <f t="shared" ref="AF5:AF18" si="1">IF(AE5&gt;=$AF$1,"APROVADO","REPROVADO")</f>
        <v>REPROVADO</v>
      </c>
    </row>
    <row r="6" spans="2:32" ht="30" customHeight="1" x14ac:dyDescent="0.25">
      <c r="B6" s="5">
        <v>31</v>
      </c>
      <c r="C6" s="5" t="s">
        <v>228</v>
      </c>
      <c r="D6" s="5" t="s">
        <v>51</v>
      </c>
      <c r="E6" s="5" t="s">
        <v>220</v>
      </c>
      <c r="F6" s="5" t="s">
        <v>229</v>
      </c>
      <c r="G6" s="5" t="s">
        <v>36</v>
      </c>
      <c r="H6" s="17">
        <v>160528.4</v>
      </c>
      <c r="I6" s="5" t="s">
        <v>222</v>
      </c>
      <c r="J6" s="5" t="s">
        <v>223</v>
      </c>
      <c r="K6" s="5" t="s">
        <v>224</v>
      </c>
      <c r="L6" s="13" t="s">
        <v>230</v>
      </c>
      <c r="M6" s="10">
        <v>45303</v>
      </c>
      <c r="N6" s="13" t="s">
        <v>226</v>
      </c>
      <c r="O6" s="14" t="s">
        <v>2919</v>
      </c>
      <c r="P6" s="20"/>
      <c r="Q6" s="1">
        <v>0</v>
      </c>
      <c r="R6" s="1">
        <v>169</v>
      </c>
      <c r="S6" s="1">
        <v>195</v>
      </c>
      <c r="T6" s="1">
        <v>206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>
        <f t="shared" si="0"/>
        <v>142.5</v>
      </c>
      <c r="AF6" s="11" t="str">
        <f t="shared" si="1"/>
        <v>REPROVADO</v>
      </c>
    </row>
    <row r="7" spans="2:32" ht="30" customHeight="1" x14ac:dyDescent="0.25">
      <c r="B7" s="5">
        <v>38</v>
      </c>
      <c r="C7" s="5" t="s">
        <v>266</v>
      </c>
      <c r="D7" s="5" t="s">
        <v>33</v>
      </c>
      <c r="E7" s="5" t="s">
        <v>267</v>
      </c>
      <c r="F7" s="5" t="s">
        <v>268</v>
      </c>
      <c r="G7" s="5" t="s">
        <v>62</v>
      </c>
      <c r="H7" s="8">
        <v>180000</v>
      </c>
      <c r="I7" s="7" t="s">
        <v>269</v>
      </c>
      <c r="J7" s="7" t="s">
        <v>270</v>
      </c>
      <c r="K7" s="7" t="s">
        <v>271</v>
      </c>
      <c r="L7" s="9" t="s">
        <v>272</v>
      </c>
      <c r="M7" s="10">
        <v>45303</v>
      </c>
      <c r="N7" s="5" t="s">
        <v>226</v>
      </c>
      <c r="O7" s="5" t="s">
        <v>2920</v>
      </c>
      <c r="P7" s="20"/>
      <c r="Q7" s="1">
        <v>332</v>
      </c>
      <c r="R7" s="1"/>
      <c r="S7" s="1">
        <v>200</v>
      </c>
      <c r="T7" s="1">
        <v>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>
        <f t="shared" si="0"/>
        <v>177.33333333333334</v>
      </c>
      <c r="AF7" s="11" t="str">
        <f t="shared" si="1"/>
        <v>REPROVADO</v>
      </c>
    </row>
    <row r="8" spans="2:32" ht="30" customHeight="1" x14ac:dyDescent="0.25">
      <c r="B8" s="5">
        <v>50</v>
      </c>
      <c r="C8" s="5" t="s">
        <v>317</v>
      </c>
      <c r="D8" s="5" t="s">
        <v>51</v>
      </c>
      <c r="E8" s="5" t="s">
        <v>318</v>
      </c>
      <c r="F8" s="5" t="s">
        <v>319</v>
      </c>
      <c r="G8" s="5" t="s">
        <v>36</v>
      </c>
      <c r="H8" s="17">
        <v>331000</v>
      </c>
      <c r="I8" s="7" t="s">
        <v>320</v>
      </c>
      <c r="J8" s="7" t="s">
        <v>64</v>
      </c>
      <c r="K8" s="7" t="s">
        <v>321</v>
      </c>
      <c r="L8" s="13" t="s">
        <v>249</v>
      </c>
      <c r="M8" s="10">
        <v>45303</v>
      </c>
      <c r="N8" s="13" t="s">
        <v>226</v>
      </c>
      <c r="O8" s="14" t="s">
        <v>2919</v>
      </c>
      <c r="P8" s="20"/>
      <c r="Q8" s="1">
        <v>0</v>
      </c>
      <c r="R8" s="1">
        <v>188</v>
      </c>
      <c r="S8" s="1">
        <v>243</v>
      </c>
      <c r="T8" s="1">
        <v>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>
        <f t="shared" si="0"/>
        <v>107.75</v>
      </c>
      <c r="AF8" s="11" t="str">
        <f t="shared" si="1"/>
        <v>REPROVADO</v>
      </c>
    </row>
    <row r="9" spans="2:32" ht="63.75" x14ac:dyDescent="0.25">
      <c r="B9" s="5">
        <v>73</v>
      </c>
      <c r="C9" s="5" t="s">
        <v>428</v>
      </c>
      <c r="D9" s="5" t="s">
        <v>33</v>
      </c>
      <c r="E9" s="7" t="s">
        <v>429</v>
      </c>
      <c r="F9" s="7" t="s">
        <v>430</v>
      </c>
      <c r="G9" s="7" t="s">
        <v>107</v>
      </c>
      <c r="H9" s="8">
        <v>390000</v>
      </c>
      <c r="I9" s="7" t="s">
        <v>425</v>
      </c>
      <c r="J9" s="7" t="s">
        <v>348</v>
      </c>
      <c r="K9" s="7" t="s">
        <v>431</v>
      </c>
      <c r="L9" s="9" t="s">
        <v>432</v>
      </c>
      <c r="M9" s="10">
        <v>45306</v>
      </c>
      <c r="N9" s="7" t="s">
        <v>226</v>
      </c>
      <c r="O9" s="7" t="s">
        <v>2921</v>
      </c>
      <c r="P9" s="7"/>
      <c r="Q9" s="1"/>
      <c r="R9" s="1">
        <v>34</v>
      </c>
      <c r="S9" s="1"/>
      <c r="T9" s="1"/>
      <c r="U9" s="1"/>
      <c r="V9" s="1"/>
      <c r="W9" s="1"/>
      <c r="X9" s="1"/>
      <c r="Y9" s="1"/>
      <c r="Z9" s="1"/>
      <c r="AA9" s="1"/>
      <c r="AB9" s="1">
        <v>0</v>
      </c>
      <c r="AC9" s="1"/>
      <c r="AD9" s="1"/>
      <c r="AE9" s="1">
        <f t="shared" si="0"/>
        <v>17</v>
      </c>
      <c r="AF9" s="11" t="str">
        <f t="shared" si="1"/>
        <v>REPROVADO</v>
      </c>
    </row>
    <row r="10" spans="2:32" ht="30" customHeight="1" x14ac:dyDescent="0.25">
      <c r="B10" s="5">
        <v>88</v>
      </c>
      <c r="C10" s="13" t="s">
        <v>507</v>
      </c>
      <c r="D10" s="5" t="s">
        <v>51</v>
      </c>
      <c r="E10" s="13" t="s">
        <v>508</v>
      </c>
      <c r="F10" s="14" t="s">
        <v>509</v>
      </c>
      <c r="G10" s="5" t="s">
        <v>45</v>
      </c>
      <c r="H10" s="33">
        <v>394820</v>
      </c>
      <c r="I10" s="29" t="s">
        <v>510</v>
      </c>
      <c r="J10" s="11" t="s">
        <v>453</v>
      </c>
      <c r="K10" s="13" t="s">
        <v>511</v>
      </c>
      <c r="L10" s="13" t="s">
        <v>439</v>
      </c>
      <c r="M10" s="26">
        <v>45307</v>
      </c>
      <c r="N10" s="13" t="s">
        <v>226</v>
      </c>
      <c r="O10" s="14" t="s">
        <v>2919</v>
      </c>
      <c r="P10" s="1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 t="e">
        <f t="shared" si="0"/>
        <v>#DIV/0!</v>
      </c>
      <c r="AF10" s="11" t="e">
        <f t="shared" si="1"/>
        <v>#DIV/0!</v>
      </c>
    </row>
    <row r="11" spans="2:32" ht="30" customHeight="1" x14ac:dyDescent="0.25">
      <c r="B11" s="5">
        <v>105</v>
      </c>
      <c r="C11" s="9" t="s">
        <v>593</v>
      </c>
      <c r="D11" s="5" t="s">
        <v>51</v>
      </c>
      <c r="E11" s="13" t="s">
        <v>594</v>
      </c>
      <c r="F11" s="14" t="s">
        <v>595</v>
      </c>
      <c r="G11" s="14" t="s">
        <v>107</v>
      </c>
      <c r="H11" s="28">
        <v>3700000</v>
      </c>
      <c r="I11" s="29" t="s">
        <v>596</v>
      </c>
      <c r="J11" s="11" t="s">
        <v>597</v>
      </c>
      <c r="K11" s="13" t="s">
        <v>598</v>
      </c>
      <c r="L11" s="13" t="s">
        <v>599</v>
      </c>
      <c r="M11" s="26">
        <v>45307</v>
      </c>
      <c r="N11" s="13" t="s">
        <v>226</v>
      </c>
      <c r="O11" s="14" t="s">
        <v>2922</v>
      </c>
      <c r="P11" s="13"/>
      <c r="Q11" s="1">
        <v>0</v>
      </c>
      <c r="R11" s="1">
        <v>146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f t="shared" si="0"/>
        <v>73</v>
      </c>
      <c r="AF11" s="11" t="str">
        <f t="shared" si="1"/>
        <v>REPROVADO</v>
      </c>
    </row>
    <row r="12" spans="2:32" ht="30" customHeight="1" x14ac:dyDescent="0.25">
      <c r="B12" s="5">
        <v>110</v>
      </c>
      <c r="C12" s="5" t="s">
        <v>618</v>
      </c>
      <c r="D12" s="5" t="s">
        <v>33</v>
      </c>
      <c r="E12" s="7" t="s">
        <v>614</v>
      </c>
      <c r="F12" s="7" t="s">
        <v>619</v>
      </c>
      <c r="G12" s="7" t="s">
        <v>36</v>
      </c>
      <c r="H12" s="8">
        <v>2596552.2200000002</v>
      </c>
      <c r="I12" s="7" t="s">
        <v>596</v>
      </c>
      <c r="J12" s="7" t="s">
        <v>597</v>
      </c>
      <c r="K12" s="7" t="s">
        <v>616</v>
      </c>
      <c r="L12" s="9" t="s">
        <v>617</v>
      </c>
      <c r="M12" s="10">
        <v>45307</v>
      </c>
      <c r="N12" s="7" t="s">
        <v>226</v>
      </c>
      <c r="O12" s="14" t="s">
        <v>2919</v>
      </c>
      <c r="P12" s="7" t="s">
        <v>98</v>
      </c>
      <c r="Q12" s="1">
        <v>0</v>
      </c>
      <c r="R12" s="1">
        <v>120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f t="shared" si="0"/>
        <v>60</v>
      </c>
      <c r="AF12" s="11" t="str">
        <f t="shared" si="1"/>
        <v>REPROVADO</v>
      </c>
    </row>
    <row r="13" spans="2:32" ht="30" customHeight="1" x14ac:dyDescent="0.25">
      <c r="B13" s="5">
        <v>122</v>
      </c>
      <c r="C13" s="60" t="s">
        <v>664</v>
      </c>
      <c r="D13" s="5" t="s">
        <v>33</v>
      </c>
      <c r="E13" s="5" t="s">
        <v>658</v>
      </c>
      <c r="F13" s="5" t="s">
        <v>665</v>
      </c>
      <c r="G13" s="5" t="s">
        <v>174</v>
      </c>
      <c r="H13" s="17">
        <v>752776.94</v>
      </c>
      <c r="I13" s="7" t="s">
        <v>73</v>
      </c>
      <c r="J13" s="7" t="s">
        <v>74</v>
      </c>
      <c r="K13" s="7" t="s">
        <v>660</v>
      </c>
      <c r="L13" s="9" t="s">
        <v>661</v>
      </c>
      <c r="M13" s="10">
        <v>45308</v>
      </c>
      <c r="N13" s="13" t="s">
        <v>226</v>
      </c>
      <c r="O13" s="5" t="s">
        <v>2923</v>
      </c>
      <c r="P13" s="5"/>
      <c r="Q13" s="1">
        <v>0</v>
      </c>
      <c r="R13" s="1">
        <v>187</v>
      </c>
      <c r="S13" s="1"/>
      <c r="T13" s="1"/>
      <c r="U13" s="1"/>
      <c r="V13" s="1"/>
      <c r="W13" s="1"/>
      <c r="X13" s="1"/>
      <c r="Y13" s="1"/>
      <c r="Z13" s="1"/>
      <c r="AA13" s="1"/>
      <c r="AB13" s="1">
        <v>0</v>
      </c>
      <c r="AC13" s="1"/>
      <c r="AD13" s="1"/>
      <c r="AE13" s="1">
        <f t="shared" si="0"/>
        <v>62.333333333333336</v>
      </c>
      <c r="AF13" s="11" t="str">
        <f t="shared" si="1"/>
        <v>REPROVADO</v>
      </c>
    </row>
    <row r="14" spans="2:32" ht="30" customHeight="1" x14ac:dyDescent="0.25">
      <c r="B14" s="5">
        <v>162</v>
      </c>
      <c r="C14" s="5" t="s">
        <v>856</v>
      </c>
      <c r="D14" s="5" t="s">
        <v>33</v>
      </c>
      <c r="E14" s="7" t="s">
        <v>857</v>
      </c>
      <c r="F14" s="7" t="s">
        <v>858</v>
      </c>
      <c r="G14" s="7" t="s">
        <v>36</v>
      </c>
      <c r="H14" s="8">
        <v>328228.65999999997</v>
      </c>
      <c r="I14" s="7" t="s">
        <v>859</v>
      </c>
      <c r="J14" s="7" t="s">
        <v>181</v>
      </c>
      <c r="K14" s="7" t="s">
        <v>860</v>
      </c>
      <c r="L14" s="9" t="s">
        <v>861</v>
      </c>
      <c r="M14" s="10">
        <v>45309</v>
      </c>
      <c r="N14" s="7" t="s">
        <v>226</v>
      </c>
      <c r="O14" s="14" t="s">
        <v>2919</v>
      </c>
      <c r="P14" s="7" t="s">
        <v>157</v>
      </c>
      <c r="Q14" s="1">
        <v>0</v>
      </c>
      <c r="R14" s="1">
        <v>53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f t="shared" si="0"/>
        <v>26.5</v>
      </c>
      <c r="AF14" s="11" t="str">
        <f t="shared" si="1"/>
        <v>REPROVADO</v>
      </c>
    </row>
    <row r="15" spans="2:32" ht="30" customHeight="1" x14ac:dyDescent="0.25">
      <c r="B15" s="5">
        <v>168</v>
      </c>
      <c r="C15" s="13" t="s">
        <v>887</v>
      </c>
      <c r="D15" s="5" t="s">
        <v>51</v>
      </c>
      <c r="E15" s="13" t="s">
        <v>888</v>
      </c>
      <c r="F15" s="14" t="s">
        <v>889</v>
      </c>
      <c r="G15" s="14" t="s">
        <v>36</v>
      </c>
      <c r="H15" s="33">
        <v>431920.31</v>
      </c>
      <c r="I15" s="29" t="s">
        <v>890</v>
      </c>
      <c r="J15" s="11" t="s">
        <v>270</v>
      </c>
      <c r="K15" s="13" t="s">
        <v>891</v>
      </c>
      <c r="L15" s="13" t="s">
        <v>892</v>
      </c>
      <c r="M15" s="26">
        <v>45310</v>
      </c>
      <c r="N15" s="13" t="s">
        <v>226</v>
      </c>
      <c r="O15" s="14" t="s">
        <v>2922</v>
      </c>
      <c r="P15" s="20"/>
      <c r="Q15" s="1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f t="shared" si="0"/>
        <v>0</v>
      </c>
      <c r="AF15" s="11" t="str">
        <f t="shared" si="1"/>
        <v>REPROVADO</v>
      </c>
    </row>
    <row r="16" spans="2:32" ht="30" customHeight="1" x14ac:dyDescent="0.25">
      <c r="B16" s="5">
        <v>175</v>
      </c>
      <c r="C16" s="5" t="s">
        <v>924</v>
      </c>
      <c r="D16" s="5" t="s">
        <v>33</v>
      </c>
      <c r="E16" s="5" t="s">
        <v>172</v>
      </c>
      <c r="F16" s="5" t="s">
        <v>925</v>
      </c>
      <c r="G16" s="5" t="s">
        <v>36</v>
      </c>
      <c r="H16" s="17">
        <v>1211418</v>
      </c>
      <c r="I16" s="7" t="s">
        <v>926</v>
      </c>
      <c r="J16" s="7" t="s">
        <v>123</v>
      </c>
      <c r="K16" s="7" t="s">
        <v>927</v>
      </c>
      <c r="L16" s="9" t="s">
        <v>928</v>
      </c>
      <c r="M16" s="10">
        <v>45310</v>
      </c>
      <c r="N16" s="13" t="s">
        <v>226</v>
      </c>
      <c r="O16" s="14" t="s">
        <v>2922</v>
      </c>
      <c r="P16" s="20"/>
      <c r="Q16" s="1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f t="shared" si="0"/>
        <v>0</v>
      </c>
      <c r="AF16" s="11" t="str">
        <f t="shared" si="1"/>
        <v>REPROVADO</v>
      </c>
    </row>
    <row r="17" spans="2:32" ht="30" customHeight="1" x14ac:dyDescent="0.25">
      <c r="B17" s="5">
        <v>178</v>
      </c>
      <c r="C17" s="9" t="s">
        <v>941</v>
      </c>
      <c r="D17" s="5" t="s">
        <v>51</v>
      </c>
      <c r="E17" s="7" t="s">
        <v>942</v>
      </c>
      <c r="F17" s="12" t="s">
        <v>943</v>
      </c>
      <c r="G17" s="12" t="s">
        <v>107</v>
      </c>
      <c r="H17" s="28">
        <v>164270</v>
      </c>
      <c r="I17" s="12" t="s">
        <v>944</v>
      </c>
      <c r="J17" s="7" t="s">
        <v>115</v>
      </c>
      <c r="K17" s="13" t="s">
        <v>945</v>
      </c>
      <c r="L17" s="13" t="s">
        <v>946</v>
      </c>
      <c r="M17" s="26">
        <v>45314</v>
      </c>
      <c r="N17" s="13" t="s">
        <v>226</v>
      </c>
      <c r="O17" s="14" t="s">
        <v>947</v>
      </c>
      <c r="P17" s="13"/>
      <c r="Q17" s="1">
        <v>0</v>
      </c>
      <c r="R17" s="1">
        <v>153</v>
      </c>
      <c r="S17" s="1"/>
      <c r="T17" s="1"/>
      <c r="U17" s="1"/>
      <c r="V17" s="1"/>
      <c r="W17" s="1"/>
      <c r="X17" s="1"/>
      <c r="Y17" s="1"/>
      <c r="Z17" s="1"/>
      <c r="AA17" s="1"/>
      <c r="AB17" s="1">
        <v>0</v>
      </c>
      <c r="AC17" s="1"/>
      <c r="AD17" s="1"/>
      <c r="AE17" s="1">
        <f t="shared" si="0"/>
        <v>51</v>
      </c>
      <c r="AF17" s="11" t="str">
        <f t="shared" si="1"/>
        <v>REPROVADO</v>
      </c>
    </row>
    <row r="18" spans="2:32" ht="30" customHeight="1" x14ac:dyDescent="0.25">
      <c r="B18" s="5">
        <v>179</v>
      </c>
      <c r="C18" s="60" t="s">
        <v>948</v>
      </c>
      <c r="D18" s="5" t="s">
        <v>33</v>
      </c>
      <c r="E18" s="7" t="s">
        <v>949</v>
      </c>
      <c r="F18" s="5" t="s">
        <v>950</v>
      </c>
      <c r="G18" s="5" t="s">
        <v>107</v>
      </c>
      <c r="H18" s="17">
        <v>0</v>
      </c>
      <c r="I18" s="7" t="s">
        <v>944</v>
      </c>
      <c r="J18" s="7" t="s">
        <v>115</v>
      </c>
      <c r="K18" s="7" t="s">
        <v>951</v>
      </c>
      <c r="L18" s="9" t="s">
        <v>952</v>
      </c>
      <c r="M18" s="10">
        <v>45314</v>
      </c>
      <c r="N18" s="13" t="s">
        <v>226</v>
      </c>
      <c r="O18" s="7" t="s">
        <v>2924</v>
      </c>
      <c r="P18" s="20"/>
      <c r="Q18" s="1">
        <v>0</v>
      </c>
      <c r="R18" s="1">
        <v>153</v>
      </c>
      <c r="S18" s="1"/>
      <c r="T18" s="1"/>
      <c r="U18" s="1"/>
      <c r="V18" s="1"/>
      <c r="W18" s="1"/>
      <c r="X18" s="1"/>
      <c r="Y18" s="1"/>
      <c r="Z18" s="1"/>
      <c r="AA18" s="1"/>
      <c r="AB18" s="1">
        <v>0</v>
      </c>
      <c r="AC18" s="1"/>
      <c r="AD18" s="1"/>
      <c r="AE18" s="1">
        <f t="shared" si="0"/>
        <v>51</v>
      </c>
      <c r="AF18" s="11" t="str">
        <f t="shared" si="1"/>
        <v>REPROVADO</v>
      </c>
    </row>
    <row r="19" spans="2:32" ht="30" customHeight="1" x14ac:dyDescent="0.25">
      <c r="B19" s="5">
        <v>192</v>
      </c>
      <c r="C19" s="5" t="s">
        <v>1026</v>
      </c>
      <c r="D19" s="5" t="s">
        <v>33</v>
      </c>
      <c r="E19" s="5" t="s">
        <v>1021</v>
      </c>
      <c r="F19" s="5" t="s">
        <v>1027</v>
      </c>
      <c r="G19" s="5" t="s">
        <v>107</v>
      </c>
      <c r="H19" s="17">
        <v>984524.16</v>
      </c>
      <c r="I19" s="5" t="s">
        <v>1023</v>
      </c>
      <c r="J19" s="5" t="s">
        <v>445</v>
      </c>
      <c r="K19" s="5" t="s">
        <v>1024</v>
      </c>
      <c r="L19" s="9" t="s">
        <v>1025</v>
      </c>
      <c r="M19" s="10">
        <v>45315</v>
      </c>
      <c r="N19" s="13" t="s">
        <v>226</v>
      </c>
      <c r="O19" s="14" t="s">
        <v>2919</v>
      </c>
      <c r="P19" s="20"/>
      <c r="Q19" s="39">
        <v>0</v>
      </c>
      <c r="R19" s="1">
        <v>145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f t="shared" ref="AE19:AE30" si="2">AVERAGE(Q19:AD19)</f>
        <v>72.5</v>
      </c>
      <c r="AF19" s="11" t="str">
        <f t="shared" ref="AF19:AF30" si="3">IF(AE19&gt;=$AF$1,"APROVADO","REPROVADO")</f>
        <v>REPROVADO</v>
      </c>
    </row>
    <row r="20" spans="2:32" ht="30" customHeight="1" x14ac:dyDescent="0.25">
      <c r="B20" s="5">
        <v>213</v>
      </c>
      <c r="C20" s="5" t="s">
        <v>1115</v>
      </c>
      <c r="D20" s="5" t="s">
        <v>33</v>
      </c>
      <c r="E20" s="7" t="s">
        <v>1116</v>
      </c>
      <c r="F20" s="7" t="s">
        <v>1117</v>
      </c>
      <c r="G20" s="7" t="s">
        <v>36</v>
      </c>
      <c r="H20" s="8">
        <v>300000</v>
      </c>
      <c r="I20" s="7" t="s">
        <v>1118</v>
      </c>
      <c r="J20" s="7" t="s">
        <v>64</v>
      </c>
      <c r="K20" s="7" t="s">
        <v>1119</v>
      </c>
      <c r="L20" s="9" t="s">
        <v>1120</v>
      </c>
      <c r="M20" s="10">
        <v>45320</v>
      </c>
      <c r="N20" s="7" t="s">
        <v>226</v>
      </c>
      <c r="O20" s="14" t="s">
        <v>2922</v>
      </c>
      <c r="P20" s="20"/>
      <c r="Q20" s="40">
        <v>0</v>
      </c>
      <c r="R20" s="1">
        <v>121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f t="shared" si="2"/>
        <v>60.5</v>
      </c>
      <c r="AF20" s="11" t="str">
        <f t="shared" si="3"/>
        <v>REPROVADO</v>
      </c>
    </row>
    <row r="21" spans="2:32" ht="30" customHeight="1" x14ac:dyDescent="0.25">
      <c r="B21" s="5">
        <v>216</v>
      </c>
      <c r="C21" s="5" t="s">
        <v>1133</v>
      </c>
      <c r="D21" s="5" t="s">
        <v>33</v>
      </c>
      <c r="E21" s="7"/>
      <c r="F21" s="5" t="s">
        <v>1134</v>
      </c>
      <c r="G21" s="5" t="s">
        <v>36</v>
      </c>
      <c r="H21" s="17">
        <v>293916.67</v>
      </c>
      <c r="I21" s="7" t="s">
        <v>859</v>
      </c>
      <c r="J21" s="7" t="s">
        <v>181</v>
      </c>
      <c r="K21" s="7" t="s">
        <v>1135</v>
      </c>
      <c r="L21" s="9" t="s">
        <v>1136</v>
      </c>
      <c r="M21" s="10">
        <v>45320</v>
      </c>
      <c r="N21" s="13" t="s">
        <v>226</v>
      </c>
      <c r="O21" s="14" t="s">
        <v>2919</v>
      </c>
      <c r="P21" s="20"/>
      <c r="Q21" s="40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f t="shared" si="2"/>
        <v>0</v>
      </c>
      <c r="AF21" s="11" t="str">
        <f t="shared" si="3"/>
        <v>REPROVADO</v>
      </c>
    </row>
    <row r="22" spans="2:32" ht="30" customHeight="1" x14ac:dyDescent="0.25">
      <c r="B22" s="5">
        <v>221</v>
      </c>
      <c r="C22" s="5" t="s">
        <v>1158</v>
      </c>
      <c r="D22" s="5" t="s">
        <v>33</v>
      </c>
      <c r="E22" s="7" t="s">
        <v>145</v>
      </c>
      <c r="F22" s="7" t="s">
        <v>1159</v>
      </c>
      <c r="G22" s="5" t="s">
        <v>36</v>
      </c>
      <c r="H22" s="8">
        <v>2142000</v>
      </c>
      <c r="I22" s="7" t="s">
        <v>147</v>
      </c>
      <c r="J22" s="5" t="s">
        <v>95</v>
      </c>
      <c r="K22" s="7" t="s">
        <v>1160</v>
      </c>
      <c r="L22" s="9" t="s">
        <v>149</v>
      </c>
      <c r="M22" s="10">
        <v>45320</v>
      </c>
      <c r="N22" s="7" t="s">
        <v>226</v>
      </c>
      <c r="O22" s="14" t="s">
        <v>2922</v>
      </c>
      <c r="P22" s="20"/>
      <c r="Q22" s="40">
        <v>0</v>
      </c>
      <c r="R22" s="1">
        <v>34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>
        <f t="shared" si="2"/>
        <v>17</v>
      </c>
      <c r="AF22" s="11" t="str">
        <f t="shared" si="3"/>
        <v>REPROVADO</v>
      </c>
    </row>
    <row r="23" spans="2:32" ht="30" customHeight="1" x14ac:dyDescent="0.25">
      <c r="B23" s="5">
        <v>223</v>
      </c>
      <c r="C23" s="5" t="s">
        <v>1163</v>
      </c>
      <c r="D23" s="5" t="s">
        <v>33</v>
      </c>
      <c r="E23" s="7" t="s">
        <v>1164</v>
      </c>
      <c r="F23" s="7" t="s">
        <v>1165</v>
      </c>
      <c r="G23" s="7" t="s">
        <v>36</v>
      </c>
      <c r="H23" s="8">
        <v>800000</v>
      </c>
      <c r="I23" s="7" t="s">
        <v>290</v>
      </c>
      <c r="J23" s="7" t="s">
        <v>154</v>
      </c>
      <c r="K23" s="7" t="s">
        <v>301</v>
      </c>
      <c r="L23" s="37" t="s">
        <v>1166</v>
      </c>
      <c r="M23" s="10">
        <v>45320</v>
      </c>
      <c r="N23" s="13" t="s">
        <v>226</v>
      </c>
      <c r="O23" s="14" t="s">
        <v>2922</v>
      </c>
      <c r="P23" s="20"/>
      <c r="Q23" s="40">
        <v>0</v>
      </c>
      <c r="R23" s="1">
        <v>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f t="shared" si="2"/>
        <v>0</v>
      </c>
      <c r="AF23" s="11" t="str">
        <f t="shared" si="3"/>
        <v>REPROVADO</v>
      </c>
    </row>
    <row r="24" spans="2:32" ht="30" customHeight="1" x14ac:dyDescent="0.25">
      <c r="B24" s="5">
        <v>226</v>
      </c>
      <c r="C24" s="5" t="s">
        <v>1174</v>
      </c>
      <c r="D24" s="5" t="s">
        <v>33</v>
      </c>
      <c r="E24" s="7" t="s">
        <v>1169</v>
      </c>
      <c r="F24" s="7" t="s">
        <v>1175</v>
      </c>
      <c r="G24" s="7" t="s">
        <v>174</v>
      </c>
      <c r="H24" s="8">
        <v>2500000</v>
      </c>
      <c r="I24" s="7" t="s">
        <v>1171</v>
      </c>
      <c r="J24" s="7" t="s">
        <v>95</v>
      </c>
      <c r="K24" s="7" t="s">
        <v>1172</v>
      </c>
      <c r="L24" s="9" t="s">
        <v>1173</v>
      </c>
      <c r="M24" s="10">
        <v>45320</v>
      </c>
      <c r="N24" s="13" t="s">
        <v>226</v>
      </c>
      <c r="O24" s="14" t="s">
        <v>2922</v>
      </c>
      <c r="P24" s="20"/>
      <c r="Q24" s="40">
        <v>0</v>
      </c>
      <c r="R24" s="1">
        <v>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f t="shared" si="2"/>
        <v>0</v>
      </c>
      <c r="AF24" s="11" t="str">
        <f t="shared" si="3"/>
        <v>REPROVADO</v>
      </c>
    </row>
    <row r="25" spans="2:32" ht="30" customHeight="1" x14ac:dyDescent="0.25">
      <c r="B25" s="5">
        <v>236</v>
      </c>
      <c r="C25" s="13" t="s">
        <v>1217</v>
      </c>
      <c r="D25" s="5" t="s">
        <v>51</v>
      </c>
      <c r="E25" s="13" t="s">
        <v>1218</v>
      </c>
      <c r="F25" s="14" t="s">
        <v>1219</v>
      </c>
      <c r="G25" s="14" t="s">
        <v>36</v>
      </c>
      <c r="H25" s="28">
        <v>500000</v>
      </c>
      <c r="I25" s="13" t="s">
        <v>1220</v>
      </c>
      <c r="J25" s="11" t="s">
        <v>162</v>
      </c>
      <c r="K25" s="13" t="s">
        <v>1221</v>
      </c>
      <c r="L25" s="42" t="s">
        <v>1222</v>
      </c>
      <c r="M25" s="26">
        <v>45320</v>
      </c>
      <c r="N25" s="13" t="s">
        <v>226</v>
      </c>
      <c r="O25" s="14" t="s">
        <v>2919</v>
      </c>
      <c r="P25" s="2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0"/>
      <c r="AD25" s="20"/>
      <c r="AE25" s="1" t="e">
        <f t="shared" si="2"/>
        <v>#DIV/0!</v>
      </c>
      <c r="AF25" s="11" t="e">
        <f t="shared" si="3"/>
        <v>#DIV/0!</v>
      </c>
    </row>
    <row r="26" spans="2:32" ht="30" customHeight="1" x14ac:dyDescent="0.25">
      <c r="B26" s="5">
        <v>237</v>
      </c>
      <c r="C26" s="13" t="s">
        <v>1223</v>
      </c>
      <c r="D26" s="5" t="s">
        <v>51</v>
      </c>
      <c r="E26" s="13" t="s">
        <v>1218</v>
      </c>
      <c r="F26" s="13" t="s">
        <v>1224</v>
      </c>
      <c r="G26" s="14" t="s">
        <v>36</v>
      </c>
      <c r="H26" s="28">
        <v>900000</v>
      </c>
      <c r="I26" s="13" t="s">
        <v>1220</v>
      </c>
      <c r="J26" s="11" t="s">
        <v>162</v>
      </c>
      <c r="K26" s="13" t="s">
        <v>1221</v>
      </c>
      <c r="L26" s="30" t="s">
        <v>1222</v>
      </c>
      <c r="M26" s="26">
        <v>45320</v>
      </c>
      <c r="N26" s="13" t="s">
        <v>226</v>
      </c>
      <c r="O26" s="14" t="s">
        <v>2922</v>
      </c>
      <c r="P26" s="20"/>
      <c r="Q26" s="1">
        <v>0</v>
      </c>
      <c r="R26" s="1">
        <v>40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20"/>
      <c r="AD26" s="20"/>
      <c r="AE26" s="1">
        <f t="shared" si="2"/>
        <v>20</v>
      </c>
      <c r="AF26" s="11" t="str">
        <f t="shared" si="3"/>
        <v>REPROVADO</v>
      </c>
    </row>
    <row r="27" spans="2:32" ht="30" customHeight="1" x14ac:dyDescent="0.25">
      <c r="B27" s="5">
        <v>247</v>
      </c>
      <c r="C27" s="13" t="s">
        <v>1272</v>
      </c>
      <c r="D27" s="5" t="s">
        <v>51</v>
      </c>
      <c r="E27" s="13" t="s">
        <v>1273</v>
      </c>
      <c r="F27" s="13" t="s">
        <v>1274</v>
      </c>
      <c r="G27" s="7" t="s">
        <v>45</v>
      </c>
      <c r="H27" s="28">
        <v>400000</v>
      </c>
      <c r="I27" s="13" t="s">
        <v>1275</v>
      </c>
      <c r="J27" s="11" t="s">
        <v>154</v>
      </c>
      <c r="K27" s="14" t="s">
        <v>1276</v>
      </c>
      <c r="L27" s="14" t="s">
        <v>1277</v>
      </c>
      <c r="M27" s="26">
        <v>45320</v>
      </c>
      <c r="N27" s="13" t="s">
        <v>226</v>
      </c>
      <c r="O27" s="7" t="s">
        <v>2925</v>
      </c>
      <c r="P27" s="20"/>
      <c r="Q27" s="1">
        <v>0</v>
      </c>
      <c r="R27" s="1">
        <v>130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20"/>
      <c r="AD27" s="20"/>
      <c r="AE27" s="1">
        <f t="shared" si="2"/>
        <v>65</v>
      </c>
      <c r="AF27" s="11" t="str">
        <f t="shared" si="3"/>
        <v>REPROVADO</v>
      </c>
    </row>
    <row r="28" spans="2:32" ht="30" customHeight="1" x14ac:dyDescent="0.25">
      <c r="B28" s="5">
        <v>252</v>
      </c>
      <c r="C28" s="13" t="s">
        <v>1303</v>
      </c>
      <c r="D28" s="5" t="s">
        <v>51</v>
      </c>
      <c r="E28" s="13" t="s">
        <v>1304</v>
      </c>
      <c r="F28" s="13" t="s">
        <v>1305</v>
      </c>
      <c r="G28" s="14" t="s">
        <v>36</v>
      </c>
      <c r="H28" s="28">
        <v>500000</v>
      </c>
      <c r="I28" s="13" t="s">
        <v>1306</v>
      </c>
      <c r="J28" s="11" t="s">
        <v>597</v>
      </c>
      <c r="K28" s="13" t="s">
        <v>1307</v>
      </c>
      <c r="L28" s="30" t="s">
        <v>1308</v>
      </c>
      <c r="M28" s="26">
        <v>45320</v>
      </c>
      <c r="N28" s="13" t="s">
        <v>226</v>
      </c>
      <c r="O28" s="7" t="s">
        <v>2919</v>
      </c>
      <c r="P28" s="2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0"/>
      <c r="AD28" s="20"/>
      <c r="AE28" s="1" t="e">
        <f t="shared" si="2"/>
        <v>#DIV/0!</v>
      </c>
      <c r="AF28" s="11" t="e">
        <f t="shared" si="3"/>
        <v>#DIV/0!</v>
      </c>
    </row>
    <row r="29" spans="2:32" ht="30" customHeight="1" x14ac:dyDescent="0.25">
      <c r="B29" s="5">
        <v>253</v>
      </c>
      <c r="C29" s="13" t="s">
        <v>1309</v>
      </c>
      <c r="D29" s="5" t="s">
        <v>51</v>
      </c>
      <c r="E29" s="13" t="s">
        <v>1310</v>
      </c>
      <c r="F29" s="13" t="s">
        <v>1311</v>
      </c>
      <c r="G29" s="14" t="s">
        <v>62</v>
      </c>
      <c r="H29" s="28">
        <v>1050000</v>
      </c>
      <c r="I29" s="13" t="s">
        <v>1312</v>
      </c>
      <c r="J29" s="11" t="s">
        <v>181</v>
      </c>
      <c r="K29" s="14" t="s">
        <v>1313</v>
      </c>
      <c r="L29" s="30" t="s">
        <v>1314</v>
      </c>
      <c r="M29" s="26">
        <v>45320</v>
      </c>
      <c r="N29" s="13" t="s">
        <v>226</v>
      </c>
      <c r="O29" s="7" t="s">
        <v>2926</v>
      </c>
      <c r="P29" s="20"/>
      <c r="Q29" s="1">
        <v>302</v>
      </c>
      <c r="R29" s="1"/>
      <c r="S29" s="1"/>
      <c r="T29" s="1"/>
      <c r="U29" s="1"/>
      <c r="V29" s="1">
        <v>0</v>
      </c>
      <c r="W29" s="1"/>
      <c r="X29" s="1"/>
      <c r="Y29" s="1"/>
      <c r="Z29" s="1"/>
      <c r="AA29" s="1"/>
      <c r="AB29" s="1"/>
      <c r="AC29" s="20"/>
      <c r="AD29" s="20"/>
      <c r="AE29" s="1">
        <f t="shared" si="2"/>
        <v>151</v>
      </c>
      <c r="AF29" s="11" t="str">
        <f t="shared" si="3"/>
        <v>REPROVADO</v>
      </c>
    </row>
    <row r="30" spans="2:32" ht="30" customHeight="1" x14ac:dyDescent="0.25">
      <c r="B30" s="5">
        <v>255</v>
      </c>
      <c r="C30" s="13" t="s">
        <v>1322</v>
      </c>
      <c r="D30" s="5" t="s">
        <v>51</v>
      </c>
      <c r="E30" s="13" t="s">
        <v>1304</v>
      </c>
      <c r="F30" s="13" t="s">
        <v>820</v>
      </c>
      <c r="G30" s="14" t="s">
        <v>36</v>
      </c>
      <c r="H30" s="28">
        <v>1350000</v>
      </c>
      <c r="I30" s="13" t="s">
        <v>1306</v>
      </c>
      <c r="J30" s="11" t="s">
        <v>597</v>
      </c>
      <c r="K30" s="13" t="s">
        <v>1307</v>
      </c>
      <c r="L30" s="30" t="s">
        <v>1302</v>
      </c>
      <c r="M30" s="26">
        <v>45320</v>
      </c>
      <c r="N30" s="13" t="s">
        <v>226</v>
      </c>
      <c r="O30" s="7" t="s">
        <v>2922</v>
      </c>
      <c r="P30" s="2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0"/>
      <c r="AD30" s="20"/>
      <c r="AE30" s="1" t="e">
        <f t="shared" si="2"/>
        <v>#DIV/0!</v>
      </c>
      <c r="AF30" s="11" t="e">
        <f t="shared" si="3"/>
        <v>#DIV/0!</v>
      </c>
    </row>
    <row r="31" spans="2:32" ht="30" customHeight="1" x14ac:dyDescent="0.25">
      <c r="B31" s="5">
        <v>259</v>
      </c>
      <c r="C31" s="5" t="s">
        <v>1339</v>
      </c>
      <c r="D31" s="5" t="s">
        <v>33</v>
      </c>
      <c r="E31" s="7" t="s">
        <v>1340</v>
      </c>
      <c r="F31" s="7" t="s">
        <v>1341</v>
      </c>
      <c r="G31" s="7" t="s">
        <v>36</v>
      </c>
      <c r="H31" s="8">
        <v>382200</v>
      </c>
      <c r="I31" s="7" t="s">
        <v>1342</v>
      </c>
      <c r="J31" s="7" t="s">
        <v>95</v>
      </c>
      <c r="K31" s="7" t="s">
        <v>1343</v>
      </c>
      <c r="L31" s="9" t="s">
        <v>1344</v>
      </c>
      <c r="M31" s="10">
        <v>45320</v>
      </c>
      <c r="N31" s="13" t="s">
        <v>226</v>
      </c>
      <c r="O31" s="7" t="s">
        <v>2919</v>
      </c>
      <c r="P31" s="20"/>
      <c r="Q31" s="40">
        <v>0</v>
      </c>
      <c r="R31" s="1">
        <v>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f>AVERAGE(Q31:AD31)</f>
        <v>0</v>
      </c>
      <c r="AF31" s="11" t="str">
        <f>IF(AE31&gt;=$AF$1,"APROVADO","REPROVADO")</f>
        <v>REPROVADO</v>
      </c>
    </row>
    <row r="32" spans="2:32" ht="30" customHeight="1" x14ac:dyDescent="0.25">
      <c r="B32" s="5">
        <v>275</v>
      </c>
      <c r="C32" s="5" t="s">
        <v>1411</v>
      </c>
      <c r="D32" s="5" t="s">
        <v>33</v>
      </c>
      <c r="E32" s="7" t="s">
        <v>1412</v>
      </c>
      <c r="F32" s="7" t="s">
        <v>458</v>
      </c>
      <c r="G32" s="7" t="s">
        <v>36</v>
      </c>
      <c r="H32" s="8">
        <v>1720000</v>
      </c>
      <c r="I32" s="7" t="s">
        <v>1413</v>
      </c>
      <c r="J32" s="7" t="s">
        <v>1414</v>
      </c>
      <c r="K32" s="7" t="s">
        <v>1415</v>
      </c>
      <c r="L32" s="9" t="s">
        <v>1416</v>
      </c>
      <c r="M32" s="10">
        <v>45320</v>
      </c>
      <c r="N32" s="13" t="s">
        <v>226</v>
      </c>
      <c r="O32" s="7" t="s">
        <v>2922</v>
      </c>
      <c r="P32" s="20"/>
      <c r="Q32" s="40">
        <v>0</v>
      </c>
      <c r="R32" s="1">
        <v>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>
        <f>AVERAGE(Q32:AD32)</f>
        <v>0</v>
      </c>
      <c r="AF32" s="11" t="str">
        <f>IF(AE32&gt;=$AF$1,"APROVADO","REPROVADO")</f>
        <v>REPROVADO</v>
      </c>
    </row>
    <row r="33" spans="2:32" ht="30" customHeight="1" x14ac:dyDescent="0.25">
      <c r="B33" s="5">
        <v>316</v>
      </c>
      <c r="C33" s="9" t="s">
        <v>1627</v>
      </c>
      <c r="D33" s="5" t="s">
        <v>51</v>
      </c>
      <c r="E33" s="13" t="s">
        <v>1628</v>
      </c>
      <c r="F33" s="14" t="s">
        <v>1629</v>
      </c>
      <c r="G33" s="14" t="s">
        <v>36</v>
      </c>
      <c r="H33" s="28">
        <v>100000</v>
      </c>
      <c r="I33" s="13" t="s">
        <v>175</v>
      </c>
      <c r="J33" s="11" t="s">
        <v>123</v>
      </c>
      <c r="K33" s="14" t="s">
        <v>1630</v>
      </c>
      <c r="L33" s="47" t="s">
        <v>1631</v>
      </c>
      <c r="M33" s="26">
        <v>45321</v>
      </c>
      <c r="N33" s="13" t="s">
        <v>226</v>
      </c>
      <c r="O33" s="7" t="s">
        <v>2919</v>
      </c>
      <c r="P33" s="20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0"/>
      <c r="AD33" s="20"/>
      <c r="AE33" s="1" t="e">
        <f>AVERAGE(Q33:AD33)</f>
        <v>#DIV/0!</v>
      </c>
      <c r="AF33" s="11" t="e">
        <f>IF(AE33&gt;=$AF$1,"APROVADO","REPROVADO")</f>
        <v>#DIV/0!</v>
      </c>
    </row>
    <row r="34" spans="2:32" ht="30" customHeight="1" x14ac:dyDescent="0.25">
      <c r="B34" s="5">
        <v>330</v>
      </c>
      <c r="C34" s="5" t="s">
        <v>1684</v>
      </c>
      <c r="D34" s="5" t="s">
        <v>33</v>
      </c>
      <c r="E34" s="7" t="s">
        <v>1685</v>
      </c>
      <c r="F34" s="7" t="s">
        <v>1686</v>
      </c>
      <c r="G34" s="7" t="s">
        <v>36</v>
      </c>
      <c r="H34" s="8">
        <v>314834.19</v>
      </c>
      <c r="I34" s="7" t="s">
        <v>1033</v>
      </c>
      <c r="J34" s="7" t="s">
        <v>445</v>
      </c>
      <c r="K34" s="7" t="s">
        <v>1687</v>
      </c>
      <c r="L34" s="9" t="s">
        <v>1688</v>
      </c>
      <c r="M34" s="10">
        <v>45321</v>
      </c>
      <c r="N34" s="13" t="s">
        <v>226</v>
      </c>
      <c r="O34" s="7" t="s">
        <v>2919</v>
      </c>
      <c r="P34" s="20"/>
      <c r="Q34" s="40">
        <v>0</v>
      </c>
      <c r="R34" s="1">
        <v>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>
        <f t="shared" ref="AE34:AE41" si="4">AVERAGE(Q34:AD34)</f>
        <v>0</v>
      </c>
      <c r="AF34" s="11" t="str">
        <f t="shared" ref="AF34:AF41" si="5">IF(AE34&gt;=$AF$1,"APROVADO","REPROVADO")</f>
        <v>REPROVADO</v>
      </c>
    </row>
    <row r="35" spans="2:32" ht="30" customHeight="1" x14ac:dyDescent="0.25">
      <c r="B35" s="5">
        <v>333</v>
      </c>
      <c r="C35" s="13" t="s">
        <v>1701</v>
      </c>
      <c r="D35" s="5" t="s">
        <v>51</v>
      </c>
      <c r="E35" s="13" t="s">
        <v>1702</v>
      </c>
      <c r="F35" s="13" t="s">
        <v>1703</v>
      </c>
      <c r="G35" s="7" t="s">
        <v>36</v>
      </c>
      <c r="H35" s="28">
        <v>335000</v>
      </c>
      <c r="I35" s="13" t="s">
        <v>1704</v>
      </c>
      <c r="J35" s="11" t="s">
        <v>64</v>
      </c>
      <c r="K35" s="13" t="s">
        <v>1705</v>
      </c>
      <c r="L35" s="30" t="s">
        <v>1706</v>
      </c>
      <c r="M35" s="26">
        <v>45321</v>
      </c>
      <c r="N35" s="13" t="s">
        <v>226</v>
      </c>
      <c r="O35" s="7" t="s">
        <v>2919</v>
      </c>
      <c r="P35" s="20"/>
      <c r="Q35" s="1">
        <v>0</v>
      </c>
      <c r="R35" s="1">
        <v>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20"/>
      <c r="AD35" s="20"/>
      <c r="AE35" s="1">
        <f t="shared" si="4"/>
        <v>0</v>
      </c>
      <c r="AF35" s="11" t="str">
        <f t="shared" si="5"/>
        <v>REPROVADO</v>
      </c>
    </row>
    <row r="36" spans="2:32" ht="30" customHeight="1" x14ac:dyDescent="0.25">
      <c r="B36" s="5">
        <v>357</v>
      </c>
      <c r="C36" s="9" t="s">
        <v>1808</v>
      </c>
      <c r="D36" s="5" t="s">
        <v>51</v>
      </c>
      <c r="E36" s="13" t="s">
        <v>1809</v>
      </c>
      <c r="F36" s="13" t="s">
        <v>1810</v>
      </c>
      <c r="G36" s="14" t="s">
        <v>36</v>
      </c>
      <c r="H36" s="28">
        <v>1000000</v>
      </c>
      <c r="I36" s="13" t="s">
        <v>1214</v>
      </c>
      <c r="J36" s="11" t="s">
        <v>181</v>
      </c>
      <c r="K36" s="13" t="s">
        <v>1811</v>
      </c>
      <c r="L36" s="43" t="s">
        <v>1812</v>
      </c>
      <c r="M36" s="26">
        <v>45321</v>
      </c>
      <c r="N36" s="13" t="s">
        <v>226</v>
      </c>
      <c r="O36" s="7" t="s">
        <v>2919</v>
      </c>
      <c r="P36" s="2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20"/>
      <c r="AD36" s="20"/>
      <c r="AE36" s="1" t="e">
        <f t="shared" si="4"/>
        <v>#DIV/0!</v>
      </c>
      <c r="AF36" s="11" t="e">
        <f t="shared" si="5"/>
        <v>#DIV/0!</v>
      </c>
    </row>
    <row r="37" spans="2:32" ht="30" customHeight="1" x14ac:dyDescent="0.25">
      <c r="B37" s="5">
        <v>363</v>
      </c>
      <c r="C37" s="13" t="s">
        <v>1834</v>
      </c>
      <c r="D37" s="5" t="s">
        <v>51</v>
      </c>
      <c r="E37" s="13" t="s">
        <v>1814</v>
      </c>
      <c r="F37" s="13" t="s">
        <v>1835</v>
      </c>
      <c r="G37" s="14" t="s">
        <v>107</v>
      </c>
      <c r="H37" s="28">
        <v>318990</v>
      </c>
      <c r="I37" s="13" t="s">
        <v>859</v>
      </c>
      <c r="J37" s="11" t="s">
        <v>181</v>
      </c>
      <c r="K37" s="14" t="s">
        <v>1816</v>
      </c>
      <c r="L37" s="14" t="s">
        <v>1836</v>
      </c>
      <c r="M37" s="26">
        <v>45321</v>
      </c>
      <c r="N37" s="13" t="s">
        <v>226</v>
      </c>
      <c r="O37" s="7" t="s">
        <v>2919</v>
      </c>
      <c r="P37" s="20"/>
      <c r="Q37" s="1">
        <v>0</v>
      </c>
      <c r="R37" s="1"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20"/>
      <c r="AD37" s="20"/>
      <c r="AE37" s="1">
        <f t="shared" si="4"/>
        <v>0</v>
      </c>
      <c r="AF37" s="11" t="str">
        <f t="shared" si="5"/>
        <v>REPROVADO</v>
      </c>
    </row>
    <row r="38" spans="2:32" ht="30" customHeight="1" x14ac:dyDescent="0.25">
      <c r="B38" s="5">
        <v>364</v>
      </c>
      <c r="C38" s="13" t="s">
        <v>1838</v>
      </c>
      <c r="D38" s="5" t="s">
        <v>51</v>
      </c>
      <c r="E38" s="13" t="s">
        <v>1814</v>
      </c>
      <c r="F38" s="13" t="s">
        <v>1839</v>
      </c>
      <c r="G38" s="14" t="s">
        <v>107</v>
      </c>
      <c r="H38" s="28">
        <v>1000000</v>
      </c>
      <c r="I38" s="13" t="s">
        <v>859</v>
      </c>
      <c r="J38" s="11" t="s">
        <v>181</v>
      </c>
      <c r="K38" s="14" t="s">
        <v>1816</v>
      </c>
      <c r="L38" s="43" t="s">
        <v>1817</v>
      </c>
      <c r="M38" s="26">
        <v>45321</v>
      </c>
      <c r="N38" s="13" t="s">
        <v>226</v>
      </c>
      <c r="O38" s="7" t="s">
        <v>2922</v>
      </c>
      <c r="P38" s="20"/>
      <c r="Q38" s="1"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20"/>
      <c r="AD38" s="20"/>
      <c r="AE38" s="1">
        <f t="shared" si="4"/>
        <v>0</v>
      </c>
      <c r="AF38" s="11" t="str">
        <f t="shared" si="5"/>
        <v>REPROVADO</v>
      </c>
    </row>
    <row r="39" spans="2:32" ht="30" customHeight="1" x14ac:dyDescent="0.25">
      <c r="B39" s="5">
        <v>369</v>
      </c>
      <c r="C39" s="5" t="s">
        <v>1862</v>
      </c>
      <c r="D39" s="5" t="s">
        <v>33</v>
      </c>
      <c r="E39" s="7" t="s">
        <v>1858</v>
      </c>
      <c r="F39" s="7" t="s">
        <v>1863</v>
      </c>
      <c r="G39" s="7" t="s">
        <v>36</v>
      </c>
      <c r="H39" s="8">
        <v>1410121.6</v>
      </c>
      <c r="I39" s="7" t="s">
        <v>538</v>
      </c>
      <c r="J39" s="7" t="s">
        <v>115</v>
      </c>
      <c r="K39" s="7" t="s">
        <v>1860</v>
      </c>
      <c r="L39" s="9" t="s">
        <v>1861</v>
      </c>
      <c r="M39" s="10">
        <v>45321</v>
      </c>
      <c r="N39" s="13" t="s">
        <v>226</v>
      </c>
      <c r="O39" s="7" t="s">
        <v>2922</v>
      </c>
      <c r="P39" s="20"/>
      <c r="Q39" s="40">
        <v>0</v>
      </c>
      <c r="R39" s="1"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f t="shared" si="4"/>
        <v>0</v>
      </c>
      <c r="AF39" s="11" t="str">
        <f t="shared" si="5"/>
        <v>REPROVADO</v>
      </c>
    </row>
    <row r="40" spans="2:32" ht="30" customHeight="1" x14ac:dyDescent="0.25">
      <c r="B40" s="5">
        <v>374</v>
      </c>
      <c r="C40" s="5" t="s">
        <v>1885</v>
      </c>
      <c r="D40" s="5" t="s">
        <v>33</v>
      </c>
      <c r="E40" s="7" t="s">
        <v>904</v>
      </c>
      <c r="F40" s="7" t="s">
        <v>1886</v>
      </c>
      <c r="G40" s="7" t="s">
        <v>36</v>
      </c>
      <c r="H40" s="8">
        <v>105500</v>
      </c>
      <c r="I40" s="7" t="s">
        <v>1887</v>
      </c>
      <c r="J40" s="7" t="s">
        <v>223</v>
      </c>
      <c r="K40" s="7" t="s">
        <v>1888</v>
      </c>
      <c r="L40" s="9" t="s">
        <v>1889</v>
      </c>
      <c r="M40" s="10">
        <v>45322</v>
      </c>
      <c r="N40" s="13" t="s">
        <v>226</v>
      </c>
      <c r="O40" s="14" t="s">
        <v>2922</v>
      </c>
      <c r="P40" s="20"/>
      <c r="Q40" s="40">
        <v>0</v>
      </c>
      <c r="R40" s="1"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>
        <f t="shared" si="4"/>
        <v>0</v>
      </c>
      <c r="AF40" s="11" t="str">
        <f t="shared" si="5"/>
        <v>REPROVADO</v>
      </c>
    </row>
    <row r="41" spans="2:32" ht="30" customHeight="1" x14ac:dyDescent="0.25">
      <c r="B41" s="5">
        <v>379</v>
      </c>
      <c r="C41" s="5" t="s">
        <v>1911</v>
      </c>
      <c r="D41" s="5" t="s">
        <v>51</v>
      </c>
      <c r="E41" s="7" t="s">
        <v>1906</v>
      </c>
      <c r="F41" s="7" t="s">
        <v>1912</v>
      </c>
      <c r="G41" s="7" t="s">
        <v>174</v>
      </c>
      <c r="H41" s="28">
        <v>180000</v>
      </c>
      <c r="I41" s="13" t="s">
        <v>1908</v>
      </c>
      <c r="J41" s="11" t="s">
        <v>348</v>
      </c>
      <c r="K41" s="13" t="s">
        <v>1909</v>
      </c>
      <c r="L41" s="30" t="s">
        <v>1910</v>
      </c>
      <c r="M41" s="26">
        <v>45322</v>
      </c>
      <c r="N41" s="13" t="s">
        <v>226</v>
      </c>
      <c r="O41" s="7" t="s">
        <v>2919</v>
      </c>
      <c r="P41" s="20"/>
      <c r="Q41" s="1">
        <v>0</v>
      </c>
      <c r="R41" s="1"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20"/>
      <c r="AD41" s="20"/>
      <c r="AE41" s="1">
        <f t="shared" si="4"/>
        <v>0</v>
      </c>
      <c r="AF41" s="11" t="str">
        <f t="shared" si="5"/>
        <v>REPROVADO</v>
      </c>
    </row>
    <row r="42" spans="2:32" ht="30" customHeight="1" x14ac:dyDescent="0.25">
      <c r="B42" s="5">
        <v>384</v>
      </c>
      <c r="C42" s="5" t="s">
        <v>1930</v>
      </c>
      <c r="D42" s="5" t="s">
        <v>51</v>
      </c>
      <c r="E42" s="7" t="s">
        <v>1931</v>
      </c>
      <c r="F42" s="7" t="s">
        <v>1932</v>
      </c>
      <c r="G42" s="7" t="s">
        <v>36</v>
      </c>
      <c r="H42" s="28">
        <v>350000</v>
      </c>
      <c r="I42" s="13" t="s">
        <v>1933</v>
      </c>
      <c r="J42" s="11" t="s">
        <v>115</v>
      </c>
      <c r="K42" s="13" t="s">
        <v>1934</v>
      </c>
      <c r="L42" s="30" t="s">
        <v>1935</v>
      </c>
      <c r="M42" s="26">
        <v>45322</v>
      </c>
      <c r="N42" s="13" t="s">
        <v>226</v>
      </c>
      <c r="O42" s="7" t="s">
        <v>2919</v>
      </c>
      <c r="P42" s="20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0"/>
      <c r="AD42" s="20"/>
      <c r="AE42" s="1" t="e">
        <f>AVERAGE(Q42:AD42)</f>
        <v>#DIV/0!</v>
      </c>
      <c r="AF42" s="11" t="e">
        <f>IF(AE42&gt;=$AF$1,"APROVADO","REPROVADO")</f>
        <v>#DIV/0!</v>
      </c>
    </row>
    <row r="43" spans="2:32" ht="30" customHeight="1" x14ac:dyDescent="0.25">
      <c r="B43" s="5">
        <v>394</v>
      </c>
      <c r="C43" s="5" t="s">
        <v>1977</v>
      </c>
      <c r="D43" s="5" t="s">
        <v>33</v>
      </c>
      <c r="E43" s="7" t="s">
        <v>1973</v>
      </c>
      <c r="F43" s="7" t="s">
        <v>1978</v>
      </c>
      <c r="G43" s="7" t="s">
        <v>36</v>
      </c>
      <c r="H43" s="8">
        <v>1489280</v>
      </c>
      <c r="I43" s="7" t="s">
        <v>425</v>
      </c>
      <c r="J43" s="7" t="s">
        <v>348</v>
      </c>
      <c r="K43" s="7" t="s">
        <v>1975</v>
      </c>
      <c r="L43" s="9" t="s">
        <v>1976</v>
      </c>
      <c r="M43" s="10">
        <v>45322</v>
      </c>
      <c r="N43" s="13" t="s">
        <v>226</v>
      </c>
      <c r="O43" s="7" t="s">
        <v>2922</v>
      </c>
      <c r="P43" s="20"/>
      <c r="Q43" s="40">
        <v>0</v>
      </c>
      <c r="R43" s="1"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f>AVERAGE(Q43:AD43)</f>
        <v>0</v>
      </c>
      <c r="AF43" s="11" t="str">
        <f>IF(AE43&gt;=$AF$1,"APROVADO","REPROVADO")</f>
        <v>REPROVADO</v>
      </c>
    </row>
    <row r="44" spans="2:32" ht="30" customHeight="1" x14ac:dyDescent="0.25">
      <c r="B44" s="5">
        <v>412</v>
      </c>
      <c r="C44" s="60" t="s">
        <v>2043</v>
      </c>
      <c r="D44" s="5" t="s">
        <v>33</v>
      </c>
      <c r="E44" s="7" t="s">
        <v>2044</v>
      </c>
      <c r="F44" s="7" t="s">
        <v>2045</v>
      </c>
      <c r="G44" s="7" t="s">
        <v>36</v>
      </c>
      <c r="H44" s="8">
        <v>430300</v>
      </c>
      <c r="I44" s="7" t="s">
        <v>73</v>
      </c>
      <c r="J44" s="7" t="s">
        <v>74</v>
      </c>
      <c r="K44" s="7" t="s">
        <v>2046</v>
      </c>
      <c r="L44" s="9" t="s">
        <v>2047</v>
      </c>
      <c r="M44" s="10">
        <v>45322</v>
      </c>
      <c r="N44" s="7" t="s">
        <v>226</v>
      </c>
      <c r="O44" s="7" t="s">
        <v>2919</v>
      </c>
      <c r="P44" s="20"/>
      <c r="Q44" s="40">
        <v>0</v>
      </c>
      <c r="R44" s="1">
        <v>51</v>
      </c>
      <c r="S44" s="1"/>
      <c r="T44" s="1">
        <v>68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f>AVERAGE(Q44:AD44)</f>
        <v>39.666666666666664</v>
      </c>
      <c r="AF44" s="11" t="str">
        <f>IF(AE44&gt;=$AF$1,"APROVADO","REPROVADO")</f>
        <v>REPROVADO</v>
      </c>
    </row>
    <row r="45" spans="2:32" ht="30" customHeight="1" x14ac:dyDescent="0.25">
      <c r="B45" s="5">
        <v>413</v>
      </c>
      <c r="C45" s="60" t="s">
        <v>2048</v>
      </c>
      <c r="D45" s="5" t="s">
        <v>33</v>
      </c>
      <c r="E45" s="7" t="s">
        <v>2044</v>
      </c>
      <c r="F45" s="7" t="s">
        <v>2049</v>
      </c>
      <c r="G45" s="7" t="s">
        <v>36</v>
      </c>
      <c r="H45" s="8">
        <v>242400</v>
      </c>
      <c r="I45" s="7" t="s">
        <v>73</v>
      </c>
      <c r="J45" s="7" t="s">
        <v>74</v>
      </c>
      <c r="K45" s="7" t="s">
        <v>2046</v>
      </c>
      <c r="L45" s="9" t="s">
        <v>2047</v>
      </c>
      <c r="M45" s="10">
        <v>45322</v>
      </c>
      <c r="N45" s="7" t="s">
        <v>226</v>
      </c>
      <c r="O45" s="7" t="s">
        <v>2919</v>
      </c>
      <c r="P45" s="20"/>
      <c r="Q45" s="40">
        <v>0</v>
      </c>
      <c r="R45" s="1">
        <v>51</v>
      </c>
      <c r="S45" s="1"/>
      <c r="T45" s="1">
        <v>56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>
        <f>AVERAGE(Q45:AD45)</f>
        <v>35.666666666666664</v>
      </c>
      <c r="AF45" s="11" t="str">
        <f>IF(AE45&gt;=$AF$1,"APROVADO","REPROVADO")</f>
        <v>REPROVADO</v>
      </c>
    </row>
    <row r="46" spans="2:32" ht="30" customHeight="1" x14ac:dyDescent="0.25">
      <c r="B46" s="5">
        <v>414</v>
      </c>
      <c r="C46" s="60" t="s">
        <v>2050</v>
      </c>
      <c r="D46" s="5" t="s">
        <v>33</v>
      </c>
      <c r="E46" s="7" t="s">
        <v>2044</v>
      </c>
      <c r="F46" s="7" t="s">
        <v>2051</v>
      </c>
      <c r="G46" s="7" t="s">
        <v>36</v>
      </c>
      <c r="H46" s="8">
        <v>375800</v>
      </c>
      <c r="I46" s="7" t="s">
        <v>73</v>
      </c>
      <c r="J46" s="7" t="s">
        <v>74</v>
      </c>
      <c r="K46" s="7" t="s">
        <v>2046</v>
      </c>
      <c r="L46" s="9" t="s">
        <v>2047</v>
      </c>
      <c r="M46" s="10">
        <v>45322</v>
      </c>
      <c r="N46" s="7" t="s">
        <v>226</v>
      </c>
      <c r="O46" s="7" t="s">
        <v>2919</v>
      </c>
      <c r="P46" s="20"/>
      <c r="Q46" s="40">
        <v>0</v>
      </c>
      <c r="R46" s="1">
        <v>0</v>
      </c>
      <c r="S46" s="1"/>
      <c r="T46" s="1">
        <v>58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>
        <f>AVERAGE(Q46:AD46)</f>
        <v>19.333333333333332</v>
      </c>
      <c r="AF46" s="11" t="str">
        <f>IF(AE46&gt;=$AF$1,"APROVADO","REPROVADO")</f>
        <v>REPROVADO</v>
      </c>
    </row>
    <row r="47" spans="2:32" ht="30" customHeight="1" x14ac:dyDescent="0.25">
      <c r="B47" s="5">
        <v>466</v>
      </c>
      <c r="C47" s="9" t="s">
        <v>2272</v>
      </c>
      <c r="D47" s="5" t="s">
        <v>51</v>
      </c>
      <c r="E47" s="13" t="s">
        <v>2273</v>
      </c>
      <c r="F47" s="13" t="s">
        <v>2274</v>
      </c>
      <c r="G47" s="14" t="s">
        <v>107</v>
      </c>
      <c r="H47" s="28">
        <v>594499.12</v>
      </c>
      <c r="I47" s="13" t="s">
        <v>2275</v>
      </c>
      <c r="J47" s="11" t="s">
        <v>162</v>
      </c>
      <c r="K47" s="13" t="s">
        <v>2276</v>
      </c>
      <c r="L47" s="42" t="s">
        <v>2277</v>
      </c>
      <c r="M47" s="26">
        <v>45322</v>
      </c>
      <c r="N47" s="13" t="s">
        <v>226</v>
      </c>
      <c r="O47" s="7" t="s">
        <v>2922</v>
      </c>
      <c r="P47" s="20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20"/>
      <c r="AD47" s="20"/>
      <c r="AE47" s="1" t="e">
        <f t="shared" ref="AE47:AE53" si="6">AVERAGE(Q47:AD47)</f>
        <v>#DIV/0!</v>
      </c>
      <c r="AF47" s="11" t="e">
        <f t="shared" ref="AF47:AF53" si="7">IF(AE47&gt;=$AF$1,"APROVADO","REPROVADO")</f>
        <v>#DIV/0!</v>
      </c>
    </row>
    <row r="48" spans="2:32" ht="30" customHeight="1" x14ac:dyDescent="0.25">
      <c r="B48" s="5">
        <v>471</v>
      </c>
      <c r="C48" s="9" t="s">
        <v>2299</v>
      </c>
      <c r="D48" s="5" t="s">
        <v>51</v>
      </c>
      <c r="E48" s="13" t="s">
        <v>2300</v>
      </c>
      <c r="F48" s="14" t="s">
        <v>2301</v>
      </c>
      <c r="G48" s="14" t="s">
        <v>36</v>
      </c>
      <c r="H48" s="28">
        <v>800000</v>
      </c>
      <c r="I48" s="13" t="s">
        <v>212</v>
      </c>
      <c r="J48" s="11" t="s">
        <v>123</v>
      </c>
      <c r="K48" s="13" t="s">
        <v>2302</v>
      </c>
      <c r="L48" s="42" t="s">
        <v>2303</v>
      </c>
      <c r="M48" s="26">
        <v>45322</v>
      </c>
      <c r="N48" s="13" t="s">
        <v>226</v>
      </c>
      <c r="O48" s="7" t="s">
        <v>2922</v>
      </c>
      <c r="P48" s="20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0"/>
      <c r="AD48" s="20"/>
      <c r="AE48" s="1" t="e">
        <f t="shared" si="6"/>
        <v>#DIV/0!</v>
      </c>
      <c r="AF48" s="11" t="e">
        <f t="shared" si="7"/>
        <v>#DIV/0!</v>
      </c>
    </row>
    <row r="49" spans="2:32" ht="30" customHeight="1" x14ac:dyDescent="0.25">
      <c r="B49" s="5">
        <v>474</v>
      </c>
      <c r="C49" s="9" t="s">
        <v>2315</v>
      </c>
      <c r="D49" s="5" t="s">
        <v>51</v>
      </c>
      <c r="E49" s="13" t="s">
        <v>2316</v>
      </c>
      <c r="F49" s="14" t="s">
        <v>2317</v>
      </c>
      <c r="G49" s="14" t="s">
        <v>36</v>
      </c>
      <c r="H49" s="28">
        <v>450000</v>
      </c>
      <c r="I49" s="13" t="s">
        <v>2307</v>
      </c>
      <c r="J49" s="11" t="s">
        <v>181</v>
      </c>
      <c r="K49" s="13" t="s">
        <v>2318</v>
      </c>
      <c r="L49" s="30" t="s">
        <v>2319</v>
      </c>
      <c r="M49" s="26">
        <v>45322</v>
      </c>
      <c r="N49" s="13" t="s">
        <v>226</v>
      </c>
      <c r="O49" s="7" t="s">
        <v>2919</v>
      </c>
      <c r="P49" s="2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0"/>
      <c r="AD49" s="20"/>
      <c r="AE49" s="1" t="e">
        <f t="shared" si="6"/>
        <v>#DIV/0!</v>
      </c>
      <c r="AF49" s="11" t="e">
        <f t="shared" si="7"/>
        <v>#DIV/0!</v>
      </c>
    </row>
    <row r="50" spans="2:32" ht="30" customHeight="1" x14ac:dyDescent="0.25">
      <c r="B50" s="5">
        <v>480</v>
      </c>
      <c r="C50" s="5" t="s">
        <v>2341</v>
      </c>
      <c r="D50" s="5" t="s">
        <v>33</v>
      </c>
      <c r="E50" s="7" t="s">
        <v>2342</v>
      </c>
      <c r="F50" s="9" t="s">
        <v>2343</v>
      </c>
      <c r="G50" s="7" t="s">
        <v>36</v>
      </c>
      <c r="H50" s="8">
        <v>568400</v>
      </c>
      <c r="I50" s="7" t="s">
        <v>73</v>
      </c>
      <c r="J50" s="7" t="s">
        <v>74</v>
      </c>
      <c r="K50" s="7" t="s">
        <v>2344</v>
      </c>
      <c r="L50" s="9" t="s">
        <v>2345</v>
      </c>
      <c r="M50" s="10">
        <v>45322</v>
      </c>
      <c r="N50" s="7" t="s">
        <v>226</v>
      </c>
      <c r="O50" s="11" t="s">
        <v>2927</v>
      </c>
      <c r="P50" s="7" t="s">
        <v>2347</v>
      </c>
      <c r="Q50" s="40"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>
        <f t="shared" si="6"/>
        <v>0</v>
      </c>
      <c r="AF50" s="11" t="str">
        <f t="shared" si="7"/>
        <v>REPROVADO</v>
      </c>
    </row>
    <row r="51" spans="2:32" ht="30" customHeight="1" x14ac:dyDescent="0.25">
      <c r="B51" s="5">
        <v>486</v>
      </c>
      <c r="C51" s="5" t="s">
        <v>2370</v>
      </c>
      <c r="D51" s="5" t="s">
        <v>51</v>
      </c>
      <c r="E51" s="7" t="s">
        <v>2371</v>
      </c>
      <c r="F51" s="7" t="s">
        <v>2372</v>
      </c>
      <c r="G51" s="7" t="s">
        <v>36</v>
      </c>
      <c r="H51" s="28">
        <v>633863.52</v>
      </c>
      <c r="I51" s="13" t="s">
        <v>2373</v>
      </c>
      <c r="J51" s="11" t="s">
        <v>38</v>
      </c>
      <c r="K51" s="7" t="s">
        <v>2374</v>
      </c>
      <c r="L51" s="43" t="s">
        <v>2375</v>
      </c>
      <c r="M51" s="26">
        <v>45322</v>
      </c>
      <c r="N51" s="13" t="s">
        <v>226</v>
      </c>
      <c r="O51" s="7" t="s">
        <v>2925</v>
      </c>
      <c r="P51" s="20"/>
      <c r="Q51" s="1"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20"/>
      <c r="AD51" s="20"/>
      <c r="AE51" s="1">
        <f t="shared" si="6"/>
        <v>0</v>
      </c>
      <c r="AF51" s="11" t="str">
        <f t="shared" si="7"/>
        <v>REPROVADO</v>
      </c>
    </row>
    <row r="52" spans="2:32" ht="30" customHeight="1" x14ac:dyDescent="0.25">
      <c r="B52" s="5">
        <v>492</v>
      </c>
      <c r="C52" s="5" t="s">
        <v>2406</v>
      </c>
      <c r="D52" s="5" t="s">
        <v>33</v>
      </c>
      <c r="E52" s="5" t="s">
        <v>2407</v>
      </c>
      <c r="F52" s="5" t="s">
        <v>2408</v>
      </c>
      <c r="G52" s="5" t="s">
        <v>174</v>
      </c>
      <c r="H52" s="17">
        <v>3500000</v>
      </c>
      <c r="I52" s="7" t="s">
        <v>73</v>
      </c>
      <c r="J52" s="5" t="s">
        <v>74</v>
      </c>
      <c r="K52" s="5" t="s">
        <v>2409</v>
      </c>
      <c r="L52" s="9" t="s">
        <v>2410</v>
      </c>
      <c r="M52" s="10">
        <v>45322</v>
      </c>
      <c r="N52" s="7" t="s">
        <v>226</v>
      </c>
      <c r="O52" s="7" t="s">
        <v>2922</v>
      </c>
      <c r="P52" s="20"/>
      <c r="Q52" s="40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 t="e">
        <f t="shared" si="6"/>
        <v>#DIV/0!</v>
      </c>
      <c r="AF52" s="11" t="e">
        <f t="shared" si="7"/>
        <v>#DIV/0!</v>
      </c>
    </row>
    <row r="53" spans="2:32" ht="30" customHeight="1" x14ac:dyDescent="0.25">
      <c r="B53" s="5">
        <v>500</v>
      </c>
      <c r="C53" s="13" t="s">
        <v>2445</v>
      </c>
      <c r="D53" s="5" t="s">
        <v>51</v>
      </c>
      <c r="E53" s="13" t="s">
        <v>2429</v>
      </c>
      <c r="F53" s="13" t="s">
        <v>2446</v>
      </c>
      <c r="G53" s="14" t="s">
        <v>36</v>
      </c>
      <c r="H53" s="28">
        <v>160000</v>
      </c>
      <c r="I53" s="13" t="s">
        <v>2430</v>
      </c>
      <c r="J53" s="11" t="s">
        <v>47</v>
      </c>
      <c r="K53" s="13" t="s">
        <v>2447</v>
      </c>
      <c r="L53" s="30" t="s">
        <v>2448</v>
      </c>
      <c r="M53" s="26">
        <v>45322</v>
      </c>
      <c r="N53" s="13" t="s">
        <v>226</v>
      </c>
      <c r="O53" s="7" t="s">
        <v>2922</v>
      </c>
      <c r="P53" s="20"/>
      <c r="Q53" s="1">
        <v>0</v>
      </c>
      <c r="R53" s="1">
        <v>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20"/>
      <c r="AD53" s="20"/>
      <c r="AE53" s="1">
        <f t="shared" si="6"/>
        <v>0</v>
      </c>
      <c r="AF53" s="11" t="str">
        <f t="shared" si="7"/>
        <v>REPROVADO</v>
      </c>
    </row>
    <row r="54" spans="2:32" ht="30" customHeight="1" x14ac:dyDescent="0.25">
      <c r="B54" s="5">
        <v>540</v>
      </c>
      <c r="C54" s="5" t="s">
        <v>2624</v>
      </c>
      <c r="D54" s="5" t="s">
        <v>33</v>
      </c>
      <c r="E54" s="7" t="s">
        <v>2625</v>
      </c>
      <c r="F54" s="7" t="s">
        <v>2626</v>
      </c>
      <c r="G54" s="7" t="s">
        <v>36</v>
      </c>
      <c r="H54" s="8">
        <v>262359</v>
      </c>
      <c r="I54" s="7" t="s">
        <v>2627</v>
      </c>
      <c r="J54" s="7" t="s">
        <v>95</v>
      </c>
      <c r="K54" s="7" t="s">
        <v>2628</v>
      </c>
      <c r="L54" s="9" t="s">
        <v>2629</v>
      </c>
      <c r="M54" s="10">
        <v>45322</v>
      </c>
      <c r="N54" s="7" t="s">
        <v>226</v>
      </c>
      <c r="O54" s="7" t="s">
        <v>2922</v>
      </c>
      <c r="P54" s="7"/>
      <c r="Q54" s="40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 t="e">
        <f>AVERAGE(Q54:AD54)</f>
        <v>#DIV/0!</v>
      </c>
      <c r="AF54" s="11" t="e">
        <f>IF(AE54&gt;=$AF$1,"APROVADO","REPROVADO")</f>
        <v>#DIV/0!</v>
      </c>
    </row>
    <row r="55" spans="2:32" ht="30" customHeight="1" x14ac:dyDescent="0.25">
      <c r="B55" s="5">
        <v>567</v>
      </c>
      <c r="C55" s="5" t="s">
        <v>2717</v>
      </c>
      <c r="D55" s="5" t="s">
        <v>33</v>
      </c>
      <c r="E55" s="7" t="s">
        <v>2422</v>
      </c>
      <c r="F55" s="7" t="s">
        <v>2718</v>
      </c>
      <c r="G55" s="7" t="s">
        <v>107</v>
      </c>
      <c r="H55" s="8">
        <v>3082071.12</v>
      </c>
      <c r="I55" s="7" t="s">
        <v>201</v>
      </c>
      <c r="J55" s="7" t="s">
        <v>202</v>
      </c>
      <c r="K55" s="7" t="s">
        <v>2424</v>
      </c>
      <c r="L55" s="9" t="s">
        <v>2425</v>
      </c>
      <c r="M55" s="10">
        <v>45322</v>
      </c>
      <c r="N55" s="7" t="s">
        <v>226</v>
      </c>
      <c r="O55" s="7" t="s">
        <v>2928</v>
      </c>
      <c r="P55" s="7" t="s">
        <v>68</v>
      </c>
      <c r="Q55" s="40"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>
        <v>54</v>
      </c>
      <c r="AE55" s="1">
        <f>AVERAGE(Q55:AD55)</f>
        <v>27</v>
      </c>
      <c r="AF55" s="11" t="str">
        <f>IF(AE55&gt;=$AF$1,"APROVADO","REPROVADO")</f>
        <v>REPROVADO</v>
      </c>
    </row>
    <row r="56" spans="2:32" ht="30" customHeight="1" x14ac:dyDescent="0.25">
      <c r="B56" s="5">
        <v>594</v>
      </c>
      <c r="C56" s="5" t="s">
        <v>2824</v>
      </c>
      <c r="D56" s="5" t="s">
        <v>33</v>
      </c>
      <c r="E56" s="7" t="s">
        <v>2816</v>
      </c>
      <c r="F56" s="7" t="s">
        <v>2825</v>
      </c>
      <c r="G56" s="7" t="s">
        <v>107</v>
      </c>
      <c r="H56" s="8">
        <v>428520</v>
      </c>
      <c r="I56" s="7" t="s">
        <v>2818</v>
      </c>
      <c r="J56" s="7" t="s">
        <v>1414</v>
      </c>
      <c r="K56" s="7" t="s">
        <v>2819</v>
      </c>
      <c r="L56" s="9" t="s">
        <v>2820</v>
      </c>
      <c r="M56" s="10">
        <v>45322</v>
      </c>
      <c r="N56" s="7" t="s">
        <v>226</v>
      </c>
      <c r="O56" s="11" t="s">
        <v>2927</v>
      </c>
      <c r="P56" s="7" t="s">
        <v>2111</v>
      </c>
      <c r="Q56" s="40"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f>AVERAGE(Q56:AD56)</f>
        <v>0</v>
      </c>
      <c r="AF56" s="11" t="str">
        <f>IF(AE56&gt;=$AF$1,"APROVADO","REPROVADO")</f>
        <v>REPROVADO</v>
      </c>
    </row>
    <row r="57" spans="2:32" ht="30" customHeight="1" x14ac:dyDescent="0.25">
      <c r="B57" s="5">
        <v>604</v>
      </c>
      <c r="C57" s="5" t="s">
        <v>2873</v>
      </c>
      <c r="D57" s="5" t="s">
        <v>33</v>
      </c>
      <c r="E57" s="7" t="s">
        <v>2868</v>
      </c>
      <c r="F57" s="7" t="s">
        <v>2874</v>
      </c>
      <c r="G57" s="7" t="s">
        <v>107</v>
      </c>
      <c r="H57" s="8">
        <v>2034120</v>
      </c>
      <c r="I57" s="7" t="s">
        <v>73</v>
      </c>
      <c r="J57" s="5" t="s">
        <v>74</v>
      </c>
      <c r="K57" s="7" t="s">
        <v>2870</v>
      </c>
      <c r="L57" s="9" t="s">
        <v>2871</v>
      </c>
      <c r="M57" s="10">
        <v>45322</v>
      </c>
      <c r="N57" s="7" t="s">
        <v>226</v>
      </c>
      <c r="O57" s="7" t="s">
        <v>2929</v>
      </c>
      <c r="P57" s="7" t="s">
        <v>2876</v>
      </c>
      <c r="Q57" s="40"/>
      <c r="R57" s="1"/>
      <c r="S57" s="1"/>
      <c r="T57" s="1"/>
      <c r="U57" s="1"/>
      <c r="V57" s="1"/>
      <c r="W57" s="1"/>
      <c r="X57" s="1"/>
      <c r="Y57" s="1"/>
      <c r="Z57" s="1">
        <v>0</v>
      </c>
      <c r="AA57" s="1"/>
      <c r="AB57" s="1"/>
      <c r="AC57" s="1"/>
      <c r="AD57" s="1"/>
      <c r="AE57" s="1">
        <f>AVERAGE(Q57:AD57)</f>
        <v>0</v>
      </c>
      <c r="AF57" s="11" t="str">
        <f>IF(AE57&gt;=$AF$1,"APROVADO","REPROVADO")</f>
        <v>REPROVADO</v>
      </c>
    </row>
    <row r="58" spans="2:32" x14ac:dyDescent="0.25">
      <c r="AD58" t="s">
        <v>2904</v>
      </c>
      <c r="AF58"/>
    </row>
  </sheetData>
  <autoFilter ref="B4:AF58" xr:uid="{4236D1EC-F48A-4690-BC1C-BCC1124A5676}"/>
  <mergeCells count="2">
    <mergeCell ref="B2:AE2"/>
    <mergeCell ref="B3:AF3"/>
  </mergeCells>
  <hyperlinks>
    <hyperlink ref="I9" r:id="rId1" display="professorsanioto@gmail.com" xr:uid="{F6A8CDCD-DC66-4258-A380-4E2A8A9D6DF0}"/>
    <hyperlink ref="I16" r:id="rId2" display="Isvp.manduri@hotmail.com" xr:uid="{BDF42961-0457-4C5B-80B8-2B7E5DE6AB6C}"/>
    <hyperlink ref="L28" r:id="rId3" xr:uid="{C0F09D56-34D1-44CF-94E2-72A83E78AB67}"/>
    <hyperlink ref="L30" r:id="rId4" xr:uid="{3AECBAB6-4FE6-4A3A-91A6-AED328552C71}"/>
    <hyperlink ref="L29" r:id="rId5" xr:uid="{B9ECEFA3-B4D7-4F38-8BE5-AECD31D905F8}"/>
    <hyperlink ref="L38" r:id="rId6" xr:uid="{3A78468E-5BF0-45C2-80CC-0316D2263EAD}"/>
    <hyperlink ref="L33" r:id="rId7" xr:uid="{5FC2982E-4180-4D09-8312-7AB02C97DB26}"/>
    <hyperlink ref="L35" r:id="rId8" xr:uid="{98826D97-2032-4B61-932C-F476C5656868}"/>
    <hyperlink ref="L53" r:id="rId9" xr:uid="{72D6DA77-DED3-44A7-B7F4-33286449198F}"/>
    <hyperlink ref="L48" r:id="rId10" xr:uid="{1B64E0F9-C8D1-47BF-83B6-9E429F0EEEB8}"/>
    <hyperlink ref="L49" r:id="rId11" xr:uid="{98998225-2874-4B56-B0EB-1D0FBB21BD6A}"/>
    <hyperlink ref="L41" r:id="rId12" xr:uid="{457D24EB-A34C-4E3B-ADC8-D8340C3291F3}"/>
    <hyperlink ref="L42" r:id="rId13" xr:uid="{86E3151C-2528-4C67-8609-D25E58897059}"/>
    <hyperlink ref="L51" r:id="rId14" xr:uid="{92D37877-C9EC-4CEB-AC27-8ABF6257BDF2}"/>
    <hyperlink ref="L47" r:id="rId15" xr:uid="{38AAEF2F-88FB-4A1C-A054-ABBFCAE679BD}"/>
    <hyperlink ref="L25" r:id="rId16" xr:uid="{9DE55B1D-15EF-4F3E-BCCC-57432BD58D5D}"/>
    <hyperlink ref="L26" r:id="rId17" xr:uid="{7BB7FCF2-4C01-492E-8F0C-6B89375E2131}"/>
    <hyperlink ref="L36" r:id="rId18" xr:uid="{652503D5-4D63-4E5B-AD6D-A7F60710AC28}"/>
  </hyperlinks>
  <pageMargins left="0.15" right="0.13" top="0.18" bottom="0.2" header="0.17" footer="0.17"/>
  <pageSetup paperSize="9" orientation="landscape" horizontalDpi="300" verticalDpi="300" r:id="rId19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9C11-A5A4-4CB2-896D-330D2029C32F}">
  <dimension ref="B1:AG48"/>
  <sheetViews>
    <sheetView showGridLines="0" workbookViewId="0">
      <pane xSplit="1" ySplit="4" topLeftCell="B5" activePane="bottomRight" state="frozen"/>
      <selection pane="topRight" activeCell="C5" sqref="C5:C618"/>
      <selection pane="bottomLeft" activeCell="C5" sqref="C5:C618"/>
      <selection pane="bottomRight" activeCell="C5" sqref="C5:C618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8" width="20.85546875" customWidth="1"/>
    <col min="9" max="9" width="23.42578125" customWidth="1"/>
    <col min="10" max="10" width="20.7109375" customWidth="1"/>
    <col min="11" max="11" width="34" customWidth="1"/>
    <col min="12" max="12" width="32.140625" customWidth="1"/>
    <col min="13" max="13" width="18.7109375" customWidth="1"/>
    <col min="14" max="14" width="20" customWidth="1"/>
    <col min="15" max="15" width="30.7109375" customWidth="1"/>
    <col min="16" max="16" width="32.140625" customWidth="1"/>
    <col min="17" max="17" width="13" customWidth="1"/>
    <col min="18" max="23" width="9.140625" customWidth="1"/>
    <col min="24" max="24" width="10" customWidth="1"/>
    <col min="25" max="31" width="9.140625" customWidth="1"/>
    <col min="32" max="32" width="9.140625" style="61" customWidth="1"/>
    <col min="33" max="33" width="13.85546875" style="2" customWidth="1"/>
    <col min="34" max="47" width="9.140625" customWidth="1"/>
  </cols>
  <sheetData>
    <row r="1" spans="2:33" x14ac:dyDescent="0.25">
      <c r="AG1" s="1">
        <v>204</v>
      </c>
    </row>
    <row r="2" spans="2:33" ht="84.75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2:33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</row>
    <row r="4" spans="2:33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/>
      <c r="AF4" s="4" t="s">
        <v>30</v>
      </c>
      <c r="AG4" s="4" t="s">
        <v>31</v>
      </c>
    </row>
    <row r="5" spans="2:33" ht="39.950000000000003" customHeight="1" x14ac:dyDescent="0.25">
      <c r="B5" s="5">
        <v>14</v>
      </c>
      <c r="C5" s="6" t="s">
        <v>126</v>
      </c>
      <c r="D5" s="5" t="s">
        <v>33</v>
      </c>
      <c r="E5" s="7" t="s">
        <v>127</v>
      </c>
      <c r="F5" s="7" t="s">
        <v>128</v>
      </c>
      <c r="G5" s="5" t="s">
        <v>36</v>
      </c>
      <c r="H5" s="15">
        <v>275400</v>
      </c>
      <c r="I5" s="7" t="s">
        <v>122</v>
      </c>
      <c r="J5" s="5" t="s">
        <v>123</v>
      </c>
      <c r="K5" s="7" t="s">
        <v>124</v>
      </c>
      <c r="L5" s="9" t="s">
        <v>129</v>
      </c>
      <c r="M5" s="10">
        <v>45321</v>
      </c>
      <c r="N5" s="7" t="s">
        <v>41</v>
      </c>
      <c r="O5" s="7"/>
      <c r="P5" s="7" t="s">
        <v>130</v>
      </c>
      <c r="Q5" s="9">
        <v>288</v>
      </c>
      <c r="R5" s="9">
        <v>118</v>
      </c>
      <c r="S5" s="9"/>
      <c r="T5" s="9">
        <v>177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>
        <f t="shared" ref="AE5:AE12" si="0">COUNTA(Q5:AD5)</f>
        <v>3</v>
      </c>
      <c r="AF5" s="70">
        <f t="shared" ref="AF5:AF27" si="1">AVERAGE(Q5:AD5)</f>
        <v>194.33333333333334</v>
      </c>
      <c r="AG5" s="11" t="str">
        <f t="shared" ref="AG5:AG27" si="2">IF(AF5&gt;=$AG$1,"APROVADO","REPROVADO")</f>
        <v>REPROVADO</v>
      </c>
    </row>
    <row r="6" spans="2:33" ht="39.950000000000003" customHeight="1" x14ac:dyDescent="0.25">
      <c r="B6" s="5">
        <v>19</v>
      </c>
      <c r="C6" s="6" t="s">
        <v>158</v>
      </c>
      <c r="D6" s="5" t="s">
        <v>51</v>
      </c>
      <c r="E6" s="7" t="s">
        <v>159</v>
      </c>
      <c r="F6" s="7" t="s">
        <v>160</v>
      </c>
      <c r="G6" s="7" t="s">
        <v>36</v>
      </c>
      <c r="H6" s="8">
        <v>120000</v>
      </c>
      <c r="I6" s="7" t="s">
        <v>161</v>
      </c>
      <c r="J6" s="7" t="s">
        <v>162</v>
      </c>
      <c r="K6" s="7" t="s">
        <v>163</v>
      </c>
      <c r="L6" s="7" t="s">
        <v>164</v>
      </c>
      <c r="M6" s="10">
        <v>45302</v>
      </c>
      <c r="N6" s="7" t="s">
        <v>41</v>
      </c>
      <c r="O6" s="11"/>
      <c r="P6" s="9"/>
      <c r="Q6" s="9">
        <v>297</v>
      </c>
      <c r="R6" s="9"/>
      <c r="S6" s="9">
        <v>180</v>
      </c>
      <c r="T6" s="9">
        <v>112</v>
      </c>
      <c r="U6" s="9"/>
      <c r="V6" s="9"/>
      <c r="W6" s="9"/>
      <c r="X6" s="9"/>
      <c r="Y6" s="9"/>
      <c r="Z6" s="9"/>
      <c r="AA6" s="9"/>
      <c r="AB6" s="9"/>
      <c r="AC6" s="9"/>
      <c r="AD6" s="9"/>
      <c r="AE6" s="9">
        <f t="shared" si="0"/>
        <v>3</v>
      </c>
      <c r="AF6" s="70">
        <f t="shared" si="1"/>
        <v>196.33333333333334</v>
      </c>
      <c r="AG6" s="11" t="str">
        <f t="shared" si="2"/>
        <v>REPROVADO</v>
      </c>
    </row>
    <row r="7" spans="2:33" ht="39.950000000000003" customHeight="1" x14ac:dyDescent="0.25">
      <c r="B7" s="5">
        <v>27</v>
      </c>
      <c r="C7" s="6" t="s">
        <v>209</v>
      </c>
      <c r="D7" s="5" t="s">
        <v>33</v>
      </c>
      <c r="E7" s="7" t="s">
        <v>210</v>
      </c>
      <c r="F7" s="7" t="s">
        <v>211</v>
      </c>
      <c r="G7" s="7" t="s">
        <v>174</v>
      </c>
      <c r="H7" s="8">
        <v>150000</v>
      </c>
      <c r="I7" s="7" t="s">
        <v>212</v>
      </c>
      <c r="J7" s="7" t="s">
        <v>123</v>
      </c>
      <c r="K7" s="7" t="s">
        <v>213</v>
      </c>
      <c r="L7" s="9" t="s">
        <v>214</v>
      </c>
      <c r="M7" s="10">
        <v>45303</v>
      </c>
      <c r="N7" s="7" t="s">
        <v>41</v>
      </c>
      <c r="O7" s="7"/>
      <c r="P7" s="7"/>
      <c r="Q7" s="9">
        <v>306</v>
      </c>
      <c r="R7" s="9">
        <v>55</v>
      </c>
      <c r="S7" s="9"/>
      <c r="T7" s="9">
        <v>66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>
        <f t="shared" si="0"/>
        <v>3</v>
      </c>
      <c r="AF7" s="70">
        <f t="shared" si="1"/>
        <v>142.33333333333334</v>
      </c>
      <c r="AG7" s="11" t="str">
        <f t="shared" si="2"/>
        <v>REPROVADO</v>
      </c>
    </row>
    <row r="8" spans="2:33" ht="39.950000000000003" customHeight="1" x14ac:dyDescent="0.25">
      <c r="B8" s="5">
        <v>28</v>
      </c>
      <c r="C8" s="6" t="s">
        <v>215</v>
      </c>
      <c r="D8" s="5" t="s">
        <v>33</v>
      </c>
      <c r="E8" s="7" t="s">
        <v>210</v>
      </c>
      <c r="F8" s="7" t="s">
        <v>216</v>
      </c>
      <c r="G8" s="7" t="s">
        <v>36</v>
      </c>
      <c r="H8" s="8">
        <v>120000</v>
      </c>
      <c r="I8" s="7" t="s">
        <v>212</v>
      </c>
      <c r="J8" s="7" t="s">
        <v>123</v>
      </c>
      <c r="K8" s="7" t="s">
        <v>213</v>
      </c>
      <c r="L8" s="9" t="s">
        <v>214</v>
      </c>
      <c r="M8" s="10">
        <v>45303</v>
      </c>
      <c r="N8" s="7" t="s">
        <v>41</v>
      </c>
      <c r="O8" s="7"/>
      <c r="P8" s="7"/>
      <c r="Q8" s="9">
        <v>340</v>
      </c>
      <c r="R8" s="9"/>
      <c r="S8" s="9">
        <v>60</v>
      </c>
      <c r="T8" s="9">
        <v>79</v>
      </c>
      <c r="U8" s="9"/>
      <c r="V8" s="9"/>
      <c r="W8" s="9"/>
      <c r="X8" s="9"/>
      <c r="Y8" s="9"/>
      <c r="Z8" s="9"/>
      <c r="AA8" s="9"/>
      <c r="AB8" s="9"/>
      <c r="AC8" s="9"/>
      <c r="AD8" s="9"/>
      <c r="AE8" s="9">
        <f t="shared" si="0"/>
        <v>3</v>
      </c>
      <c r="AF8" s="70">
        <f t="shared" si="1"/>
        <v>159.66666666666666</v>
      </c>
      <c r="AG8" s="11" t="str">
        <f t="shared" si="2"/>
        <v>REPROVADO</v>
      </c>
    </row>
    <row r="9" spans="2:33" ht="39.950000000000003" customHeight="1" x14ac:dyDescent="0.25">
      <c r="B9" s="5">
        <v>40</v>
      </c>
      <c r="C9" s="6" t="s">
        <v>276</v>
      </c>
      <c r="D9" s="5" t="s">
        <v>51</v>
      </c>
      <c r="E9" s="7" t="s">
        <v>277</v>
      </c>
      <c r="F9" s="7" t="s">
        <v>278</v>
      </c>
      <c r="G9" s="7" t="s">
        <v>36</v>
      </c>
      <c r="H9" s="8">
        <v>80000</v>
      </c>
      <c r="I9" s="7" t="s">
        <v>269</v>
      </c>
      <c r="J9" s="7" t="s">
        <v>270</v>
      </c>
      <c r="K9" s="7" t="s">
        <v>279</v>
      </c>
      <c r="L9" s="9" t="s">
        <v>280</v>
      </c>
      <c r="M9" s="10">
        <v>45303</v>
      </c>
      <c r="N9" s="9" t="s">
        <v>57</v>
      </c>
      <c r="O9" s="9"/>
      <c r="P9" s="65"/>
      <c r="Q9" s="9">
        <v>200</v>
      </c>
      <c r="R9" s="9">
        <v>133</v>
      </c>
      <c r="S9" s="9"/>
      <c r="T9" s="9"/>
      <c r="U9" s="9"/>
      <c r="V9" s="9"/>
      <c r="W9" s="9"/>
      <c r="X9" s="9"/>
      <c r="Y9" s="9"/>
      <c r="Z9" s="9"/>
      <c r="AA9" s="9"/>
      <c r="AB9" s="9">
        <v>157</v>
      </c>
      <c r="AC9" s="9"/>
      <c r="AD9" s="9"/>
      <c r="AE9" s="9">
        <f t="shared" si="0"/>
        <v>3</v>
      </c>
      <c r="AF9" s="70">
        <f t="shared" si="1"/>
        <v>163.33333333333334</v>
      </c>
      <c r="AG9" s="11" t="str">
        <f t="shared" si="2"/>
        <v>REPROVADO</v>
      </c>
    </row>
    <row r="10" spans="2:33" ht="39.950000000000003" customHeight="1" x14ac:dyDescent="0.25">
      <c r="B10" s="5">
        <v>41</v>
      </c>
      <c r="C10" s="6" t="s">
        <v>281</v>
      </c>
      <c r="D10" s="5" t="s">
        <v>33</v>
      </c>
      <c r="E10" s="7" t="s">
        <v>267</v>
      </c>
      <c r="F10" s="7" t="s">
        <v>282</v>
      </c>
      <c r="G10" s="7" t="s">
        <v>283</v>
      </c>
      <c r="H10" s="8">
        <v>50000</v>
      </c>
      <c r="I10" s="7" t="s">
        <v>269</v>
      </c>
      <c r="J10" s="7" t="s">
        <v>270</v>
      </c>
      <c r="K10" s="7" t="s">
        <v>271</v>
      </c>
      <c r="L10" s="9" t="s">
        <v>272</v>
      </c>
      <c r="M10" s="10">
        <v>45303</v>
      </c>
      <c r="N10" s="7" t="s">
        <v>67</v>
      </c>
      <c r="O10" s="7"/>
      <c r="P10" s="65"/>
      <c r="Q10" s="9"/>
      <c r="R10" s="9">
        <v>75</v>
      </c>
      <c r="S10" s="9"/>
      <c r="T10" s="9"/>
      <c r="U10" s="9"/>
      <c r="V10" s="9">
        <v>189</v>
      </c>
      <c r="W10" s="9">
        <v>164</v>
      </c>
      <c r="X10" s="9"/>
      <c r="Y10" s="9"/>
      <c r="Z10" s="9"/>
      <c r="AA10" s="9"/>
      <c r="AB10" s="9"/>
      <c r="AC10" s="9"/>
      <c r="AD10" s="9"/>
      <c r="AE10" s="9">
        <f t="shared" si="0"/>
        <v>3</v>
      </c>
      <c r="AF10" s="70">
        <f t="shared" si="1"/>
        <v>142.66666666666666</v>
      </c>
      <c r="AG10" s="11" t="str">
        <f t="shared" si="2"/>
        <v>REPROVADO</v>
      </c>
    </row>
    <row r="11" spans="2:33" ht="39.950000000000003" customHeight="1" x14ac:dyDescent="0.25">
      <c r="B11" s="5">
        <v>56</v>
      </c>
      <c r="C11" s="6" t="s">
        <v>351</v>
      </c>
      <c r="D11" s="5" t="s">
        <v>33</v>
      </c>
      <c r="E11" s="7" t="s">
        <v>172</v>
      </c>
      <c r="F11" s="7" t="s">
        <v>352</v>
      </c>
      <c r="G11" s="7" t="s">
        <v>36</v>
      </c>
      <c r="H11" s="8">
        <v>259202</v>
      </c>
      <c r="I11" s="7" t="s">
        <v>347</v>
      </c>
      <c r="J11" s="7" t="s">
        <v>348</v>
      </c>
      <c r="K11" s="7" t="s">
        <v>349</v>
      </c>
      <c r="L11" s="23" t="s">
        <v>350</v>
      </c>
      <c r="M11" s="10">
        <v>45306</v>
      </c>
      <c r="N11" s="7" t="s">
        <v>67</v>
      </c>
      <c r="O11" s="7" t="s">
        <v>98</v>
      </c>
      <c r="P11" s="7"/>
      <c r="Q11" s="9"/>
      <c r="R11" s="9">
        <v>108</v>
      </c>
      <c r="S11" s="9"/>
      <c r="T11" s="9"/>
      <c r="U11" s="9"/>
      <c r="V11" s="9">
        <v>278</v>
      </c>
      <c r="W11" s="9">
        <v>39</v>
      </c>
      <c r="X11" s="9"/>
      <c r="Y11" s="9"/>
      <c r="Z11" s="9"/>
      <c r="AA11" s="9"/>
      <c r="AB11" s="9"/>
      <c r="AC11" s="9"/>
      <c r="AD11" s="9"/>
      <c r="AE11" s="9">
        <f t="shared" si="0"/>
        <v>3</v>
      </c>
      <c r="AF11" s="70">
        <f t="shared" si="1"/>
        <v>141.66666666666666</v>
      </c>
      <c r="AG11" s="11" t="str">
        <f t="shared" si="2"/>
        <v>REPROVADO</v>
      </c>
    </row>
    <row r="12" spans="2:33" ht="39.950000000000003" customHeight="1" x14ac:dyDescent="0.25">
      <c r="B12" s="5">
        <v>57</v>
      </c>
      <c r="C12" s="6" t="s">
        <v>353</v>
      </c>
      <c r="D12" s="5" t="s">
        <v>51</v>
      </c>
      <c r="E12" s="7" t="s">
        <v>354</v>
      </c>
      <c r="F12" s="7" t="s">
        <v>221</v>
      </c>
      <c r="G12" s="7" t="s">
        <v>107</v>
      </c>
      <c r="H12" s="8">
        <v>473200</v>
      </c>
      <c r="I12" s="7" t="s">
        <v>347</v>
      </c>
      <c r="J12" s="7" t="s">
        <v>348</v>
      </c>
      <c r="K12" s="7" t="s">
        <v>355</v>
      </c>
      <c r="L12" s="7" t="s">
        <v>286</v>
      </c>
      <c r="M12" s="10">
        <v>45306</v>
      </c>
      <c r="N12" s="7" t="s">
        <v>41</v>
      </c>
      <c r="O12" s="7"/>
      <c r="P12" s="9"/>
      <c r="Q12" s="9">
        <v>298</v>
      </c>
      <c r="R12" s="9">
        <v>82</v>
      </c>
      <c r="S12" s="9"/>
      <c r="T12" s="9">
        <v>76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>
        <f t="shared" si="0"/>
        <v>3</v>
      </c>
      <c r="AF12" s="70">
        <f t="shared" si="1"/>
        <v>152</v>
      </c>
      <c r="AG12" s="11" t="str">
        <f t="shared" si="2"/>
        <v>REPROVADO</v>
      </c>
    </row>
    <row r="13" spans="2:33" ht="39.950000000000003" customHeight="1" x14ac:dyDescent="0.25">
      <c r="B13" s="5">
        <v>108</v>
      </c>
      <c r="C13" s="27" t="s">
        <v>607</v>
      </c>
      <c r="D13" s="5" t="s">
        <v>33</v>
      </c>
      <c r="E13" s="5" t="s">
        <v>608</v>
      </c>
      <c r="F13" s="5" t="s">
        <v>609</v>
      </c>
      <c r="G13" s="5" t="s">
        <v>36</v>
      </c>
      <c r="H13" s="17">
        <v>800000</v>
      </c>
      <c r="I13" s="5" t="s">
        <v>596</v>
      </c>
      <c r="J13" s="5" t="s">
        <v>597</v>
      </c>
      <c r="K13" s="5" t="s">
        <v>610</v>
      </c>
      <c r="L13" s="9" t="s">
        <v>611</v>
      </c>
      <c r="M13" s="10">
        <v>45307</v>
      </c>
      <c r="N13" s="5" t="s">
        <v>67</v>
      </c>
      <c r="O13" s="5"/>
      <c r="P13" s="5" t="s">
        <v>612</v>
      </c>
      <c r="Q13" s="9">
        <v>307</v>
      </c>
      <c r="R13" s="9">
        <v>52</v>
      </c>
      <c r="S13" s="9">
        <v>82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>
        <f t="shared" ref="AE13:AE27" si="3">COUNTA(Q13:AD13)</f>
        <v>3</v>
      </c>
      <c r="AF13" s="70">
        <f t="shared" si="1"/>
        <v>147</v>
      </c>
      <c r="AG13" s="11" t="str">
        <f t="shared" si="2"/>
        <v>REPROVADO</v>
      </c>
    </row>
    <row r="14" spans="2:33" ht="39.950000000000003" customHeight="1" x14ac:dyDescent="0.25">
      <c r="B14" s="5">
        <v>127</v>
      </c>
      <c r="C14" s="27" t="s">
        <v>691</v>
      </c>
      <c r="D14" s="5" t="s">
        <v>33</v>
      </c>
      <c r="E14" s="7" t="s">
        <v>692</v>
      </c>
      <c r="F14" s="7" t="s">
        <v>693</v>
      </c>
      <c r="G14" s="7" t="s">
        <v>36</v>
      </c>
      <c r="H14" s="8">
        <v>1212370</v>
      </c>
      <c r="I14" s="7" t="s">
        <v>73</v>
      </c>
      <c r="J14" s="7" t="s">
        <v>74</v>
      </c>
      <c r="K14" s="7" t="s">
        <v>694</v>
      </c>
      <c r="L14" s="9" t="s">
        <v>695</v>
      </c>
      <c r="M14" s="10">
        <v>45308</v>
      </c>
      <c r="N14" s="7" t="s">
        <v>41</v>
      </c>
      <c r="O14" s="7"/>
      <c r="P14" s="7"/>
      <c r="Q14" s="9">
        <v>302</v>
      </c>
      <c r="R14" s="9">
        <v>103</v>
      </c>
      <c r="S14" s="9"/>
      <c r="T14" s="9"/>
      <c r="U14" s="9">
        <v>99</v>
      </c>
      <c r="V14" s="9"/>
      <c r="W14" s="9"/>
      <c r="X14" s="9"/>
      <c r="Y14" s="9"/>
      <c r="Z14" s="9"/>
      <c r="AA14" s="9"/>
      <c r="AB14" s="9"/>
      <c r="AC14" s="9"/>
      <c r="AD14" s="9"/>
      <c r="AE14" s="9">
        <f t="shared" si="3"/>
        <v>3</v>
      </c>
      <c r="AF14" s="70">
        <f t="shared" si="1"/>
        <v>168</v>
      </c>
      <c r="AG14" s="11" t="str">
        <f t="shared" si="2"/>
        <v>REPROVADO</v>
      </c>
    </row>
    <row r="15" spans="2:33" ht="39.950000000000003" customHeight="1" x14ac:dyDescent="0.25">
      <c r="B15" s="5">
        <v>129</v>
      </c>
      <c r="C15" s="27" t="s">
        <v>698</v>
      </c>
      <c r="D15" s="5" t="s">
        <v>33</v>
      </c>
      <c r="E15" s="7" t="s">
        <v>699</v>
      </c>
      <c r="F15" s="7" t="s">
        <v>700</v>
      </c>
      <c r="G15" s="7" t="s">
        <v>36</v>
      </c>
      <c r="H15" s="8">
        <v>49990</v>
      </c>
      <c r="I15" s="7" t="s">
        <v>701</v>
      </c>
      <c r="J15" s="7" t="s">
        <v>95</v>
      </c>
      <c r="K15" s="7" t="s">
        <v>702</v>
      </c>
      <c r="L15" s="9" t="s">
        <v>703</v>
      </c>
      <c r="M15" s="10">
        <v>45308</v>
      </c>
      <c r="N15" s="7" t="s">
        <v>41</v>
      </c>
      <c r="O15" s="7"/>
      <c r="P15" s="7"/>
      <c r="Q15" s="9">
        <v>254</v>
      </c>
      <c r="R15" s="9">
        <v>144</v>
      </c>
      <c r="S15" s="9"/>
      <c r="T15" s="9"/>
      <c r="U15" s="9">
        <v>151</v>
      </c>
      <c r="V15" s="9"/>
      <c r="W15" s="9"/>
      <c r="X15" s="9"/>
      <c r="Y15" s="9"/>
      <c r="Z15" s="9"/>
      <c r="AA15" s="9"/>
      <c r="AB15" s="9"/>
      <c r="AC15" s="9"/>
      <c r="AD15" s="9"/>
      <c r="AE15" s="9">
        <f t="shared" si="3"/>
        <v>3</v>
      </c>
      <c r="AF15" s="70">
        <f t="shared" si="1"/>
        <v>183</v>
      </c>
      <c r="AG15" s="11" t="str">
        <f t="shared" si="2"/>
        <v>REPROVADO</v>
      </c>
    </row>
    <row r="16" spans="2:33" ht="39.950000000000003" customHeight="1" x14ac:dyDescent="0.25">
      <c r="B16" s="5">
        <v>144</v>
      </c>
      <c r="C16" s="22" t="s">
        <v>768</v>
      </c>
      <c r="D16" s="5" t="s">
        <v>51</v>
      </c>
      <c r="E16" s="9" t="s">
        <v>769</v>
      </c>
      <c r="F16" s="9" t="s">
        <v>770</v>
      </c>
      <c r="G16" s="11" t="s">
        <v>107</v>
      </c>
      <c r="H16" s="41">
        <v>137325.73000000001</v>
      </c>
      <c r="I16" s="9" t="s">
        <v>771</v>
      </c>
      <c r="J16" s="11" t="s">
        <v>202</v>
      </c>
      <c r="K16" s="9" t="s">
        <v>772</v>
      </c>
      <c r="L16" s="9" t="s">
        <v>773</v>
      </c>
      <c r="M16" s="34">
        <v>45308</v>
      </c>
      <c r="N16" s="9" t="s">
        <v>41</v>
      </c>
      <c r="O16" s="11"/>
      <c r="P16" s="9"/>
      <c r="Q16" s="9">
        <v>324</v>
      </c>
      <c r="R16" s="9">
        <v>123</v>
      </c>
      <c r="S16" s="9"/>
      <c r="T16" s="9"/>
      <c r="U16" s="9">
        <v>128</v>
      </c>
      <c r="V16" s="9"/>
      <c r="W16" s="9"/>
      <c r="X16" s="9"/>
      <c r="Y16" s="9"/>
      <c r="Z16" s="9"/>
      <c r="AA16" s="9"/>
      <c r="AB16" s="9"/>
      <c r="AC16" s="9"/>
      <c r="AD16" s="9"/>
      <c r="AE16" s="9">
        <f t="shared" si="3"/>
        <v>3</v>
      </c>
      <c r="AF16" s="70">
        <f t="shared" si="1"/>
        <v>191.66666666666666</v>
      </c>
      <c r="AG16" s="11" t="str">
        <f t="shared" si="2"/>
        <v>REPROVADO</v>
      </c>
    </row>
    <row r="17" spans="2:33" ht="39.950000000000003" customHeight="1" x14ac:dyDescent="0.25">
      <c r="B17" s="5">
        <v>148</v>
      </c>
      <c r="C17" s="6" t="s">
        <v>790</v>
      </c>
      <c r="D17" s="5" t="s">
        <v>33</v>
      </c>
      <c r="E17" s="7" t="s">
        <v>791</v>
      </c>
      <c r="F17" s="7" t="s">
        <v>792</v>
      </c>
      <c r="G17" s="7" t="s">
        <v>793</v>
      </c>
      <c r="H17" s="8">
        <v>3027360</v>
      </c>
      <c r="I17" s="7" t="s">
        <v>794</v>
      </c>
      <c r="J17" s="7" t="s">
        <v>795</v>
      </c>
      <c r="K17" s="7" t="s">
        <v>796</v>
      </c>
      <c r="L17" s="9" t="s">
        <v>797</v>
      </c>
      <c r="M17" s="10">
        <v>45308</v>
      </c>
      <c r="N17" s="7" t="s">
        <v>41</v>
      </c>
      <c r="O17" s="7"/>
      <c r="P17" s="7"/>
      <c r="Q17" s="9">
        <v>179</v>
      </c>
      <c r="R17" s="9"/>
      <c r="S17" s="9"/>
      <c r="T17" s="9"/>
      <c r="U17" s="9"/>
      <c r="V17" s="9"/>
      <c r="W17" s="9"/>
      <c r="X17" s="9"/>
      <c r="Y17" s="9"/>
      <c r="Z17" s="9">
        <v>174</v>
      </c>
      <c r="AA17" s="9">
        <v>217</v>
      </c>
      <c r="AB17" s="9"/>
      <c r="AC17" s="9"/>
      <c r="AD17" s="9"/>
      <c r="AE17" s="9">
        <f t="shared" si="3"/>
        <v>3</v>
      </c>
      <c r="AF17" s="70">
        <f t="shared" si="1"/>
        <v>190</v>
      </c>
      <c r="AG17" s="11" t="str">
        <f t="shared" si="2"/>
        <v>REPROVADO</v>
      </c>
    </row>
    <row r="18" spans="2:33" ht="39.950000000000003" customHeight="1" x14ac:dyDescent="0.25">
      <c r="B18" s="5">
        <v>238</v>
      </c>
      <c r="C18" s="6" t="s">
        <v>1225</v>
      </c>
      <c r="D18" s="5" t="s">
        <v>33</v>
      </c>
      <c r="E18" s="5" t="s">
        <v>1226</v>
      </c>
      <c r="F18" s="5" t="s">
        <v>1227</v>
      </c>
      <c r="G18" s="7" t="s">
        <v>45</v>
      </c>
      <c r="H18" s="8">
        <v>300000</v>
      </c>
      <c r="I18" s="7" t="s">
        <v>1220</v>
      </c>
      <c r="J18" s="9" t="s">
        <v>162</v>
      </c>
      <c r="K18" s="7" t="s">
        <v>1228</v>
      </c>
      <c r="L18" s="31" t="s">
        <v>1229</v>
      </c>
      <c r="M18" s="10">
        <v>45320</v>
      </c>
      <c r="N18" s="5" t="s">
        <v>67</v>
      </c>
      <c r="O18" s="7" t="s">
        <v>1230</v>
      </c>
      <c r="P18" s="65"/>
      <c r="Q18" s="5">
        <v>214</v>
      </c>
      <c r="R18" s="9">
        <v>173</v>
      </c>
      <c r="S18" s="9">
        <v>208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>
        <f t="shared" si="3"/>
        <v>3</v>
      </c>
      <c r="AF18" s="70">
        <f t="shared" si="1"/>
        <v>198.33333333333334</v>
      </c>
      <c r="AG18" s="11" t="str">
        <f t="shared" si="2"/>
        <v>REPROVADO</v>
      </c>
    </row>
    <row r="19" spans="2:33" ht="39.950000000000003" customHeight="1" x14ac:dyDescent="0.25">
      <c r="B19" s="5">
        <v>248</v>
      </c>
      <c r="C19" s="22" t="s">
        <v>1279</v>
      </c>
      <c r="D19" s="5" t="s">
        <v>51</v>
      </c>
      <c r="E19" s="9" t="s">
        <v>1280</v>
      </c>
      <c r="F19" s="9" t="s">
        <v>1281</v>
      </c>
      <c r="G19" s="11" t="s">
        <v>107</v>
      </c>
      <c r="H19" s="41">
        <v>200000</v>
      </c>
      <c r="I19" s="9" t="s">
        <v>1282</v>
      </c>
      <c r="J19" s="11" t="s">
        <v>154</v>
      </c>
      <c r="K19" s="9" t="s">
        <v>1283</v>
      </c>
      <c r="L19" s="67" t="s">
        <v>1284</v>
      </c>
      <c r="M19" s="34">
        <v>45320</v>
      </c>
      <c r="N19" s="9" t="s">
        <v>57</v>
      </c>
      <c r="O19" s="9"/>
      <c r="P19" s="65"/>
      <c r="Q19" s="9">
        <v>241</v>
      </c>
      <c r="R19" s="9">
        <v>106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>
        <v>247</v>
      </c>
      <c r="AD19" s="65"/>
      <c r="AE19" s="9">
        <f t="shared" si="3"/>
        <v>3</v>
      </c>
      <c r="AF19" s="70">
        <f t="shared" si="1"/>
        <v>198</v>
      </c>
      <c r="AG19" s="11" t="str">
        <f t="shared" si="2"/>
        <v>REPROVADO</v>
      </c>
    </row>
    <row r="20" spans="2:33" ht="39.950000000000003" customHeight="1" x14ac:dyDescent="0.25">
      <c r="B20" s="5">
        <v>276</v>
      </c>
      <c r="C20" s="6" t="s">
        <v>1417</v>
      </c>
      <c r="D20" s="5" t="s">
        <v>51</v>
      </c>
      <c r="E20" s="7" t="s">
        <v>1418</v>
      </c>
      <c r="F20" s="7" t="s">
        <v>1419</v>
      </c>
      <c r="G20" s="7" t="s">
        <v>62</v>
      </c>
      <c r="H20" s="41">
        <v>310000</v>
      </c>
      <c r="I20" s="7" t="s">
        <v>1420</v>
      </c>
      <c r="J20" s="11" t="s">
        <v>597</v>
      </c>
      <c r="K20" s="7" t="s">
        <v>1421</v>
      </c>
      <c r="L20" s="44" t="s">
        <v>1422</v>
      </c>
      <c r="M20" s="34">
        <v>45320</v>
      </c>
      <c r="N20" s="7" t="s">
        <v>57</v>
      </c>
      <c r="O20" s="65"/>
      <c r="P20" s="65"/>
      <c r="Q20" s="9">
        <v>164</v>
      </c>
      <c r="R20" s="9"/>
      <c r="S20" s="9"/>
      <c r="T20" s="9"/>
      <c r="U20" s="9"/>
      <c r="V20" s="9">
        <v>204</v>
      </c>
      <c r="W20" s="9">
        <v>190</v>
      </c>
      <c r="X20" s="9"/>
      <c r="Y20" s="9"/>
      <c r="Z20" s="9"/>
      <c r="AA20" s="9"/>
      <c r="AB20" s="9"/>
      <c r="AC20" s="65"/>
      <c r="AD20" s="65"/>
      <c r="AE20" s="9">
        <f t="shared" si="3"/>
        <v>3</v>
      </c>
      <c r="AF20" s="70">
        <f t="shared" si="1"/>
        <v>186</v>
      </c>
      <c r="AG20" s="11" t="str">
        <f t="shared" si="2"/>
        <v>REPROVADO</v>
      </c>
    </row>
    <row r="21" spans="2:33" ht="39.950000000000003" customHeight="1" x14ac:dyDescent="0.25">
      <c r="B21" s="5">
        <v>336</v>
      </c>
      <c r="C21" s="6" t="s">
        <v>1718</v>
      </c>
      <c r="D21" s="5" t="s">
        <v>33</v>
      </c>
      <c r="E21" s="5" t="s">
        <v>1719</v>
      </c>
      <c r="F21" s="5" t="s">
        <v>1720</v>
      </c>
      <c r="G21" s="7" t="s">
        <v>45</v>
      </c>
      <c r="H21" s="8">
        <v>693592.44</v>
      </c>
      <c r="I21" s="7" t="s">
        <v>73</v>
      </c>
      <c r="J21" s="5" t="s">
        <v>74</v>
      </c>
      <c r="K21" s="7" t="s">
        <v>1721</v>
      </c>
      <c r="L21" s="9" t="s">
        <v>1722</v>
      </c>
      <c r="M21" s="10">
        <v>45321</v>
      </c>
      <c r="N21" s="5" t="s">
        <v>57</v>
      </c>
      <c r="O21" s="7" t="s">
        <v>1723</v>
      </c>
      <c r="P21" s="65"/>
      <c r="Q21" s="5">
        <v>241</v>
      </c>
      <c r="R21" s="9">
        <v>80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>
        <v>251</v>
      </c>
      <c r="AD21" s="9"/>
      <c r="AE21" s="9">
        <f t="shared" si="3"/>
        <v>3</v>
      </c>
      <c r="AF21" s="70">
        <f t="shared" si="1"/>
        <v>190.66666666666666</v>
      </c>
      <c r="AG21" s="11" t="str">
        <f t="shared" si="2"/>
        <v>REPROVADO</v>
      </c>
    </row>
    <row r="22" spans="2:33" ht="39.950000000000003" customHeight="1" x14ac:dyDescent="0.25">
      <c r="B22" s="5">
        <v>382</v>
      </c>
      <c r="C22" s="27" t="s">
        <v>1920</v>
      </c>
      <c r="D22" s="5" t="s">
        <v>51</v>
      </c>
      <c r="E22" s="7" t="s">
        <v>1921</v>
      </c>
      <c r="F22" s="7" t="s">
        <v>221</v>
      </c>
      <c r="G22" s="7" t="s">
        <v>36</v>
      </c>
      <c r="H22" s="41">
        <v>85449.78</v>
      </c>
      <c r="I22" s="9" t="s">
        <v>1922</v>
      </c>
      <c r="J22" s="11" t="s">
        <v>348</v>
      </c>
      <c r="K22" s="9" t="s">
        <v>1923</v>
      </c>
      <c r="L22" s="67" t="s">
        <v>1924</v>
      </c>
      <c r="M22" s="34">
        <v>45322</v>
      </c>
      <c r="N22" s="9" t="s">
        <v>41</v>
      </c>
      <c r="O22" s="9"/>
      <c r="P22" s="65"/>
      <c r="Q22" s="9">
        <v>139</v>
      </c>
      <c r="R22" s="9">
        <v>180</v>
      </c>
      <c r="S22" s="9"/>
      <c r="T22" s="9">
        <v>183</v>
      </c>
      <c r="U22" s="9"/>
      <c r="V22" s="9"/>
      <c r="W22" s="9"/>
      <c r="X22" s="9"/>
      <c r="Y22" s="9"/>
      <c r="Z22" s="9"/>
      <c r="AA22" s="9"/>
      <c r="AB22" s="9"/>
      <c r="AC22" s="65"/>
      <c r="AD22" s="65"/>
      <c r="AE22" s="9">
        <f t="shared" si="3"/>
        <v>3</v>
      </c>
      <c r="AF22" s="70">
        <f t="shared" si="1"/>
        <v>167.33333333333334</v>
      </c>
      <c r="AG22" s="11" t="str">
        <f t="shared" si="2"/>
        <v>REPROVADO</v>
      </c>
    </row>
    <row r="23" spans="2:33" ht="39.950000000000003" customHeight="1" x14ac:dyDescent="0.25">
      <c r="B23" s="5">
        <v>404</v>
      </c>
      <c r="C23" s="27" t="s">
        <v>2011</v>
      </c>
      <c r="D23" s="5" t="s">
        <v>33</v>
      </c>
      <c r="E23" s="7" t="s">
        <v>2012</v>
      </c>
      <c r="F23" s="7" t="s">
        <v>2013</v>
      </c>
      <c r="G23" s="7" t="s">
        <v>36</v>
      </c>
      <c r="H23" s="8">
        <v>337705.54</v>
      </c>
      <c r="I23" s="7" t="s">
        <v>921</v>
      </c>
      <c r="J23" s="7" t="s">
        <v>162</v>
      </c>
      <c r="K23" s="7" t="s">
        <v>2014</v>
      </c>
      <c r="L23" s="9" t="s">
        <v>2015</v>
      </c>
      <c r="M23" s="10">
        <v>45322</v>
      </c>
      <c r="N23" s="7" t="s">
        <v>41</v>
      </c>
      <c r="O23" s="7" t="s">
        <v>600</v>
      </c>
      <c r="P23" s="65"/>
      <c r="Q23" s="7">
        <v>327</v>
      </c>
      <c r="R23" s="9">
        <v>64</v>
      </c>
      <c r="S23" s="9"/>
      <c r="T23" s="9">
        <v>97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>
        <f t="shared" si="3"/>
        <v>3</v>
      </c>
      <c r="AF23" s="70">
        <f t="shared" si="1"/>
        <v>162.66666666666666</v>
      </c>
      <c r="AG23" s="11" t="str">
        <f t="shared" si="2"/>
        <v>REPROVADO</v>
      </c>
    </row>
    <row r="24" spans="2:33" ht="39.950000000000003" customHeight="1" x14ac:dyDescent="0.25">
      <c r="B24" s="5">
        <v>415</v>
      </c>
      <c r="C24" s="27" t="s">
        <v>2052</v>
      </c>
      <c r="D24" s="5" t="s">
        <v>33</v>
      </c>
      <c r="E24" s="7" t="s">
        <v>2053</v>
      </c>
      <c r="F24" s="7" t="s">
        <v>2054</v>
      </c>
      <c r="G24" s="7" t="s">
        <v>36</v>
      </c>
      <c r="H24" s="49">
        <v>236635.08</v>
      </c>
      <c r="I24" s="7" t="s">
        <v>253</v>
      </c>
      <c r="J24" s="7" t="s">
        <v>254</v>
      </c>
      <c r="K24" s="9" t="s">
        <v>2055</v>
      </c>
      <c r="L24" s="9" t="s">
        <v>2056</v>
      </c>
      <c r="M24" s="10">
        <v>45322</v>
      </c>
      <c r="N24" s="7" t="s">
        <v>41</v>
      </c>
      <c r="O24" s="9"/>
      <c r="P24" s="65"/>
      <c r="Q24" s="7">
        <v>338</v>
      </c>
      <c r="R24" s="9">
        <v>98</v>
      </c>
      <c r="S24" s="9"/>
      <c r="T24" s="9">
        <v>125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>
        <f t="shared" si="3"/>
        <v>3</v>
      </c>
      <c r="AF24" s="70">
        <f t="shared" si="1"/>
        <v>187</v>
      </c>
      <c r="AG24" s="11" t="str">
        <f t="shared" si="2"/>
        <v>REPROVADO</v>
      </c>
    </row>
    <row r="25" spans="2:33" ht="39.950000000000003" customHeight="1" x14ac:dyDescent="0.25">
      <c r="B25" s="5">
        <v>421</v>
      </c>
      <c r="C25" s="27" t="s">
        <v>2079</v>
      </c>
      <c r="D25" s="5" t="s">
        <v>33</v>
      </c>
      <c r="E25" s="7" t="s">
        <v>2080</v>
      </c>
      <c r="F25" s="7" t="s">
        <v>2081</v>
      </c>
      <c r="G25" s="7" t="s">
        <v>36</v>
      </c>
      <c r="H25" s="8">
        <v>1370825</v>
      </c>
      <c r="I25" s="7" t="s">
        <v>2082</v>
      </c>
      <c r="J25" s="7" t="s">
        <v>677</v>
      </c>
      <c r="K25" s="7" t="s">
        <v>2083</v>
      </c>
      <c r="L25" s="9" t="s">
        <v>2084</v>
      </c>
      <c r="M25" s="10">
        <v>45322</v>
      </c>
      <c r="N25" s="7" t="s">
        <v>41</v>
      </c>
      <c r="O25" s="7"/>
      <c r="P25" s="65"/>
      <c r="Q25" s="7">
        <v>311</v>
      </c>
      <c r="R25" s="9">
        <v>112</v>
      </c>
      <c r="S25" s="9"/>
      <c r="T25" s="9">
        <v>137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>
        <f t="shared" si="3"/>
        <v>3</v>
      </c>
      <c r="AF25" s="70">
        <f t="shared" si="1"/>
        <v>186.66666666666666</v>
      </c>
      <c r="AG25" s="11" t="str">
        <f t="shared" si="2"/>
        <v>REPROVADO</v>
      </c>
    </row>
    <row r="26" spans="2:33" ht="39.950000000000003" customHeight="1" x14ac:dyDescent="0.25">
      <c r="B26" s="5">
        <v>483</v>
      </c>
      <c r="C26" s="22" t="s">
        <v>2356</v>
      </c>
      <c r="D26" s="5" t="s">
        <v>51</v>
      </c>
      <c r="E26" s="9" t="s">
        <v>2357</v>
      </c>
      <c r="F26" s="9" t="s">
        <v>2358</v>
      </c>
      <c r="G26" s="11" t="s">
        <v>107</v>
      </c>
      <c r="H26" s="41">
        <v>254600</v>
      </c>
      <c r="I26" s="9" t="s">
        <v>2359</v>
      </c>
      <c r="J26" s="11" t="s">
        <v>47</v>
      </c>
      <c r="K26" s="11" t="s">
        <v>2360</v>
      </c>
      <c r="L26" s="67" t="s">
        <v>2361</v>
      </c>
      <c r="M26" s="34">
        <v>45322</v>
      </c>
      <c r="N26" s="9" t="s">
        <v>57</v>
      </c>
      <c r="O26" s="65"/>
      <c r="P26" s="65"/>
      <c r="Q26" s="9">
        <v>167</v>
      </c>
      <c r="R26" s="9"/>
      <c r="S26" s="9"/>
      <c r="T26" s="9"/>
      <c r="U26" s="9"/>
      <c r="V26" s="9">
        <v>212</v>
      </c>
      <c r="W26" s="9"/>
      <c r="X26" s="9"/>
      <c r="Y26" s="9">
        <v>223</v>
      </c>
      <c r="Z26" s="9"/>
      <c r="AA26" s="9"/>
      <c r="AB26" s="9"/>
      <c r="AC26" s="65"/>
      <c r="AD26" s="65"/>
      <c r="AE26" s="9">
        <f t="shared" si="3"/>
        <v>3</v>
      </c>
      <c r="AF26" s="70">
        <f t="shared" si="1"/>
        <v>200.66666666666666</v>
      </c>
      <c r="AG26" s="11" t="str">
        <f t="shared" si="2"/>
        <v>REPROVADO</v>
      </c>
    </row>
    <row r="27" spans="2:33" ht="39.950000000000003" customHeight="1" x14ac:dyDescent="0.25">
      <c r="B27" s="5">
        <v>508</v>
      </c>
      <c r="C27" s="22" t="s">
        <v>2485</v>
      </c>
      <c r="D27" s="5" t="s">
        <v>51</v>
      </c>
      <c r="E27" s="9" t="s">
        <v>2482</v>
      </c>
      <c r="F27" s="9" t="s">
        <v>2486</v>
      </c>
      <c r="G27" s="11" t="s">
        <v>776</v>
      </c>
      <c r="H27" s="41">
        <v>200000</v>
      </c>
      <c r="I27" s="9" t="s">
        <v>390</v>
      </c>
      <c r="J27" s="11" t="s">
        <v>391</v>
      </c>
      <c r="K27" s="9" t="s">
        <v>2487</v>
      </c>
      <c r="L27" s="67" t="s">
        <v>2488</v>
      </c>
      <c r="M27" s="34">
        <v>45322</v>
      </c>
      <c r="N27" s="9" t="s">
        <v>41</v>
      </c>
      <c r="O27" s="11"/>
      <c r="P27" s="9"/>
      <c r="Q27" s="9">
        <v>306</v>
      </c>
      <c r="R27" s="9">
        <v>129</v>
      </c>
      <c r="S27" s="9"/>
      <c r="T27" s="9">
        <v>98</v>
      </c>
      <c r="U27" s="9"/>
      <c r="V27" s="9"/>
      <c r="W27" s="9"/>
      <c r="X27" s="9"/>
      <c r="Y27" s="9"/>
      <c r="Z27" s="9"/>
      <c r="AA27" s="9"/>
      <c r="AB27" s="9"/>
      <c r="AC27" s="65"/>
      <c r="AD27" s="65"/>
      <c r="AE27" s="9">
        <f t="shared" si="3"/>
        <v>3</v>
      </c>
      <c r="AF27" s="70">
        <f t="shared" si="1"/>
        <v>177.66666666666666</v>
      </c>
      <c r="AG27" s="11" t="str">
        <f t="shared" si="2"/>
        <v>REPROVADO</v>
      </c>
    </row>
    <row r="28" spans="2:33" x14ac:dyDescent="0.25">
      <c r="AD28" t="s">
        <v>2904</v>
      </c>
      <c r="AG28"/>
    </row>
    <row r="44" spans="3:4" x14ac:dyDescent="0.25">
      <c r="C44" s="53"/>
      <c r="D44" t="s">
        <v>2905</v>
      </c>
    </row>
    <row r="45" spans="3:4" x14ac:dyDescent="0.25">
      <c r="C45" s="54"/>
      <c r="D45" t="s">
        <v>2906</v>
      </c>
    </row>
    <row r="46" spans="3:4" x14ac:dyDescent="0.25">
      <c r="C46" s="55"/>
      <c r="D46" t="s">
        <v>2907</v>
      </c>
    </row>
    <row r="47" spans="3:4" x14ac:dyDescent="0.25">
      <c r="C47" s="56"/>
      <c r="D47" t="s">
        <v>2908</v>
      </c>
    </row>
    <row r="48" spans="3:4" x14ac:dyDescent="0.25">
      <c r="C48" s="57"/>
      <c r="D48" t="s">
        <v>2909</v>
      </c>
    </row>
  </sheetData>
  <autoFilter ref="B4:AG28" xr:uid="{4236D1EC-F48A-4690-BC1C-BCC1124A5676}"/>
  <mergeCells count="2">
    <mergeCell ref="B2:AF2"/>
    <mergeCell ref="B3:AG3"/>
  </mergeCells>
  <hyperlinks>
    <hyperlink ref="L18" r:id="rId1" xr:uid="{7D2CC91E-CE4C-47D6-810F-F9C8949B2710}"/>
    <hyperlink ref="L20" r:id="rId2" xr:uid="{78ED3D9D-4006-4868-96A5-A67076E1342F}"/>
    <hyperlink ref="L73" r:id="rId3" display="sads@francodarocha.sp.gov.br" xr:uid="{173DB9D6-D396-47C3-BC02-EF10B06FE54E}"/>
    <hyperlink ref="L71" r:id="rId4" display="assistencia@alvaresmachado.sp.gov.br" xr:uid="{EEC5FE1C-27DC-4ACB-A47B-879C93938267}"/>
    <hyperlink ref="L39" r:id="rId5" display="gabinete@cabralia.sp.gov.br" xr:uid="{5CF54176-1C82-4AB5-A908-4C7656B173A7}"/>
    <hyperlink ref="L22" r:id="rId6" xr:uid="{DC78E5A8-B4D4-464E-A445-FF9EAEB72CED}"/>
    <hyperlink ref="L74:L75" r:id="rId7" display="sepedi.departamentoidoso@saosebastiao.sp.gov.br" xr:uid="{A37DE85D-9114-49C7-AB52-66513A75B17D}"/>
    <hyperlink ref="L26" r:id="rId8" xr:uid="{D39D7642-0F96-414E-8E83-85B1BAA37C1F}"/>
    <hyperlink ref="L54:L55" r:id="rId9" display="captaoderecursos@sorocaba.sp.gov.br" xr:uid="{42AB1EDC-ADFB-4F73-88E4-F2083C22ADB9}"/>
    <hyperlink ref="L28" r:id="rId10" display="captaoderecursos@sorocaba.sp.gov.br" xr:uid="{DA472D00-C754-4AF1-AD0B-3FEE3EB6412B}"/>
    <hyperlink ref="L27" r:id="rId11" xr:uid="{2D86ACEA-8270-4110-A3AD-6FE238420FE8}"/>
    <hyperlink ref="L32" r:id="rId12" display="d.social@embudasartes.sp.gov.br" xr:uid="{48C3002E-F927-48A0-8B5C-2964AEE629B3}"/>
    <hyperlink ref="L38" r:id="rId13" display="mbasile@atibaia.sp.gov.br" xr:uid="{6A8BFE65-B707-4946-BA5F-572B8A8844BF}"/>
    <hyperlink ref="L37" r:id="rId14" display="secretaria@itapura.sp.gov.br" xr:uid="{725C0893-E17B-45EA-8EFC-99D95178883A}"/>
    <hyperlink ref="L19" r:id="rId15" xr:uid="{27929530-037A-4DD4-ABB7-E3D845D62B69}"/>
    <hyperlink ref="L41" r:id="rId16" display="secretaria@apaecampinas.org.br" xr:uid="{339D3CD6-F289-4202-84E6-17E5AAE555E2}"/>
    <hyperlink ref="L31" r:id="rId17" display="social@ctn.org.br" xr:uid="{43D6BC52-F075-4421-BEA6-5D1C2EE64023}"/>
    <hyperlink ref="L52" r:id="rId18" display="projetoyachad@gmail.com" xr:uid="{196D1885-D4DF-4F5E-99E0-D6AB13DD19CA}"/>
    <hyperlink ref="L55" r:id="rId19" display="ory@oryeduca.com.br" xr:uid="{768E4C0E-DEC0-410E-A0E6-F5B898A45BB5}"/>
    <hyperlink ref="L90" r:id="rId20" display="passos_paraofuturo@outlook.com" xr:uid="{599B6AC8-9196-469D-AD81-458FC4F913EA}"/>
  </hyperlinks>
  <pageMargins left="0.15" right="0.13" top="0.18" bottom="0.2" header="0.17" footer="0.17"/>
  <pageSetup paperSize="9" orientation="landscape" horizontalDpi="300" verticalDpi="300" r:id="rId21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D3-E1B3-4665-B553-1257EDC4B1F9}">
  <sheetPr filterMode="1"/>
  <dimension ref="A1:BL236"/>
  <sheetViews>
    <sheetView showGridLines="0" tabSelected="1" zoomScale="90" zoomScaleNormal="90" workbookViewId="0">
      <pane xSplit="1" ySplit="5" topLeftCell="F6" activePane="bottomRight" state="frozen"/>
      <selection pane="topRight" activeCell="G55" sqref="G55"/>
      <selection pane="bottomLeft" activeCell="G55" sqref="G55"/>
      <selection pane="bottomRight" activeCell="A4" sqref="A4"/>
    </sheetView>
  </sheetViews>
  <sheetFormatPr defaultRowHeight="15" x14ac:dyDescent="0.25"/>
  <cols>
    <col min="1" max="1" width="3.42578125" customWidth="1"/>
    <col min="2" max="2" width="4.140625" hidden="1" customWidth="1"/>
    <col min="3" max="4" width="14.7109375" hidden="1" customWidth="1"/>
    <col min="5" max="5" width="32.140625" customWidth="1"/>
    <col min="6" max="6" width="45.28515625" bestFit="1" customWidth="1"/>
    <col min="7" max="7" width="17.7109375" hidden="1" customWidth="1"/>
    <col min="8" max="8" width="20.85546875" hidden="1" customWidth="1"/>
    <col min="9" max="10" width="17.7109375" hidden="1" customWidth="1"/>
    <col min="11" max="11" width="15.28515625" hidden="1" customWidth="1"/>
    <col min="12" max="13" width="20.85546875" hidden="1" customWidth="1"/>
    <col min="14" max="14" width="21.140625" hidden="1" customWidth="1"/>
    <col min="15" max="15" width="12" hidden="1" customWidth="1"/>
    <col min="16" max="16" width="22.5703125" hidden="1" customWidth="1"/>
    <col min="17" max="18" width="22.140625" hidden="1" customWidth="1"/>
    <col min="19" max="20" width="20.5703125" hidden="1" customWidth="1"/>
    <col min="21" max="21" width="33.85546875" hidden="1" customWidth="1"/>
    <col min="22" max="22" width="40.140625" hidden="1" customWidth="1"/>
    <col min="23" max="23" width="18.7109375" hidden="1" customWidth="1"/>
    <col min="24" max="24" width="21" hidden="1" customWidth="1"/>
    <col min="25" max="25" width="30.7109375" hidden="1" customWidth="1"/>
    <col min="26" max="26" width="32.140625" hidden="1" customWidth="1"/>
    <col min="27" max="27" width="13" hidden="1" customWidth="1"/>
    <col min="28" max="33" width="9.140625" hidden="1" customWidth="1"/>
    <col min="34" max="34" width="10" hidden="1" customWidth="1"/>
    <col min="35" max="42" width="9.140625" hidden="1" customWidth="1"/>
    <col min="43" max="43" width="15" style="2" hidden="1" customWidth="1"/>
    <col min="44" max="44" width="30" hidden="1" customWidth="1"/>
    <col min="45" max="45" width="50.140625" hidden="1" customWidth="1"/>
    <col min="46" max="46" width="20.42578125" customWidth="1"/>
    <col min="47" max="47" width="20.42578125" hidden="1" customWidth="1"/>
    <col min="48" max="48" width="15.5703125" hidden="1" customWidth="1"/>
    <col min="49" max="49" width="17.5703125" customWidth="1"/>
    <col min="50" max="50" width="15.140625" hidden="1" customWidth="1"/>
    <col min="51" max="51" width="8.5703125" hidden="1" customWidth="1"/>
    <col min="52" max="52" width="20.42578125" style="2" customWidth="1"/>
    <col min="53" max="54" width="24.85546875" style="2" hidden="1" customWidth="1"/>
    <col min="55" max="55" width="19.5703125" style="2" hidden="1" customWidth="1"/>
    <col min="56" max="56" width="25.5703125" style="2" hidden="1" customWidth="1"/>
    <col min="57" max="58" width="23" style="2" hidden="1" customWidth="1"/>
    <col min="59" max="59" width="22.7109375" style="2" hidden="1" customWidth="1"/>
    <col min="60" max="60" width="18" style="2" hidden="1" customWidth="1"/>
    <col min="61" max="61" width="11.28515625" customWidth="1"/>
    <col min="62" max="62" width="12.7109375" customWidth="1"/>
    <col min="63" max="63" width="72" style="2" hidden="1" customWidth="1"/>
    <col min="64" max="64" width="26.140625" customWidth="1"/>
    <col min="65" max="68" width="9.140625" customWidth="1"/>
  </cols>
  <sheetData>
    <row r="1" spans="2:64" hidden="1" x14ac:dyDescent="0.25">
      <c r="AQ1" s="1">
        <v>204</v>
      </c>
    </row>
    <row r="2" spans="2:64" ht="84" hidden="1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BI2" s="139"/>
      <c r="BJ2" s="139">
        <v>46100</v>
      </c>
    </row>
    <row r="3" spans="2:64" ht="28.5" hidden="1" customHeight="1" x14ac:dyDescent="0.25">
      <c r="B3" s="181" t="s">
        <v>2930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  <c r="BF3" s="182"/>
      <c r="BG3" s="182"/>
      <c r="BH3" s="182"/>
      <c r="BI3" s="182"/>
      <c r="BJ3" s="183"/>
    </row>
    <row r="4" spans="2:64" s="200" customFormat="1" ht="28.5" customHeight="1" x14ac:dyDescent="0.25">
      <c r="B4" s="177"/>
      <c r="C4" s="178"/>
      <c r="D4" s="178"/>
      <c r="E4" s="201"/>
      <c r="F4" s="201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202"/>
      <c r="AU4" s="199"/>
      <c r="AV4" s="199"/>
      <c r="AW4" s="202"/>
      <c r="AX4" s="199"/>
      <c r="AY4" s="199"/>
      <c r="AZ4" s="202"/>
      <c r="BA4" s="178"/>
      <c r="BB4" s="178"/>
      <c r="BC4" s="178"/>
      <c r="BD4" s="178"/>
      <c r="BE4" s="178"/>
      <c r="BF4" s="178"/>
      <c r="BG4" s="178"/>
      <c r="BH4" s="178"/>
      <c r="BI4" s="202"/>
      <c r="BJ4" s="203"/>
      <c r="BK4" s="2"/>
    </row>
    <row r="5" spans="2:64" ht="45" x14ac:dyDescent="0.25">
      <c r="B5" s="3"/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2931</v>
      </c>
      <c r="J5" s="4" t="s">
        <v>2932</v>
      </c>
      <c r="K5" s="4" t="s">
        <v>2933</v>
      </c>
      <c r="L5" s="4" t="s">
        <v>2934</v>
      </c>
      <c r="M5" s="4" t="s">
        <v>2935</v>
      </c>
      <c r="N5" s="4" t="s">
        <v>2936</v>
      </c>
      <c r="O5" s="4" t="s">
        <v>2937</v>
      </c>
      <c r="P5" s="4" t="s">
        <v>8</v>
      </c>
      <c r="Q5" s="4" t="s">
        <v>2938</v>
      </c>
      <c r="R5" s="4" t="s">
        <v>2939</v>
      </c>
      <c r="S5" s="4" t="s">
        <v>9</v>
      </c>
      <c r="T5" s="4" t="s">
        <v>2940</v>
      </c>
      <c r="U5" s="4" t="s">
        <v>10</v>
      </c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4" t="s">
        <v>17</v>
      </c>
      <c r="AC5" s="4" t="s">
        <v>18</v>
      </c>
      <c r="AD5" s="4" t="s">
        <v>19</v>
      </c>
      <c r="AE5" s="4" t="s">
        <v>20</v>
      </c>
      <c r="AF5" s="4" t="s">
        <v>21</v>
      </c>
      <c r="AG5" s="4" t="s">
        <v>22</v>
      </c>
      <c r="AH5" s="4" t="s">
        <v>23</v>
      </c>
      <c r="AI5" s="4" t="s">
        <v>24</v>
      </c>
      <c r="AJ5" s="4" t="s">
        <v>25</v>
      </c>
      <c r="AK5" s="4" t="s">
        <v>26</v>
      </c>
      <c r="AL5" s="4" t="s">
        <v>27</v>
      </c>
      <c r="AM5" s="4" t="s">
        <v>28</v>
      </c>
      <c r="AN5" s="4" t="s">
        <v>29</v>
      </c>
      <c r="AO5" s="4"/>
      <c r="AP5" s="4" t="s">
        <v>30</v>
      </c>
      <c r="AQ5" s="4" t="s">
        <v>31</v>
      </c>
      <c r="AR5" s="4" t="s">
        <v>2941</v>
      </c>
      <c r="AS5" s="4" t="s">
        <v>2942</v>
      </c>
      <c r="AT5" s="83" t="s">
        <v>2943</v>
      </c>
      <c r="AU5" s="83" t="s">
        <v>2944</v>
      </c>
      <c r="AV5" s="83" t="s">
        <v>2945</v>
      </c>
      <c r="AW5" s="83" t="s">
        <v>2946</v>
      </c>
      <c r="AX5" s="83"/>
      <c r="AY5" s="83"/>
      <c r="AZ5" s="83" t="s">
        <v>2947</v>
      </c>
      <c r="BA5" s="4" t="s">
        <v>2948</v>
      </c>
      <c r="BB5" s="4" t="s">
        <v>2949</v>
      </c>
      <c r="BC5" s="4" t="s">
        <v>2950</v>
      </c>
      <c r="BD5" s="4" t="s">
        <v>2951</v>
      </c>
      <c r="BE5" s="4" t="s">
        <v>2952</v>
      </c>
      <c r="BF5" s="4" t="s">
        <v>2953</v>
      </c>
      <c r="BG5" s="4" t="s">
        <v>2954</v>
      </c>
      <c r="BH5" s="4" t="s">
        <v>2955</v>
      </c>
      <c r="BI5" s="83" t="s">
        <v>2956</v>
      </c>
      <c r="BJ5" s="4" t="s">
        <v>2957</v>
      </c>
    </row>
    <row r="6" spans="2:64" s="114" customFormat="1" ht="30" x14ac:dyDescent="0.25">
      <c r="B6" s="5">
        <v>135</v>
      </c>
      <c r="C6" s="5" t="s">
        <v>725</v>
      </c>
      <c r="D6" s="5" t="s">
        <v>51</v>
      </c>
      <c r="E6" s="187" t="s">
        <v>726</v>
      </c>
      <c r="F6" s="187" t="s">
        <v>727</v>
      </c>
      <c r="G6" s="5" t="s">
        <v>62</v>
      </c>
      <c r="H6" s="160">
        <v>465571.15</v>
      </c>
      <c r="I6" s="38">
        <v>403684.25</v>
      </c>
      <c r="J6" s="38">
        <v>61886.9</v>
      </c>
      <c r="K6" s="115">
        <v>100</v>
      </c>
      <c r="L6" s="5" t="s">
        <v>2958</v>
      </c>
      <c r="M6" s="5" t="s">
        <v>2959</v>
      </c>
      <c r="N6" s="5" t="s">
        <v>2960</v>
      </c>
      <c r="O6" s="5" t="s">
        <v>2961</v>
      </c>
      <c r="P6" s="5" t="s">
        <v>2962</v>
      </c>
      <c r="Q6" s="5">
        <v>3534708</v>
      </c>
      <c r="R6" s="5" t="s">
        <v>2963</v>
      </c>
      <c r="S6" s="11" t="s">
        <v>123</v>
      </c>
      <c r="T6" s="11">
        <v>1</v>
      </c>
      <c r="U6" s="5" t="s">
        <v>729</v>
      </c>
      <c r="V6" s="52" t="s">
        <v>2964</v>
      </c>
      <c r="W6" s="10">
        <v>45308</v>
      </c>
      <c r="X6" s="5" t="s">
        <v>57</v>
      </c>
      <c r="Y6" s="5" t="s">
        <v>518</v>
      </c>
      <c r="Z6" s="9"/>
      <c r="AA6" s="9">
        <v>340</v>
      </c>
      <c r="AB6" s="9"/>
      <c r="AC6" s="9"/>
      <c r="AD6" s="9"/>
      <c r="AE6" s="9"/>
      <c r="AF6" s="9">
        <v>340</v>
      </c>
      <c r="AG6" s="9">
        <v>340</v>
      </c>
      <c r="AH6" s="9"/>
      <c r="AI6" s="9"/>
      <c r="AJ6" s="9"/>
      <c r="AK6" s="9"/>
      <c r="AL6" s="9"/>
      <c r="AM6" s="9"/>
      <c r="AN6" s="9"/>
      <c r="AO6" s="9">
        <v>3</v>
      </c>
      <c r="AP6" s="62">
        <v>340</v>
      </c>
      <c r="AQ6" s="11" t="s">
        <v>2965</v>
      </c>
      <c r="AR6" s="5" t="s">
        <v>2966</v>
      </c>
      <c r="AS6" s="65" t="s">
        <v>2967</v>
      </c>
      <c r="AT6" s="187" t="s">
        <v>2968</v>
      </c>
      <c r="AU6" s="5"/>
      <c r="AV6" s="5" t="s">
        <v>2969</v>
      </c>
      <c r="AW6" s="187" t="s">
        <v>2970</v>
      </c>
      <c r="AX6" s="5" t="s">
        <v>2971</v>
      </c>
      <c r="AY6" s="5" t="s">
        <v>2972</v>
      </c>
      <c r="AZ6" s="187" t="s">
        <v>2973</v>
      </c>
      <c r="BA6" s="5"/>
      <c r="BB6" s="5"/>
      <c r="BC6" s="10"/>
      <c r="BD6" s="5"/>
      <c r="BE6" s="5"/>
      <c r="BF6" s="5"/>
      <c r="BG6" s="5"/>
      <c r="BH6" s="5"/>
      <c r="BI6" s="189">
        <v>46083</v>
      </c>
      <c r="BJ6" s="190">
        <f>_xlfn.DAYS($BJ$2,BI6)</f>
        <v>17</v>
      </c>
      <c r="BK6" s="9" t="s">
        <v>2974</v>
      </c>
    </row>
    <row r="7" spans="2:64" s="114" customFormat="1" ht="51" x14ac:dyDescent="0.25">
      <c r="B7" s="5">
        <v>181</v>
      </c>
      <c r="C7" s="5" t="s">
        <v>960</v>
      </c>
      <c r="D7" s="5" t="s">
        <v>51</v>
      </c>
      <c r="E7" s="188" t="s">
        <v>961</v>
      </c>
      <c r="F7" s="188" t="s">
        <v>962</v>
      </c>
      <c r="G7" s="11" t="s">
        <v>36</v>
      </c>
      <c r="H7" s="160">
        <v>79666.17</v>
      </c>
      <c r="I7" s="38">
        <v>0</v>
      </c>
      <c r="J7" s="38">
        <v>79666.17</v>
      </c>
      <c r="K7" s="115">
        <v>50</v>
      </c>
      <c r="L7" s="9" t="s">
        <v>2975</v>
      </c>
      <c r="M7" s="5" t="s">
        <v>2976</v>
      </c>
      <c r="N7" s="9" t="s">
        <v>2977</v>
      </c>
      <c r="O7" s="5" t="s">
        <v>2978</v>
      </c>
      <c r="P7" s="9" t="s">
        <v>2979</v>
      </c>
      <c r="Q7" s="5">
        <v>3534203</v>
      </c>
      <c r="R7" s="9" t="s">
        <v>2980</v>
      </c>
      <c r="S7" s="11" t="s">
        <v>189</v>
      </c>
      <c r="T7" s="11">
        <v>1</v>
      </c>
      <c r="U7" s="9" t="s">
        <v>964</v>
      </c>
      <c r="V7" s="52" t="s">
        <v>2981</v>
      </c>
      <c r="W7" s="34">
        <v>45314</v>
      </c>
      <c r="X7" s="9" t="s">
        <v>57</v>
      </c>
      <c r="Y7" s="11" t="s">
        <v>966</v>
      </c>
      <c r="Z7" s="65"/>
      <c r="AA7" s="9">
        <v>340</v>
      </c>
      <c r="AB7" s="9"/>
      <c r="AC7" s="9"/>
      <c r="AD7" s="9"/>
      <c r="AE7" s="9"/>
      <c r="AF7" s="9">
        <v>340</v>
      </c>
      <c r="AG7" s="9">
        <v>340</v>
      </c>
      <c r="AH7" s="9"/>
      <c r="AI7" s="9"/>
      <c r="AJ7" s="9"/>
      <c r="AK7" s="9"/>
      <c r="AL7" s="9"/>
      <c r="AM7" s="9"/>
      <c r="AN7" s="9"/>
      <c r="AO7" s="9">
        <v>3</v>
      </c>
      <c r="AP7" s="62">
        <v>340</v>
      </c>
      <c r="AQ7" s="11" t="s">
        <v>2965</v>
      </c>
      <c r="AR7" s="9" t="s">
        <v>2982</v>
      </c>
      <c r="AS7" s="9" t="s">
        <v>2983</v>
      </c>
      <c r="AT7" s="187" t="s">
        <v>2984</v>
      </c>
      <c r="AU7" s="5"/>
      <c r="AV7" s="5" t="s">
        <v>2985</v>
      </c>
      <c r="AW7" s="187" t="s">
        <v>2986</v>
      </c>
      <c r="AX7" s="5"/>
      <c r="AY7" s="5"/>
      <c r="AZ7" s="187" t="s">
        <v>2987</v>
      </c>
      <c r="BA7" s="10">
        <v>45915</v>
      </c>
      <c r="BB7" s="10">
        <v>45951</v>
      </c>
      <c r="BC7" s="10">
        <f>EDATE(BA7,12)</f>
        <v>46280</v>
      </c>
      <c r="BD7" s="10">
        <v>45916</v>
      </c>
      <c r="BE7" s="10">
        <v>45994</v>
      </c>
      <c r="BF7" s="5"/>
      <c r="BG7" s="5"/>
      <c r="BH7" s="5"/>
      <c r="BI7" s="189">
        <v>46002</v>
      </c>
      <c r="BJ7" s="190">
        <f t="shared" ref="BJ7:BJ37" si="0">_xlfn.DAYS($BJ$2,BI7)</f>
        <v>98</v>
      </c>
      <c r="BK7" s="11" t="s">
        <v>2988</v>
      </c>
    </row>
    <row r="8" spans="2:64" s="114" customFormat="1" ht="51" x14ac:dyDescent="0.25">
      <c r="B8" s="5">
        <v>199</v>
      </c>
      <c r="C8" s="5" t="s">
        <v>1054</v>
      </c>
      <c r="D8" s="5" t="s">
        <v>51</v>
      </c>
      <c r="E8" s="187" t="s">
        <v>1055</v>
      </c>
      <c r="F8" s="187" t="s">
        <v>1056</v>
      </c>
      <c r="G8" s="5" t="s">
        <v>36</v>
      </c>
      <c r="H8" s="160">
        <v>70311.8</v>
      </c>
      <c r="I8" s="38">
        <v>0</v>
      </c>
      <c r="J8" s="38">
        <v>70311.8</v>
      </c>
      <c r="K8" s="115">
        <v>330</v>
      </c>
      <c r="L8" s="5" t="s">
        <v>2989</v>
      </c>
      <c r="M8" s="5" t="s">
        <v>2990</v>
      </c>
      <c r="N8" s="5" t="s">
        <v>2977</v>
      </c>
      <c r="O8" s="5" t="s">
        <v>2991</v>
      </c>
      <c r="P8" s="9" t="s">
        <v>2992</v>
      </c>
      <c r="Q8" s="5">
        <v>3504602</v>
      </c>
      <c r="R8" s="5" t="s">
        <v>2993</v>
      </c>
      <c r="S8" s="11" t="s">
        <v>189</v>
      </c>
      <c r="T8" s="11">
        <v>1</v>
      </c>
      <c r="U8" s="5" t="s">
        <v>1058</v>
      </c>
      <c r="V8" s="52" t="s">
        <v>1059</v>
      </c>
      <c r="W8" s="34">
        <v>45315</v>
      </c>
      <c r="X8" s="9" t="s">
        <v>57</v>
      </c>
      <c r="Y8" s="9"/>
      <c r="Z8" s="65"/>
      <c r="AA8" s="9">
        <v>340</v>
      </c>
      <c r="AB8" s="9"/>
      <c r="AC8" s="9"/>
      <c r="AD8" s="9"/>
      <c r="AE8" s="9"/>
      <c r="AF8" s="9">
        <v>340</v>
      </c>
      <c r="AG8" s="9">
        <v>340</v>
      </c>
      <c r="AH8" s="9"/>
      <c r="AI8" s="9"/>
      <c r="AJ8" s="9"/>
      <c r="AK8" s="9"/>
      <c r="AL8" s="9"/>
      <c r="AM8" s="65"/>
      <c r="AN8" s="65"/>
      <c r="AO8" s="9">
        <v>3</v>
      </c>
      <c r="AP8" s="62">
        <v>340</v>
      </c>
      <c r="AQ8" s="11" t="s">
        <v>2965</v>
      </c>
      <c r="AR8" s="9" t="s">
        <v>2982</v>
      </c>
      <c r="AS8" s="9" t="s">
        <v>2994</v>
      </c>
      <c r="AT8" s="187" t="s">
        <v>2995</v>
      </c>
      <c r="AU8" s="5"/>
      <c r="AV8" s="5" t="s">
        <v>2985</v>
      </c>
      <c r="AW8" s="187" t="s">
        <v>2986</v>
      </c>
      <c r="AX8" s="5"/>
      <c r="AY8" s="5"/>
      <c r="AZ8" s="187" t="s">
        <v>2987</v>
      </c>
      <c r="BA8" s="10">
        <v>45643</v>
      </c>
      <c r="BB8" s="10"/>
      <c r="BC8" s="165">
        <f>EDATE(BA8,12)</f>
        <v>46008</v>
      </c>
      <c r="BD8" s="10">
        <v>45646</v>
      </c>
      <c r="BE8" s="10">
        <v>45734</v>
      </c>
      <c r="BF8" s="5"/>
      <c r="BG8" s="5" t="s">
        <v>2996</v>
      </c>
      <c r="BH8" s="5" t="s">
        <v>2997</v>
      </c>
      <c r="BI8" s="189">
        <v>45735</v>
      </c>
      <c r="BJ8" s="190">
        <f t="shared" si="0"/>
        <v>365</v>
      </c>
      <c r="BK8" s="11" t="s">
        <v>2998</v>
      </c>
    </row>
    <row r="9" spans="2:64" s="114" customFormat="1" ht="63.75" hidden="1" x14ac:dyDescent="0.25">
      <c r="B9" s="5">
        <v>265</v>
      </c>
      <c r="C9" s="5" t="s">
        <v>1372</v>
      </c>
      <c r="D9" s="5" t="s">
        <v>33</v>
      </c>
      <c r="E9" s="5" t="s">
        <v>1365</v>
      </c>
      <c r="F9" s="5" t="s">
        <v>1373</v>
      </c>
      <c r="G9" s="5" t="s">
        <v>36</v>
      </c>
      <c r="H9" s="17">
        <v>253465</v>
      </c>
      <c r="I9" s="17">
        <f>H9/2</f>
        <v>126732.5</v>
      </c>
      <c r="J9" s="17">
        <v>126732.5</v>
      </c>
      <c r="K9" s="116">
        <v>50</v>
      </c>
      <c r="L9" s="5" t="s">
        <v>2999</v>
      </c>
      <c r="M9" s="5" t="s">
        <v>3000</v>
      </c>
      <c r="N9" s="5" t="s">
        <v>2977</v>
      </c>
      <c r="O9" s="5" t="s">
        <v>3001</v>
      </c>
      <c r="P9" s="5" t="s">
        <v>3002</v>
      </c>
      <c r="Q9" s="5">
        <v>3530508</v>
      </c>
      <c r="R9" s="5" t="s">
        <v>3003</v>
      </c>
      <c r="S9" s="5" t="s">
        <v>453</v>
      </c>
      <c r="T9" s="11">
        <v>1</v>
      </c>
      <c r="U9" s="5" t="s">
        <v>1368</v>
      </c>
      <c r="V9" s="31" t="s">
        <v>1369</v>
      </c>
      <c r="W9" s="10">
        <v>45320</v>
      </c>
      <c r="X9" s="5" t="s">
        <v>67</v>
      </c>
      <c r="Y9" s="5"/>
      <c r="Z9" s="65"/>
      <c r="AA9" s="5">
        <v>340</v>
      </c>
      <c r="AB9" s="9"/>
      <c r="AC9" s="9"/>
      <c r="AD9" s="9"/>
      <c r="AE9" s="9"/>
      <c r="AF9" s="9">
        <v>340</v>
      </c>
      <c r="AG9" s="9">
        <v>340</v>
      </c>
      <c r="AH9" s="9"/>
      <c r="AI9" s="9"/>
      <c r="AJ9" s="9"/>
      <c r="AK9" s="9"/>
      <c r="AL9" s="9"/>
      <c r="AM9" s="9"/>
      <c r="AN9" s="9"/>
      <c r="AO9" s="9">
        <v>3</v>
      </c>
      <c r="AP9" s="62">
        <v>340</v>
      </c>
      <c r="AQ9" s="11" t="s">
        <v>3004</v>
      </c>
      <c r="AR9" s="5" t="s">
        <v>3005</v>
      </c>
      <c r="AS9" s="5" t="s">
        <v>3006</v>
      </c>
      <c r="AT9" s="5" t="s">
        <v>3007</v>
      </c>
      <c r="AU9" s="5"/>
      <c r="AV9" s="5" t="s">
        <v>3008</v>
      </c>
      <c r="AW9" s="5" t="s">
        <v>3009</v>
      </c>
      <c r="AX9" s="5"/>
      <c r="AY9" s="5"/>
      <c r="AZ9" s="5" t="s">
        <v>2973</v>
      </c>
      <c r="BA9" s="5"/>
      <c r="BB9" s="5"/>
      <c r="BC9" s="5"/>
      <c r="BD9" s="5"/>
      <c r="BE9" s="5"/>
      <c r="BF9" s="5"/>
      <c r="BG9" s="5"/>
      <c r="BH9" s="5"/>
      <c r="BI9" s="10">
        <v>45643</v>
      </c>
      <c r="BJ9" s="113">
        <f t="shared" si="0"/>
        <v>457</v>
      </c>
      <c r="BK9" s="169" t="s">
        <v>3010</v>
      </c>
    </row>
    <row r="10" spans="2:64" s="114" customFormat="1" ht="51" x14ac:dyDescent="0.25">
      <c r="B10" s="5">
        <v>285</v>
      </c>
      <c r="C10" s="5" t="s">
        <v>1464</v>
      </c>
      <c r="D10" s="5" t="s">
        <v>33</v>
      </c>
      <c r="E10" s="187" t="s">
        <v>1457</v>
      </c>
      <c r="F10" s="187" t="s">
        <v>1465</v>
      </c>
      <c r="G10" s="5" t="s">
        <v>36</v>
      </c>
      <c r="H10" s="161">
        <v>141000</v>
      </c>
      <c r="I10" s="17">
        <v>0</v>
      </c>
      <c r="J10" s="17">
        <v>141000</v>
      </c>
      <c r="K10" s="116">
        <v>133</v>
      </c>
      <c r="L10" s="5" t="s">
        <v>3011</v>
      </c>
      <c r="M10" s="5" t="s">
        <v>3012</v>
      </c>
      <c r="N10" s="5" t="s">
        <v>3013</v>
      </c>
      <c r="O10" s="5" t="s">
        <v>3014</v>
      </c>
      <c r="P10" s="5" t="s">
        <v>3013</v>
      </c>
      <c r="Q10" s="5">
        <v>3522406</v>
      </c>
      <c r="R10" s="5" t="s">
        <v>3015</v>
      </c>
      <c r="S10" s="5" t="s">
        <v>270</v>
      </c>
      <c r="T10" s="11">
        <v>1</v>
      </c>
      <c r="U10" s="5" t="s">
        <v>1460</v>
      </c>
      <c r="V10" s="31" t="s">
        <v>1461</v>
      </c>
      <c r="W10" s="10">
        <v>45321</v>
      </c>
      <c r="X10" s="5" t="s">
        <v>67</v>
      </c>
      <c r="Y10" s="5"/>
      <c r="Z10" s="65"/>
      <c r="AA10" s="5">
        <v>340</v>
      </c>
      <c r="AB10" s="9"/>
      <c r="AC10" s="9"/>
      <c r="AD10" s="9"/>
      <c r="AE10" s="9"/>
      <c r="AF10" s="9">
        <v>340</v>
      </c>
      <c r="AG10" s="9">
        <v>340</v>
      </c>
      <c r="AH10" s="9"/>
      <c r="AI10" s="9"/>
      <c r="AJ10" s="9"/>
      <c r="AK10" s="9"/>
      <c r="AL10" s="9"/>
      <c r="AM10" s="9"/>
      <c r="AN10" s="9"/>
      <c r="AO10" s="9">
        <v>3</v>
      </c>
      <c r="AP10" s="62">
        <v>340</v>
      </c>
      <c r="AQ10" s="11" t="s">
        <v>2965</v>
      </c>
      <c r="AR10" s="5" t="s">
        <v>3016</v>
      </c>
      <c r="AS10" s="5" t="s">
        <v>3017</v>
      </c>
      <c r="AT10" s="187" t="s">
        <v>3018</v>
      </c>
      <c r="AU10" s="5" t="s">
        <v>3019</v>
      </c>
      <c r="AV10" s="5" t="s">
        <v>3020</v>
      </c>
      <c r="AW10" s="187" t="s">
        <v>3021</v>
      </c>
      <c r="AX10" s="5"/>
      <c r="AY10" s="5"/>
      <c r="AZ10" s="187" t="s">
        <v>3022</v>
      </c>
      <c r="BA10" s="10">
        <v>46042</v>
      </c>
      <c r="BB10" s="10"/>
      <c r="BC10" s="165">
        <f>EDATE(BA10,12)</f>
        <v>46407</v>
      </c>
      <c r="BD10" s="10">
        <v>45646</v>
      </c>
      <c r="BE10" s="10">
        <v>45674</v>
      </c>
      <c r="BF10" s="5"/>
      <c r="BG10" s="5" t="s">
        <v>3023</v>
      </c>
      <c r="BH10" s="5" t="s">
        <v>2997</v>
      </c>
      <c r="BI10" s="189">
        <v>46036</v>
      </c>
      <c r="BJ10" s="190">
        <f t="shared" si="0"/>
        <v>64</v>
      </c>
      <c r="BK10" s="164" t="s">
        <v>3024</v>
      </c>
      <c r="BL10" s="111"/>
    </row>
    <row r="11" spans="2:64" s="114" customFormat="1" ht="38.25" x14ac:dyDescent="0.25">
      <c r="B11" s="5">
        <v>297</v>
      </c>
      <c r="C11" s="5" t="s">
        <v>1522</v>
      </c>
      <c r="D11" s="5" t="s">
        <v>51</v>
      </c>
      <c r="E11" s="188" t="s">
        <v>1523</v>
      </c>
      <c r="F11" s="188" t="s">
        <v>1524</v>
      </c>
      <c r="G11" s="11" t="s">
        <v>107</v>
      </c>
      <c r="H11" s="160">
        <v>35000</v>
      </c>
      <c r="I11" s="38">
        <v>35000</v>
      </c>
      <c r="J11" s="38">
        <v>0</v>
      </c>
      <c r="K11" s="115">
        <v>400</v>
      </c>
      <c r="L11" s="9" t="s">
        <v>3025</v>
      </c>
      <c r="M11" s="9" t="s">
        <v>3026</v>
      </c>
      <c r="N11" s="9" t="s">
        <v>2977</v>
      </c>
      <c r="O11" s="5" t="s">
        <v>3027</v>
      </c>
      <c r="P11" s="9" t="s">
        <v>3028</v>
      </c>
      <c r="Q11" s="5">
        <v>3553104</v>
      </c>
      <c r="R11" s="5" t="s">
        <v>3029</v>
      </c>
      <c r="S11" s="11" t="s">
        <v>181</v>
      </c>
      <c r="T11" s="11">
        <v>1</v>
      </c>
      <c r="U11" s="9" t="s">
        <v>1526</v>
      </c>
      <c r="V11" s="52" t="s">
        <v>3030</v>
      </c>
      <c r="W11" s="34">
        <v>45321</v>
      </c>
      <c r="X11" s="9" t="s">
        <v>57</v>
      </c>
      <c r="Y11" s="65"/>
      <c r="Z11" s="65"/>
      <c r="AA11" s="9">
        <v>340</v>
      </c>
      <c r="AB11" s="9"/>
      <c r="AC11" s="9"/>
      <c r="AD11" s="9"/>
      <c r="AE11" s="9"/>
      <c r="AF11" s="9">
        <v>340</v>
      </c>
      <c r="AG11" s="9">
        <v>340</v>
      </c>
      <c r="AH11" s="9"/>
      <c r="AI11" s="9"/>
      <c r="AJ11" s="9"/>
      <c r="AK11" s="9"/>
      <c r="AL11" s="9"/>
      <c r="AM11" s="65"/>
      <c r="AN11" s="65"/>
      <c r="AO11" s="9">
        <v>3</v>
      </c>
      <c r="AP11" s="62">
        <v>340</v>
      </c>
      <c r="AQ11" s="11" t="s">
        <v>2965</v>
      </c>
      <c r="AR11" s="11" t="s">
        <v>3031</v>
      </c>
      <c r="AS11" s="11" t="s">
        <v>3032</v>
      </c>
      <c r="AT11" s="187" t="s">
        <v>3033</v>
      </c>
      <c r="AU11" s="5"/>
      <c r="AV11" s="5" t="s">
        <v>3034</v>
      </c>
      <c r="AW11" s="187" t="s">
        <v>3035</v>
      </c>
      <c r="AX11" s="5" t="s">
        <v>3036</v>
      </c>
      <c r="AY11" s="5"/>
      <c r="AZ11" s="187" t="s">
        <v>3037</v>
      </c>
      <c r="BA11" s="10">
        <v>45868</v>
      </c>
      <c r="BB11" s="10">
        <v>46239</v>
      </c>
      <c r="BC11" s="10">
        <f>EDATE(BA11,12)</f>
        <v>46233</v>
      </c>
      <c r="BD11" s="10">
        <v>45870</v>
      </c>
      <c r="BE11" s="10">
        <v>45874</v>
      </c>
      <c r="BF11" s="5"/>
      <c r="BG11" s="5" t="s">
        <v>3038</v>
      </c>
      <c r="BH11" s="5" t="s">
        <v>3039</v>
      </c>
      <c r="BI11" s="192">
        <v>46098</v>
      </c>
      <c r="BJ11" s="193">
        <f>_xlfn.DAYS($BJ$2,BI11)</f>
        <v>2</v>
      </c>
      <c r="BK11" s="11"/>
    </row>
    <row r="12" spans="2:64" s="114" customFormat="1" ht="38.25" x14ac:dyDescent="0.25">
      <c r="B12" s="5">
        <v>335</v>
      </c>
      <c r="C12" s="5" t="s">
        <v>1712</v>
      </c>
      <c r="D12" s="5" t="s">
        <v>51</v>
      </c>
      <c r="E12" s="188" t="s">
        <v>1713</v>
      </c>
      <c r="F12" s="191" t="s">
        <v>1714</v>
      </c>
      <c r="G12" s="11" t="s">
        <v>107</v>
      </c>
      <c r="H12" s="160">
        <v>217379.4</v>
      </c>
      <c r="I12" s="17">
        <v>217379.4</v>
      </c>
      <c r="J12" s="38">
        <f>H12-I12</f>
        <v>0</v>
      </c>
      <c r="K12" s="115">
        <v>80</v>
      </c>
      <c r="L12" s="9" t="s">
        <v>3040</v>
      </c>
      <c r="M12" s="9" t="s">
        <v>3041</v>
      </c>
      <c r="N12" s="9" t="s">
        <v>2977</v>
      </c>
      <c r="O12" s="9" t="s">
        <v>3042</v>
      </c>
      <c r="P12" s="9" t="s">
        <v>3043</v>
      </c>
      <c r="Q12" s="5">
        <v>3523008</v>
      </c>
      <c r="R12" s="5" t="s">
        <v>3044</v>
      </c>
      <c r="S12" s="11" t="s">
        <v>597</v>
      </c>
      <c r="T12" s="11">
        <v>1</v>
      </c>
      <c r="U12" s="9" t="s">
        <v>1716</v>
      </c>
      <c r="V12" s="52" t="s">
        <v>3045</v>
      </c>
      <c r="W12" s="34">
        <v>45321</v>
      </c>
      <c r="X12" s="9" t="s">
        <v>57</v>
      </c>
      <c r="Y12" s="9"/>
      <c r="Z12" s="65"/>
      <c r="AA12" s="9">
        <v>340</v>
      </c>
      <c r="AB12" s="9"/>
      <c r="AC12" s="9"/>
      <c r="AD12" s="9"/>
      <c r="AE12" s="9"/>
      <c r="AF12" s="9"/>
      <c r="AG12" s="9">
        <v>340</v>
      </c>
      <c r="AH12" s="9"/>
      <c r="AI12" s="9">
        <v>340</v>
      </c>
      <c r="AJ12" s="9"/>
      <c r="AK12" s="9"/>
      <c r="AL12" s="9"/>
      <c r="AM12" s="65"/>
      <c r="AN12" s="65"/>
      <c r="AO12" s="9">
        <v>3</v>
      </c>
      <c r="AP12" s="62">
        <v>340</v>
      </c>
      <c r="AQ12" s="11" t="s">
        <v>2965</v>
      </c>
      <c r="AR12" s="11" t="s">
        <v>3046</v>
      </c>
      <c r="AS12" s="11" t="s">
        <v>3047</v>
      </c>
      <c r="AT12" s="187" t="s">
        <v>3048</v>
      </c>
      <c r="AU12" s="5"/>
      <c r="AV12" s="5" t="s">
        <v>2985</v>
      </c>
      <c r="AW12" s="187" t="s">
        <v>3049</v>
      </c>
      <c r="AX12" s="5" t="s">
        <v>3036</v>
      </c>
      <c r="AY12" s="5"/>
      <c r="AZ12" s="187" t="s">
        <v>2949</v>
      </c>
      <c r="BA12" s="10">
        <v>45793</v>
      </c>
      <c r="BB12" s="10"/>
      <c r="BC12" s="10">
        <f>EDATE(BA12,12)</f>
        <v>46158</v>
      </c>
      <c r="BD12" s="10">
        <v>45800</v>
      </c>
      <c r="BE12" s="10">
        <v>45805</v>
      </c>
      <c r="BF12" s="5"/>
      <c r="BG12" s="5" t="s">
        <v>3050</v>
      </c>
      <c r="BH12" s="5" t="s">
        <v>3039</v>
      </c>
      <c r="BI12" s="194">
        <v>46099</v>
      </c>
      <c r="BJ12" s="190">
        <f t="shared" si="0"/>
        <v>1</v>
      </c>
      <c r="BK12" s="11" t="s">
        <v>3051</v>
      </c>
    </row>
    <row r="13" spans="2:64" s="153" customFormat="1" ht="51" hidden="1" x14ac:dyDescent="0.25">
      <c r="B13" s="5">
        <v>355</v>
      </c>
      <c r="C13" s="58" t="s">
        <v>1798</v>
      </c>
      <c r="D13" s="58" t="s">
        <v>51</v>
      </c>
      <c r="E13" s="58" t="s">
        <v>1799</v>
      </c>
      <c r="F13" s="58" t="s">
        <v>1800</v>
      </c>
      <c r="G13" s="58" t="s">
        <v>36</v>
      </c>
      <c r="H13" s="157">
        <v>35000</v>
      </c>
      <c r="I13" s="38">
        <v>24272</v>
      </c>
      <c r="J13" s="38">
        <v>10728</v>
      </c>
      <c r="K13" s="115"/>
      <c r="L13" s="9" t="s">
        <v>3052</v>
      </c>
      <c r="M13" s="9" t="s">
        <v>3053</v>
      </c>
      <c r="N13" s="5" t="s">
        <v>2977</v>
      </c>
      <c r="O13" s="9" t="s">
        <v>3054</v>
      </c>
      <c r="P13" s="5" t="s">
        <v>3055</v>
      </c>
      <c r="Q13" s="5">
        <v>3528601</v>
      </c>
      <c r="R13" s="5" t="s">
        <v>3056</v>
      </c>
      <c r="S13" s="11" t="s">
        <v>123</v>
      </c>
      <c r="T13" s="11">
        <v>1</v>
      </c>
      <c r="U13" s="5" t="s">
        <v>1801</v>
      </c>
      <c r="V13" s="52" t="s">
        <v>1802</v>
      </c>
      <c r="W13" s="34">
        <v>45321</v>
      </c>
      <c r="X13" s="5" t="s">
        <v>57</v>
      </c>
      <c r="Y13" s="65"/>
      <c r="Z13" s="65"/>
      <c r="AA13" s="9">
        <v>340</v>
      </c>
      <c r="AB13" s="9"/>
      <c r="AC13" s="9"/>
      <c r="AD13" s="9"/>
      <c r="AE13" s="9"/>
      <c r="AF13" s="9">
        <v>340</v>
      </c>
      <c r="AG13" s="9">
        <v>340</v>
      </c>
      <c r="AH13" s="9"/>
      <c r="AI13" s="9"/>
      <c r="AJ13" s="9"/>
      <c r="AK13" s="9"/>
      <c r="AL13" s="9"/>
      <c r="AM13" s="65"/>
      <c r="AN13" s="65"/>
      <c r="AO13" s="9">
        <v>3</v>
      </c>
      <c r="AP13" s="62">
        <v>340</v>
      </c>
      <c r="AQ13" s="11" t="s">
        <v>3004</v>
      </c>
      <c r="AR13" s="11" t="s">
        <v>3057</v>
      </c>
      <c r="AS13" s="5" t="s">
        <v>3058</v>
      </c>
      <c r="AT13" s="58" t="s">
        <v>3059</v>
      </c>
      <c r="AU13" s="5"/>
      <c r="AV13" s="5" t="s">
        <v>3060</v>
      </c>
      <c r="AW13" s="58" t="s">
        <v>3061</v>
      </c>
      <c r="AX13" s="5"/>
      <c r="AY13" s="5"/>
      <c r="AZ13" s="58" t="s">
        <v>3062</v>
      </c>
      <c r="BA13" s="154">
        <v>45638</v>
      </c>
      <c r="BB13" s="154"/>
      <c r="BC13" s="154"/>
      <c r="BD13" s="154">
        <v>45642</v>
      </c>
      <c r="BE13" s="154">
        <v>45674</v>
      </c>
      <c r="BF13" s="154"/>
      <c r="BG13" s="58" t="s">
        <v>2996</v>
      </c>
      <c r="BH13" s="5" t="s">
        <v>3063</v>
      </c>
      <c r="BI13" s="154">
        <v>45933</v>
      </c>
      <c r="BJ13" s="155">
        <f t="shared" si="0"/>
        <v>167</v>
      </c>
      <c r="BK13" s="69" t="s">
        <v>3064</v>
      </c>
    </row>
    <row r="14" spans="2:64" s="114" customFormat="1" ht="38.25" x14ac:dyDescent="0.25">
      <c r="B14" s="5">
        <v>361</v>
      </c>
      <c r="C14" s="5" t="s">
        <v>1826</v>
      </c>
      <c r="D14" s="5" t="s">
        <v>51</v>
      </c>
      <c r="E14" s="188" t="s">
        <v>1827</v>
      </c>
      <c r="F14" s="188" t="s">
        <v>1828</v>
      </c>
      <c r="G14" s="11" t="s">
        <v>107</v>
      </c>
      <c r="H14" s="160">
        <v>40000</v>
      </c>
      <c r="I14" s="38">
        <v>40000</v>
      </c>
      <c r="J14" s="38">
        <v>0</v>
      </c>
      <c r="K14" s="115">
        <v>20</v>
      </c>
      <c r="L14" s="9" t="s">
        <v>3065</v>
      </c>
      <c r="M14" s="9" t="s">
        <v>3066</v>
      </c>
      <c r="N14" s="5" t="s">
        <v>2977</v>
      </c>
      <c r="O14" s="9" t="s">
        <v>3067</v>
      </c>
      <c r="P14" s="9" t="s">
        <v>3068</v>
      </c>
      <c r="Q14" s="5">
        <v>3531506</v>
      </c>
      <c r="R14" s="9" t="s">
        <v>3069</v>
      </c>
      <c r="S14" s="11" t="s">
        <v>181</v>
      </c>
      <c r="T14" s="11">
        <v>1</v>
      </c>
      <c r="U14" s="9" t="s">
        <v>1830</v>
      </c>
      <c r="V14" s="52" t="s">
        <v>1831</v>
      </c>
      <c r="W14" s="34">
        <v>45321</v>
      </c>
      <c r="X14" s="9" t="s">
        <v>57</v>
      </c>
      <c r="Y14" s="65"/>
      <c r="Z14" s="65"/>
      <c r="AA14" s="9">
        <v>340</v>
      </c>
      <c r="AB14" s="9"/>
      <c r="AC14" s="9"/>
      <c r="AD14" s="9"/>
      <c r="AE14" s="9"/>
      <c r="AF14" s="9"/>
      <c r="AG14" s="9"/>
      <c r="AH14" s="9">
        <v>340</v>
      </c>
      <c r="AI14" s="9">
        <v>340</v>
      </c>
      <c r="AJ14" s="9"/>
      <c r="AK14" s="9"/>
      <c r="AL14" s="9"/>
      <c r="AM14" s="65"/>
      <c r="AN14" s="65"/>
      <c r="AO14" s="9">
        <v>3</v>
      </c>
      <c r="AP14" s="62">
        <v>340</v>
      </c>
      <c r="AQ14" s="11" t="s">
        <v>2965</v>
      </c>
      <c r="AR14" s="11" t="s">
        <v>3070</v>
      </c>
      <c r="AS14" s="11" t="s">
        <v>3071</v>
      </c>
      <c r="AT14" s="187" t="s">
        <v>3072</v>
      </c>
      <c r="AU14" s="5"/>
      <c r="AV14" s="5" t="s">
        <v>2985</v>
      </c>
      <c r="AW14" s="187" t="s">
        <v>2986</v>
      </c>
      <c r="AX14" s="5" t="s">
        <v>3036</v>
      </c>
      <c r="AY14" s="5"/>
      <c r="AZ14" s="187" t="s">
        <v>2987</v>
      </c>
      <c r="BA14" s="10">
        <v>45799</v>
      </c>
      <c r="BB14" s="10"/>
      <c r="BC14" s="10">
        <f t="shared" ref="BC14:BC22" si="1">EDATE(BA14,12)</f>
        <v>46164</v>
      </c>
      <c r="BD14" s="10">
        <v>45800</v>
      </c>
      <c r="BE14" s="10">
        <v>45805</v>
      </c>
      <c r="BF14" s="5"/>
      <c r="BG14" s="5" t="s">
        <v>3038</v>
      </c>
      <c r="BH14" s="5" t="s">
        <v>3039</v>
      </c>
      <c r="BI14" s="189">
        <v>45806</v>
      </c>
      <c r="BJ14" s="193">
        <f t="shared" si="0"/>
        <v>294</v>
      </c>
      <c r="BK14" s="9" t="s">
        <v>3073</v>
      </c>
    </row>
    <row r="15" spans="2:64" s="114" customFormat="1" ht="30" x14ac:dyDescent="0.25">
      <c r="B15" s="5">
        <v>378</v>
      </c>
      <c r="C15" s="5" t="s">
        <v>1905</v>
      </c>
      <c r="D15" s="5" t="s">
        <v>51</v>
      </c>
      <c r="E15" s="187" t="s">
        <v>1906</v>
      </c>
      <c r="F15" s="187" t="s">
        <v>1907</v>
      </c>
      <c r="G15" s="5" t="s">
        <v>62</v>
      </c>
      <c r="H15" s="160">
        <v>124800</v>
      </c>
      <c r="I15" s="38">
        <f>H15</f>
        <v>124800</v>
      </c>
      <c r="J15" s="38">
        <v>0</v>
      </c>
      <c r="K15" s="115">
        <v>60</v>
      </c>
      <c r="L15" s="5" t="s">
        <v>3074</v>
      </c>
      <c r="M15" s="9" t="s">
        <v>3075</v>
      </c>
      <c r="N15" s="5" t="s">
        <v>2977</v>
      </c>
      <c r="O15" s="5" t="s">
        <v>3076</v>
      </c>
      <c r="P15" s="9" t="s">
        <v>3077</v>
      </c>
      <c r="Q15" s="5">
        <v>3552700</v>
      </c>
      <c r="R15" s="5" t="s">
        <v>3078</v>
      </c>
      <c r="S15" s="11" t="s">
        <v>348</v>
      </c>
      <c r="T15" s="11">
        <v>1</v>
      </c>
      <c r="U15" s="9" t="s">
        <v>1909</v>
      </c>
      <c r="V15" s="52" t="s">
        <v>3079</v>
      </c>
      <c r="W15" s="34">
        <v>45322</v>
      </c>
      <c r="X15" s="9" t="s">
        <v>57</v>
      </c>
      <c r="Y15" s="9"/>
      <c r="Z15" s="65"/>
      <c r="AA15" s="9">
        <v>340</v>
      </c>
      <c r="AB15" s="9"/>
      <c r="AC15" s="9"/>
      <c r="AD15" s="9"/>
      <c r="AE15" s="9"/>
      <c r="AF15" s="9">
        <v>340</v>
      </c>
      <c r="AG15" s="9">
        <v>340</v>
      </c>
      <c r="AH15" s="9"/>
      <c r="AI15" s="9"/>
      <c r="AJ15" s="9"/>
      <c r="AK15" s="9"/>
      <c r="AL15" s="9"/>
      <c r="AM15" s="65"/>
      <c r="AN15" s="65"/>
      <c r="AO15" s="9">
        <v>3</v>
      </c>
      <c r="AP15" s="62">
        <v>340</v>
      </c>
      <c r="AQ15" s="11" t="s">
        <v>2965</v>
      </c>
      <c r="AR15" s="11" t="s">
        <v>3080</v>
      </c>
      <c r="AS15" s="9" t="s">
        <v>3081</v>
      </c>
      <c r="AT15" s="187" t="s">
        <v>3082</v>
      </c>
      <c r="AU15" s="5"/>
      <c r="AV15" s="5" t="s">
        <v>45</v>
      </c>
      <c r="AW15" s="187" t="s">
        <v>3083</v>
      </c>
      <c r="AX15" s="5"/>
      <c r="AY15" s="5"/>
      <c r="AZ15" s="187" t="s">
        <v>3084</v>
      </c>
      <c r="BA15" s="10">
        <v>45748</v>
      </c>
      <c r="BB15" s="10"/>
      <c r="BC15" s="10">
        <f t="shared" si="1"/>
        <v>46113</v>
      </c>
      <c r="BD15" s="10">
        <v>45751</v>
      </c>
      <c r="BE15" s="10">
        <v>45761</v>
      </c>
      <c r="BF15" s="5"/>
      <c r="BG15" s="5" t="s">
        <v>2996</v>
      </c>
      <c r="BH15" s="5" t="s">
        <v>3085</v>
      </c>
      <c r="BI15" s="189">
        <v>46084</v>
      </c>
      <c r="BJ15" s="190">
        <f t="shared" si="0"/>
        <v>16</v>
      </c>
      <c r="BK15" s="11" t="s">
        <v>3086</v>
      </c>
    </row>
    <row r="16" spans="2:64" s="114" customFormat="1" ht="51" x14ac:dyDescent="0.25">
      <c r="B16" s="5">
        <v>388</v>
      </c>
      <c r="C16" s="170" t="s">
        <v>1950</v>
      </c>
      <c r="D16" s="5" t="s">
        <v>33</v>
      </c>
      <c r="E16" s="187" t="s">
        <v>1951</v>
      </c>
      <c r="F16" s="187" t="s">
        <v>1952</v>
      </c>
      <c r="G16" s="5" t="s">
        <v>36</v>
      </c>
      <c r="H16" s="161">
        <v>40500</v>
      </c>
      <c r="I16" s="17">
        <v>40500</v>
      </c>
      <c r="J16" s="17">
        <v>0</v>
      </c>
      <c r="K16" s="116">
        <v>50</v>
      </c>
      <c r="L16" s="5" t="s">
        <v>3087</v>
      </c>
      <c r="M16" s="5" t="s">
        <v>3088</v>
      </c>
      <c r="N16" s="5" t="s">
        <v>3089</v>
      </c>
      <c r="O16" s="5" t="s">
        <v>3090</v>
      </c>
      <c r="P16" s="5" t="s">
        <v>3091</v>
      </c>
      <c r="Q16" s="5">
        <v>3502101</v>
      </c>
      <c r="R16" s="5" t="s">
        <v>3092</v>
      </c>
      <c r="S16" s="5" t="s">
        <v>597</v>
      </c>
      <c r="T16" s="11">
        <v>1</v>
      </c>
      <c r="U16" s="5" t="s">
        <v>1953</v>
      </c>
      <c r="V16" s="31" t="s">
        <v>1954</v>
      </c>
      <c r="W16" s="10">
        <v>45322</v>
      </c>
      <c r="X16" s="5" t="s">
        <v>67</v>
      </c>
      <c r="Y16" s="9"/>
      <c r="Z16" s="65" t="s">
        <v>1955</v>
      </c>
      <c r="AA16" s="5">
        <v>340</v>
      </c>
      <c r="AB16" s="9"/>
      <c r="AC16" s="9"/>
      <c r="AD16" s="9"/>
      <c r="AE16" s="9"/>
      <c r="AF16" s="9"/>
      <c r="AG16" s="9"/>
      <c r="AH16" s="9">
        <v>340</v>
      </c>
      <c r="AI16" s="9">
        <v>340</v>
      </c>
      <c r="AJ16" s="9"/>
      <c r="AK16" s="9"/>
      <c r="AL16" s="9"/>
      <c r="AM16" s="9"/>
      <c r="AN16" s="9"/>
      <c r="AO16" s="9">
        <v>3</v>
      </c>
      <c r="AP16" s="62">
        <v>340</v>
      </c>
      <c r="AQ16" s="11" t="s">
        <v>2965</v>
      </c>
      <c r="AR16" s="5" t="s">
        <v>3093</v>
      </c>
      <c r="AS16" s="5" t="s">
        <v>3094</v>
      </c>
      <c r="AT16" s="187" t="s">
        <v>3095</v>
      </c>
      <c r="AU16" s="5"/>
      <c r="AV16" s="5" t="s">
        <v>3020</v>
      </c>
      <c r="AW16" s="187" t="s">
        <v>3096</v>
      </c>
      <c r="AX16" s="5"/>
      <c r="AY16" s="5"/>
      <c r="AZ16" s="187" t="s">
        <v>3097</v>
      </c>
      <c r="BA16" s="10">
        <v>45643</v>
      </c>
      <c r="BB16" s="10"/>
      <c r="BC16" s="165">
        <f t="shared" si="1"/>
        <v>46008</v>
      </c>
      <c r="BD16" s="10">
        <v>45646</v>
      </c>
      <c r="BE16" s="10">
        <v>45674</v>
      </c>
      <c r="BF16" s="5"/>
      <c r="BG16" s="5" t="s">
        <v>3098</v>
      </c>
      <c r="BH16" s="5" t="s">
        <v>2997</v>
      </c>
      <c r="BI16" s="189">
        <v>46079</v>
      </c>
      <c r="BJ16" s="190">
        <f t="shared" si="0"/>
        <v>21</v>
      </c>
      <c r="BK16" s="11" t="s">
        <v>3099</v>
      </c>
      <c r="BL16" s="111"/>
    </row>
    <row r="17" spans="2:63" s="114" customFormat="1" ht="51" x14ac:dyDescent="0.25">
      <c r="B17" s="5">
        <v>420</v>
      </c>
      <c r="C17" s="5" t="s">
        <v>2074</v>
      </c>
      <c r="D17" s="5" t="s">
        <v>51</v>
      </c>
      <c r="E17" s="187" t="s">
        <v>2075</v>
      </c>
      <c r="F17" s="187" t="s">
        <v>2076</v>
      </c>
      <c r="G17" s="5" t="s">
        <v>36</v>
      </c>
      <c r="H17" s="160">
        <v>515500</v>
      </c>
      <c r="I17" s="38">
        <v>419700</v>
      </c>
      <c r="J17" s="38">
        <v>95800</v>
      </c>
      <c r="K17" s="115">
        <v>140</v>
      </c>
      <c r="L17" s="5" t="s">
        <v>3100</v>
      </c>
      <c r="M17" s="5" t="s">
        <v>3101</v>
      </c>
      <c r="N17" s="5" t="s">
        <v>3102</v>
      </c>
      <c r="O17" s="5" t="s">
        <v>3103</v>
      </c>
      <c r="P17" s="5" t="s">
        <v>3104</v>
      </c>
      <c r="Q17" s="5">
        <v>3501608</v>
      </c>
      <c r="R17" s="5" t="s">
        <v>3105</v>
      </c>
      <c r="S17" s="11" t="s">
        <v>254</v>
      </c>
      <c r="T17" s="11">
        <v>1</v>
      </c>
      <c r="U17" s="5" t="s">
        <v>2077</v>
      </c>
      <c r="V17" s="31" t="s">
        <v>2078</v>
      </c>
      <c r="W17" s="34">
        <v>45322</v>
      </c>
      <c r="X17" s="5" t="s">
        <v>57</v>
      </c>
      <c r="Y17" s="9"/>
      <c r="Z17" s="65"/>
      <c r="AA17" s="9">
        <v>340</v>
      </c>
      <c r="AB17" s="9"/>
      <c r="AC17" s="9"/>
      <c r="AD17" s="9"/>
      <c r="AE17" s="9"/>
      <c r="AF17" s="9">
        <v>340</v>
      </c>
      <c r="AG17" s="9"/>
      <c r="AH17" s="9"/>
      <c r="AI17" s="9">
        <v>340</v>
      </c>
      <c r="AJ17" s="9"/>
      <c r="AK17" s="9"/>
      <c r="AL17" s="9"/>
      <c r="AM17" s="65"/>
      <c r="AN17" s="65"/>
      <c r="AO17" s="9">
        <v>3</v>
      </c>
      <c r="AP17" s="62">
        <v>340</v>
      </c>
      <c r="AQ17" s="11" t="s">
        <v>2965</v>
      </c>
      <c r="AR17" s="11" t="s">
        <v>3106</v>
      </c>
      <c r="AS17" s="11" t="s">
        <v>3107</v>
      </c>
      <c r="AT17" s="187" t="s">
        <v>3108</v>
      </c>
      <c r="AU17" s="5"/>
      <c r="AV17" s="5" t="s">
        <v>2985</v>
      </c>
      <c r="AW17" s="187" t="s">
        <v>2986</v>
      </c>
      <c r="AX17" s="5" t="s">
        <v>254</v>
      </c>
      <c r="AY17" s="5" t="s">
        <v>3109</v>
      </c>
      <c r="AZ17" s="187" t="s">
        <v>2987</v>
      </c>
      <c r="BA17" s="10">
        <v>45784</v>
      </c>
      <c r="BB17" s="10"/>
      <c r="BC17" s="10">
        <f t="shared" si="1"/>
        <v>46149</v>
      </c>
      <c r="BD17" s="10">
        <v>45790</v>
      </c>
      <c r="BE17" s="10">
        <v>45811</v>
      </c>
      <c r="BF17" s="5"/>
      <c r="BG17" s="5" t="s">
        <v>3038</v>
      </c>
      <c r="BH17" s="5" t="s">
        <v>3039</v>
      </c>
      <c r="BI17" s="189">
        <v>45930</v>
      </c>
      <c r="BJ17" s="190">
        <f t="shared" si="0"/>
        <v>170</v>
      </c>
      <c r="BK17" s="11" t="s">
        <v>3073</v>
      </c>
    </row>
    <row r="18" spans="2:63" s="114" customFormat="1" ht="25.5" x14ac:dyDescent="0.25">
      <c r="B18" s="5">
        <v>448</v>
      </c>
      <c r="C18" s="5" t="s">
        <v>2193</v>
      </c>
      <c r="D18" s="5" t="s">
        <v>33</v>
      </c>
      <c r="E18" s="187" t="s">
        <v>2194</v>
      </c>
      <c r="F18" s="187" t="s">
        <v>2195</v>
      </c>
      <c r="G18" s="5" t="s">
        <v>62</v>
      </c>
      <c r="H18" s="162">
        <v>16476.169999999998</v>
      </c>
      <c r="I18" s="71">
        <v>4446.3900000000003</v>
      </c>
      <c r="J18" s="71">
        <v>12029.78</v>
      </c>
      <c r="K18" s="117">
        <v>32</v>
      </c>
      <c r="L18" s="9" t="s">
        <v>3110</v>
      </c>
      <c r="M18" s="5" t="s">
        <v>3111</v>
      </c>
      <c r="N18" s="5" t="s">
        <v>3112</v>
      </c>
      <c r="O18" s="5" t="s">
        <v>3113</v>
      </c>
      <c r="P18" s="5" t="s">
        <v>3112</v>
      </c>
      <c r="Q18" s="5">
        <v>3506805</v>
      </c>
      <c r="R18" s="5" t="s">
        <v>3114</v>
      </c>
      <c r="S18" s="9" t="s">
        <v>115</v>
      </c>
      <c r="T18" s="11">
        <v>1</v>
      </c>
      <c r="U18" s="5" t="s">
        <v>2197</v>
      </c>
      <c r="V18" s="31" t="s">
        <v>3115</v>
      </c>
      <c r="W18" s="10">
        <v>45322</v>
      </c>
      <c r="X18" s="5" t="s">
        <v>67</v>
      </c>
      <c r="Y18" s="9"/>
      <c r="Z18" s="65"/>
      <c r="AA18" s="5">
        <v>340</v>
      </c>
      <c r="AB18" s="9"/>
      <c r="AC18" s="9"/>
      <c r="AD18" s="9"/>
      <c r="AE18" s="9"/>
      <c r="AF18" s="9">
        <v>340</v>
      </c>
      <c r="AG18" s="9">
        <v>340</v>
      </c>
      <c r="AH18" s="9"/>
      <c r="AI18" s="9"/>
      <c r="AJ18" s="9"/>
      <c r="AK18" s="9"/>
      <c r="AL18" s="9"/>
      <c r="AM18" s="9"/>
      <c r="AN18" s="9"/>
      <c r="AO18" s="9">
        <v>3</v>
      </c>
      <c r="AP18" s="62">
        <v>340</v>
      </c>
      <c r="AQ18" s="11" t="s">
        <v>2965</v>
      </c>
      <c r="AR18" s="11" t="s">
        <v>3116</v>
      </c>
      <c r="AS18" s="11" t="s">
        <v>3057</v>
      </c>
      <c r="AT18" s="187" t="s">
        <v>3117</v>
      </c>
      <c r="AU18" s="5"/>
      <c r="AV18" s="11" t="s">
        <v>3118</v>
      </c>
      <c r="AW18" s="187" t="s">
        <v>3083</v>
      </c>
      <c r="AX18" s="5" t="s">
        <v>2971</v>
      </c>
      <c r="AY18" s="5"/>
      <c r="AZ18" s="187" t="s">
        <v>3084</v>
      </c>
      <c r="BA18" s="10">
        <v>45762</v>
      </c>
      <c r="BB18" s="10"/>
      <c r="BC18" s="10">
        <f t="shared" si="1"/>
        <v>46127</v>
      </c>
      <c r="BD18" s="10">
        <v>45770</v>
      </c>
      <c r="BE18" s="10">
        <v>45800</v>
      </c>
      <c r="BF18" s="5"/>
      <c r="BG18" s="5" t="s">
        <v>3119</v>
      </c>
      <c r="BH18" s="5" t="s">
        <v>3085</v>
      </c>
      <c r="BI18" s="189" t="s">
        <v>3120</v>
      </c>
      <c r="BJ18" s="195">
        <v>0</v>
      </c>
      <c r="BK18" s="11" t="s">
        <v>3121</v>
      </c>
    </row>
    <row r="19" spans="2:63" s="114" customFormat="1" ht="51" x14ac:dyDescent="0.25">
      <c r="B19" s="5">
        <v>449</v>
      </c>
      <c r="C19" s="5" t="s">
        <v>2199</v>
      </c>
      <c r="D19" s="5" t="s">
        <v>33</v>
      </c>
      <c r="E19" s="188" t="s">
        <v>2200</v>
      </c>
      <c r="F19" s="191" t="s">
        <v>2201</v>
      </c>
      <c r="G19" s="11" t="s">
        <v>36</v>
      </c>
      <c r="H19" s="162">
        <v>89104</v>
      </c>
      <c r="I19" s="71">
        <v>0</v>
      </c>
      <c r="J19" s="71">
        <v>89104</v>
      </c>
      <c r="K19" s="117">
        <v>50</v>
      </c>
      <c r="L19" s="114" t="s">
        <v>3122</v>
      </c>
      <c r="M19" s="9" t="s">
        <v>3123</v>
      </c>
      <c r="N19" s="9" t="s">
        <v>3124</v>
      </c>
      <c r="O19" s="9" t="s">
        <v>3125</v>
      </c>
      <c r="P19" s="5" t="s">
        <v>3126</v>
      </c>
      <c r="Q19" s="5">
        <v>3525300</v>
      </c>
      <c r="R19" s="9" t="s">
        <v>3127</v>
      </c>
      <c r="S19" s="9" t="s">
        <v>115</v>
      </c>
      <c r="T19" s="11">
        <v>1</v>
      </c>
      <c r="U19" s="9" t="s">
        <v>2203</v>
      </c>
      <c r="V19" s="98" t="s">
        <v>3128</v>
      </c>
      <c r="W19" s="10">
        <v>45322</v>
      </c>
      <c r="X19" s="5" t="s">
        <v>67</v>
      </c>
      <c r="Y19" s="9"/>
      <c r="Z19" s="65"/>
      <c r="AA19" s="5">
        <v>340</v>
      </c>
      <c r="AB19" s="9"/>
      <c r="AC19" s="9"/>
      <c r="AD19" s="9"/>
      <c r="AE19" s="9"/>
      <c r="AF19" s="9">
        <v>340</v>
      </c>
      <c r="AG19" s="9">
        <v>340</v>
      </c>
      <c r="AH19" s="9"/>
      <c r="AI19" s="9"/>
      <c r="AJ19" s="9"/>
      <c r="AK19" s="9"/>
      <c r="AL19" s="9"/>
      <c r="AM19" s="9"/>
      <c r="AN19" s="9"/>
      <c r="AO19" s="9">
        <v>3</v>
      </c>
      <c r="AP19" s="62">
        <v>340</v>
      </c>
      <c r="AQ19" s="11" t="s">
        <v>2965</v>
      </c>
      <c r="AR19" s="11" t="s">
        <v>3116</v>
      </c>
      <c r="AS19" s="11" t="s">
        <v>3129</v>
      </c>
      <c r="AT19" s="187" t="s">
        <v>3130</v>
      </c>
      <c r="AU19" s="5"/>
      <c r="AV19" s="5" t="s">
        <v>3118</v>
      </c>
      <c r="AW19" s="187" t="s">
        <v>3131</v>
      </c>
      <c r="AX19" s="5"/>
      <c r="AY19" s="5"/>
      <c r="AZ19" s="187" t="s">
        <v>2987</v>
      </c>
      <c r="BA19" s="10">
        <v>45643</v>
      </c>
      <c r="BB19" s="10"/>
      <c r="BC19" s="165">
        <f t="shared" si="1"/>
        <v>46008</v>
      </c>
      <c r="BD19" s="10">
        <v>45646</v>
      </c>
      <c r="BE19" s="10">
        <v>45674</v>
      </c>
      <c r="BF19" s="5"/>
      <c r="BG19" s="5" t="s">
        <v>3132</v>
      </c>
      <c r="BH19" s="5" t="s">
        <v>2997</v>
      </c>
      <c r="BI19" s="189">
        <v>46097</v>
      </c>
      <c r="BJ19" s="190">
        <f t="shared" si="0"/>
        <v>3</v>
      </c>
      <c r="BK19" s="11" t="s">
        <v>3133</v>
      </c>
    </row>
    <row r="20" spans="2:63" s="114" customFormat="1" ht="38.25" x14ac:dyDescent="0.25">
      <c r="B20" s="5">
        <v>461</v>
      </c>
      <c r="C20" s="5" t="s">
        <v>2250</v>
      </c>
      <c r="D20" s="5" t="s">
        <v>33</v>
      </c>
      <c r="E20" s="187" t="s">
        <v>2251</v>
      </c>
      <c r="F20" s="187" t="s">
        <v>2252</v>
      </c>
      <c r="G20" s="5" t="s">
        <v>174</v>
      </c>
      <c r="H20" s="161">
        <v>213318.26</v>
      </c>
      <c r="I20" s="17">
        <f>H20</f>
        <v>213318.26</v>
      </c>
      <c r="J20" s="17">
        <v>0</v>
      </c>
      <c r="K20" s="116">
        <v>50</v>
      </c>
      <c r="L20" s="5" t="s">
        <v>3134</v>
      </c>
      <c r="M20" s="5" t="s">
        <v>3135</v>
      </c>
      <c r="N20" s="5" t="s">
        <v>3136</v>
      </c>
      <c r="O20" s="9" t="s">
        <v>3137</v>
      </c>
      <c r="P20" s="5" t="s">
        <v>3138</v>
      </c>
      <c r="Q20" s="5">
        <v>3533502</v>
      </c>
      <c r="R20" s="5" t="s">
        <v>3139</v>
      </c>
      <c r="S20" s="5" t="s">
        <v>445</v>
      </c>
      <c r="T20" s="11">
        <v>1</v>
      </c>
      <c r="U20" s="5" t="s">
        <v>2254</v>
      </c>
      <c r="V20" s="31" t="s">
        <v>2255</v>
      </c>
      <c r="W20" s="10">
        <v>45322</v>
      </c>
      <c r="X20" s="5" t="s">
        <v>67</v>
      </c>
      <c r="Y20" s="5" t="s">
        <v>2256</v>
      </c>
      <c r="Z20" s="65"/>
      <c r="AA20" s="5">
        <v>340</v>
      </c>
      <c r="AB20" s="9"/>
      <c r="AC20" s="9"/>
      <c r="AD20" s="9"/>
      <c r="AE20" s="9"/>
      <c r="AF20" s="9">
        <v>340</v>
      </c>
      <c r="AG20" s="9">
        <v>340</v>
      </c>
      <c r="AH20" s="9"/>
      <c r="AI20" s="9"/>
      <c r="AJ20" s="9"/>
      <c r="AK20" s="9"/>
      <c r="AL20" s="9"/>
      <c r="AM20" s="9"/>
      <c r="AN20" s="9"/>
      <c r="AO20" s="9">
        <v>3</v>
      </c>
      <c r="AP20" s="62">
        <v>340</v>
      </c>
      <c r="AQ20" s="11" t="s">
        <v>2965</v>
      </c>
      <c r="AR20" s="11" t="s">
        <v>3116</v>
      </c>
      <c r="AS20" s="11" t="s">
        <v>3140</v>
      </c>
      <c r="AT20" s="187" t="s">
        <v>3141</v>
      </c>
      <c r="AU20" s="5"/>
      <c r="AV20" s="5" t="s">
        <v>3118</v>
      </c>
      <c r="AW20" s="187" t="s">
        <v>3083</v>
      </c>
      <c r="AX20" s="5"/>
      <c r="AY20" s="5"/>
      <c r="AZ20" s="187" t="s">
        <v>3084</v>
      </c>
      <c r="BA20" s="10">
        <v>45643</v>
      </c>
      <c r="BB20" s="10"/>
      <c r="BC20" s="165">
        <f t="shared" si="1"/>
        <v>46008</v>
      </c>
      <c r="BD20" s="10">
        <v>45646</v>
      </c>
      <c r="BE20" s="10">
        <v>45674</v>
      </c>
      <c r="BF20" s="10">
        <v>45994</v>
      </c>
      <c r="BG20" s="5" t="s">
        <v>3142</v>
      </c>
      <c r="BH20" s="5" t="s">
        <v>2997</v>
      </c>
      <c r="BI20" s="189">
        <v>46090</v>
      </c>
      <c r="BJ20" s="190">
        <f t="shared" si="0"/>
        <v>10</v>
      </c>
      <c r="BK20" s="11" t="s">
        <v>3143</v>
      </c>
    </row>
    <row r="21" spans="2:63" s="114" customFormat="1" ht="51" x14ac:dyDescent="0.25">
      <c r="B21" s="5">
        <v>476</v>
      </c>
      <c r="C21" s="5" t="s">
        <v>2325</v>
      </c>
      <c r="D21" s="5" t="s">
        <v>51</v>
      </c>
      <c r="E21" s="188" t="s">
        <v>2326</v>
      </c>
      <c r="F21" s="191" t="s">
        <v>2327</v>
      </c>
      <c r="G21" s="11" t="s">
        <v>36</v>
      </c>
      <c r="H21" s="160">
        <v>50000</v>
      </c>
      <c r="I21" s="38">
        <v>7532.83</v>
      </c>
      <c r="J21" s="38">
        <f>H21-I21</f>
        <v>42467.17</v>
      </c>
      <c r="K21" s="115">
        <v>450</v>
      </c>
      <c r="L21" s="9" t="s">
        <v>3144</v>
      </c>
      <c r="M21" s="9" t="s">
        <v>3145</v>
      </c>
      <c r="N21" s="9" t="s">
        <v>2977</v>
      </c>
      <c r="O21" s="9" t="s">
        <v>3146</v>
      </c>
      <c r="P21" s="9" t="s">
        <v>3147</v>
      </c>
      <c r="Q21" s="5">
        <v>3525805</v>
      </c>
      <c r="R21" s="9" t="s">
        <v>3148</v>
      </c>
      <c r="S21" s="11" t="s">
        <v>223</v>
      </c>
      <c r="T21" s="11">
        <v>1</v>
      </c>
      <c r="U21" s="9" t="s">
        <v>2329</v>
      </c>
      <c r="V21" s="31" t="s">
        <v>3149</v>
      </c>
      <c r="W21" s="34">
        <v>45322</v>
      </c>
      <c r="X21" s="9" t="s">
        <v>57</v>
      </c>
      <c r="Y21" s="9"/>
      <c r="Z21" s="65"/>
      <c r="AA21" s="9">
        <v>340</v>
      </c>
      <c r="AB21" s="9"/>
      <c r="AC21" s="9"/>
      <c r="AD21" s="9"/>
      <c r="AE21" s="9"/>
      <c r="AF21" s="9">
        <v>340</v>
      </c>
      <c r="AG21" s="9">
        <v>340</v>
      </c>
      <c r="AH21" s="9"/>
      <c r="AI21" s="9"/>
      <c r="AJ21" s="9"/>
      <c r="AK21" s="9"/>
      <c r="AL21" s="9"/>
      <c r="AM21" s="65"/>
      <c r="AN21" s="65"/>
      <c r="AO21" s="9">
        <v>3</v>
      </c>
      <c r="AP21" s="62">
        <v>340</v>
      </c>
      <c r="AQ21" s="11" t="s">
        <v>2965</v>
      </c>
      <c r="AR21" s="11" t="s">
        <v>3150</v>
      </c>
      <c r="AS21" s="11" t="s">
        <v>3151</v>
      </c>
      <c r="AT21" s="187" t="s">
        <v>3152</v>
      </c>
      <c r="AU21" s="5"/>
      <c r="AV21" s="5" t="s">
        <v>2985</v>
      </c>
      <c r="AW21" s="187" t="s">
        <v>3096</v>
      </c>
      <c r="AX21" s="5"/>
      <c r="AY21" s="5"/>
      <c r="AZ21" s="187" t="s">
        <v>3153</v>
      </c>
      <c r="BA21" s="10">
        <v>45762</v>
      </c>
      <c r="BB21" s="10"/>
      <c r="BC21" s="10">
        <f t="shared" si="1"/>
        <v>46127</v>
      </c>
      <c r="BD21" s="10">
        <v>45770</v>
      </c>
      <c r="BE21" s="10">
        <v>45800</v>
      </c>
      <c r="BF21" s="5"/>
      <c r="BG21" s="39" t="s">
        <v>3154</v>
      </c>
      <c r="BH21" s="5" t="s">
        <v>3085</v>
      </c>
      <c r="BI21" s="189">
        <v>46087</v>
      </c>
      <c r="BJ21" s="190">
        <f t="shared" si="0"/>
        <v>13</v>
      </c>
      <c r="BK21" s="11" t="s">
        <v>3155</v>
      </c>
    </row>
    <row r="22" spans="2:63" s="114" customFormat="1" ht="38.25" x14ac:dyDescent="0.25">
      <c r="B22" s="5">
        <v>509</v>
      </c>
      <c r="C22" s="5" t="s">
        <v>2489</v>
      </c>
      <c r="D22" s="5" t="s">
        <v>51</v>
      </c>
      <c r="E22" s="188" t="s">
        <v>2482</v>
      </c>
      <c r="F22" s="188" t="s">
        <v>357</v>
      </c>
      <c r="G22" s="5" t="s">
        <v>62</v>
      </c>
      <c r="H22" s="160">
        <v>1882430</v>
      </c>
      <c r="I22" s="38">
        <v>1882430</v>
      </c>
      <c r="J22" s="38">
        <v>0</v>
      </c>
      <c r="K22" s="115">
        <v>1570</v>
      </c>
      <c r="L22" s="9" t="s">
        <v>3156</v>
      </c>
      <c r="M22" s="11" t="s">
        <v>3157</v>
      </c>
      <c r="N22" s="9" t="s">
        <v>3158</v>
      </c>
      <c r="O22" s="9" t="s">
        <v>3159</v>
      </c>
      <c r="P22" s="9" t="s">
        <v>3160</v>
      </c>
      <c r="Q22" s="5">
        <v>3552205</v>
      </c>
      <c r="R22" s="9" t="s">
        <v>3161</v>
      </c>
      <c r="S22" s="11" t="s">
        <v>391</v>
      </c>
      <c r="T22" s="11">
        <v>1</v>
      </c>
      <c r="U22" s="5" t="s">
        <v>2490</v>
      </c>
      <c r="V22" s="31" t="s">
        <v>3162</v>
      </c>
      <c r="W22" s="34">
        <v>45322</v>
      </c>
      <c r="X22" s="9" t="s">
        <v>57</v>
      </c>
      <c r="Y22" s="11" t="s">
        <v>2491</v>
      </c>
      <c r="Z22" s="9"/>
      <c r="AA22" s="9">
        <v>340</v>
      </c>
      <c r="AB22" s="9"/>
      <c r="AC22" s="9"/>
      <c r="AD22" s="9"/>
      <c r="AE22" s="9"/>
      <c r="AF22" s="9">
        <v>340</v>
      </c>
      <c r="AG22" s="9">
        <v>340</v>
      </c>
      <c r="AH22" s="9"/>
      <c r="AI22" s="9"/>
      <c r="AJ22" s="9"/>
      <c r="AK22" s="9"/>
      <c r="AL22" s="9"/>
      <c r="AM22" s="65"/>
      <c r="AN22" s="65"/>
      <c r="AO22" s="9">
        <v>3</v>
      </c>
      <c r="AP22" s="62">
        <v>340</v>
      </c>
      <c r="AQ22" s="11" t="s">
        <v>2965</v>
      </c>
      <c r="AR22" s="11" t="s">
        <v>3163</v>
      </c>
      <c r="AS22" s="11" t="s">
        <v>3164</v>
      </c>
      <c r="AT22" s="187" t="s">
        <v>3165</v>
      </c>
      <c r="AU22" s="5"/>
      <c r="AV22" s="5" t="s">
        <v>3034</v>
      </c>
      <c r="AW22" s="187" t="s">
        <v>2986</v>
      </c>
      <c r="AX22" s="5" t="s">
        <v>2971</v>
      </c>
      <c r="AY22" s="5"/>
      <c r="AZ22" s="187" t="s">
        <v>2987</v>
      </c>
      <c r="BA22" s="10">
        <v>45826</v>
      </c>
      <c r="BB22" s="10"/>
      <c r="BC22" s="10">
        <f t="shared" si="1"/>
        <v>46191</v>
      </c>
      <c r="BD22" s="10">
        <v>45833</v>
      </c>
      <c r="BE22" s="10">
        <v>45839</v>
      </c>
      <c r="BF22" s="5"/>
      <c r="BG22" s="5" t="s">
        <v>3038</v>
      </c>
      <c r="BH22" s="5" t="s">
        <v>3039</v>
      </c>
      <c r="BI22" s="189">
        <v>45840</v>
      </c>
      <c r="BJ22" s="193">
        <f t="shared" si="0"/>
        <v>260</v>
      </c>
      <c r="BK22" s="11" t="s">
        <v>3166</v>
      </c>
    </row>
    <row r="23" spans="2:63" s="114" customFormat="1" ht="51" hidden="1" x14ac:dyDescent="0.25">
      <c r="B23" s="5">
        <v>541</v>
      </c>
      <c r="C23" s="5" t="s">
        <v>2630</v>
      </c>
      <c r="D23" s="5" t="s">
        <v>33</v>
      </c>
      <c r="E23" s="5" t="s">
        <v>2625</v>
      </c>
      <c r="F23" s="5" t="s">
        <v>2631</v>
      </c>
      <c r="G23" s="5" t="s">
        <v>36</v>
      </c>
      <c r="H23" s="17">
        <v>101246.7</v>
      </c>
      <c r="I23" s="17">
        <v>101246.7</v>
      </c>
      <c r="J23" s="17">
        <v>0</v>
      </c>
      <c r="K23" s="116">
        <v>22</v>
      </c>
      <c r="L23" s="5" t="s">
        <v>3167</v>
      </c>
      <c r="M23" s="5" t="s">
        <v>3168</v>
      </c>
      <c r="N23" s="5" t="s">
        <v>2977</v>
      </c>
      <c r="O23" s="5" t="s">
        <v>3169</v>
      </c>
      <c r="P23" s="5" t="s">
        <v>3170</v>
      </c>
      <c r="Q23" s="5">
        <v>3513405</v>
      </c>
      <c r="R23" s="5" t="s">
        <v>3171</v>
      </c>
      <c r="S23" s="5" t="s">
        <v>95</v>
      </c>
      <c r="T23" s="11">
        <v>1</v>
      </c>
      <c r="U23" s="5" t="s">
        <v>2628</v>
      </c>
      <c r="V23" s="31" t="s">
        <v>2629</v>
      </c>
      <c r="W23" s="10">
        <v>45322</v>
      </c>
      <c r="X23" s="5" t="s">
        <v>67</v>
      </c>
      <c r="Y23" s="5" t="s">
        <v>68</v>
      </c>
      <c r="Z23" s="5"/>
      <c r="AA23" s="5">
        <v>340</v>
      </c>
      <c r="AB23" s="9"/>
      <c r="AC23" s="9"/>
      <c r="AD23" s="9"/>
      <c r="AE23" s="9"/>
      <c r="AF23" s="9">
        <v>340</v>
      </c>
      <c r="AG23" s="9">
        <v>340</v>
      </c>
      <c r="AH23" s="9"/>
      <c r="AI23" s="9"/>
      <c r="AJ23" s="9"/>
      <c r="AK23" s="9"/>
      <c r="AL23" s="9"/>
      <c r="AM23" s="9"/>
      <c r="AN23" s="9"/>
      <c r="AO23" s="9">
        <v>3</v>
      </c>
      <c r="AP23" s="62">
        <v>340</v>
      </c>
      <c r="AQ23" s="11" t="s">
        <v>3004</v>
      </c>
      <c r="AR23" s="11" t="s">
        <v>3116</v>
      </c>
      <c r="AS23" s="11" t="s">
        <v>3172</v>
      </c>
      <c r="AT23" s="5" t="s">
        <v>3173</v>
      </c>
      <c r="AU23" s="5"/>
      <c r="AV23" s="5" t="s">
        <v>3118</v>
      </c>
      <c r="AW23" s="5" t="s">
        <v>3009</v>
      </c>
      <c r="AX23" s="5"/>
      <c r="AY23" s="5"/>
      <c r="AZ23" s="5" t="s">
        <v>2973</v>
      </c>
      <c r="BA23" s="5"/>
      <c r="BB23" s="5"/>
      <c r="BC23" s="5"/>
      <c r="BD23" s="5"/>
      <c r="BE23" s="5"/>
      <c r="BF23" s="5"/>
      <c r="BG23" s="5"/>
      <c r="BH23" s="5"/>
      <c r="BI23" s="10">
        <v>45628</v>
      </c>
      <c r="BJ23" s="113">
        <f t="shared" si="0"/>
        <v>472</v>
      </c>
      <c r="BK23" s="11" t="s">
        <v>3174</v>
      </c>
    </row>
    <row r="24" spans="2:63" s="114" customFormat="1" ht="76.5" x14ac:dyDescent="0.25">
      <c r="B24" s="5">
        <v>562</v>
      </c>
      <c r="C24" s="5" t="s">
        <v>2698</v>
      </c>
      <c r="D24" s="5" t="s">
        <v>33</v>
      </c>
      <c r="E24" s="187" t="s">
        <v>2693</v>
      </c>
      <c r="F24" s="187" t="s">
        <v>2699</v>
      </c>
      <c r="G24" s="5" t="s">
        <v>107</v>
      </c>
      <c r="H24" s="161">
        <v>261889.72</v>
      </c>
      <c r="I24" s="17">
        <v>198114.65</v>
      </c>
      <c r="J24" s="17">
        <v>63775.07</v>
      </c>
      <c r="K24" s="116">
        <v>30</v>
      </c>
      <c r="L24" s="5" t="s">
        <v>3175</v>
      </c>
      <c r="M24" s="5" t="s">
        <v>3176</v>
      </c>
      <c r="N24" s="5" t="s">
        <v>3177</v>
      </c>
      <c r="O24" s="5" t="s">
        <v>3178</v>
      </c>
      <c r="P24" s="5" t="s">
        <v>3179</v>
      </c>
      <c r="Q24" s="5">
        <v>3509502</v>
      </c>
      <c r="R24" s="5" t="s">
        <v>3180</v>
      </c>
      <c r="S24" s="5" t="s">
        <v>254</v>
      </c>
      <c r="T24" s="11">
        <v>1</v>
      </c>
      <c r="U24" s="5" t="s">
        <v>2695</v>
      </c>
      <c r="V24" s="31" t="s">
        <v>2696</v>
      </c>
      <c r="W24" s="10">
        <v>45322</v>
      </c>
      <c r="X24" s="5" t="s">
        <v>67</v>
      </c>
      <c r="Y24" s="5" t="s">
        <v>2697</v>
      </c>
      <c r="Z24" s="9"/>
      <c r="AA24" s="5">
        <v>340</v>
      </c>
      <c r="AB24" s="9"/>
      <c r="AC24" s="9"/>
      <c r="AD24" s="9"/>
      <c r="AE24" s="9"/>
      <c r="AF24" s="9">
        <v>340</v>
      </c>
      <c r="AG24" s="9">
        <v>340</v>
      </c>
      <c r="AH24" s="9"/>
      <c r="AI24" s="9"/>
      <c r="AJ24" s="9"/>
      <c r="AK24" s="9"/>
      <c r="AL24" s="9"/>
      <c r="AM24" s="9"/>
      <c r="AN24" s="9"/>
      <c r="AO24" s="9">
        <v>3</v>
      </c>
      <c r="AP24" s="62">
        <v>340</v>
      </c>
      <c r="AQ24" s="11" t="s">
        <v>2965</v>
      </c>
      <c r="AR24" s="11" t="s">
        <v>3181</v>
      </c>
      <c r="AS24" s="11" t="s">
        <v>3182</v>
      </c>
      <c r="AT24" s="187" t="s">
        <v>3183</v>
      </c>
      <c r="AU24" s="5"/>
      <c r="AV24" s="5"/>
      <c r="AW24" s="187" t="s">
        <v>3083</v>
      </c>
      <c r="AX24" s="5"/>
      <c r="AY24" s="5"/>
      <c r="AZ24" s="187" t="s">
        <v>3084</v>
      </c>
      <c r="BA24" s="10">
        <v>45840</v>
      </c>
      <c r="BB24" s="10"/>
      <c r="BC24" s="10">
        <f>EDATE(BA24,12)</f>
        <v>46205</v>
      </c>
      <c r="BD24" s="10">
        <v>45841</v>
      </c>
      <c r="BE24" s="10">
        <v>45867</v>
      </c>
      <c r="BF24" s="5"/>
      <c r="BG24" s="5" t="s">
        <v>3119</v>
      </c>
      <c r="BH24" s="5" t="s">
        <v>3039</v>
      </c>
      <c r="BI24" s="189">
        <v>46084</v>
      </c>
      <c r="BJ24" s="190">
        <f t="shared" si="0"/>
        <v>16</v>
      </c>
      <c r="BK24" s="11" t="s">
        <v>3184</v>
      </c>
    </row>
    <row r="25" spans="2:63" s="114" customFormat="1" ht="89.25" x14ac:dyDescent="0.25">
      <c r="B25" s="5">
        <v>243</v>
      </c>
      <c r="C25" s="5" t="s">
        <v>1250</v>
      </c>
      <c r="D25" s="5" t="s">
        <v>51</v>
      </c>
      <c r="E25" s="188" t="s">
        <v>1251</v>
      </c>
      <c r="F25" s="191" t="s">
        <v>1252</v>
      </c>
      <c r="G25" s="5" t="s">
        <v>36</v>
      </c>
      <c r="H25" s="160">
        <v>100000</v>
      </c>
      <c r="I25" s="38">
        <v>10086.4</v>
      </c>
      <c r="J25" s="38">
        <v>89913.600000000006</v>
      </c>
      <c r="K25" s="115">
        <v>80</v>
      </c>
      <c r="L25" s="9" t="s">
        <v>3185</v>
      </c>
      <c r="M25" s="9" t="s">
        <v>3186</v>
      </c>
      <c r="N25" s="9" t="s">
        <v>2977</v>
      </c>
      <c r="O25" s="9" t="s">
        <v>3187</v>
      </c>
      <c r="P25" s="9" t="s">
        <v>3188</v>
      </c>
      <c r="Q25" s="5">
        <v>3501004</v>
      </c>
      <c r="R25" s="9" t="s">
        <v>3189</v>
      </c>
      <c r="S25" s="11" t="s">
        <v>154</v>
      </c>
      <c r="T25" s="11">
        <v>1</v>
      </c>
      <c r="U25" s="9" t="s">
        <v>1254</v>
      </c>
      <c r="V25" s="31" t="s">
        <v>2912</v>
      </c>
      <c r="W25" s="34">
        <v>45320</v>
      </c>
      <c r="X25" s="9" t="s">
        <v>57</v>
      </c>
      <c r="Y25" s="11" t="s">
        <v>89</v>
      </c>
      <c r="Z25" s="11" t="s">
        <v>3190</v>
      </c>
      <c r="AA25" s="9">
        <v>337</v>
      </c>
      <c r="AB25" s="9"/>
      <c r="AC25" s="9"/>
      <c r="AD25" s="9"/>
      <c r="AE25" s="9"/>
      <c r="AF25" s="9">
        <v>340</v>
      </c>
      <c r="AG25" s="9">
        <v>340</v>
      </c>
      <c r="AH25" s="9"/>
      <c r="AI25" s="9"/>
      <c r="AJ25" s="9"/>
      <c r="AK25" s="9"/>
      <c r="AL25" s="9"/>
      <c r="AM25" s="65"/>
      <c r="AN25" s="65"/>
      <c r="AO25" s="9">
        <v>3</v>
      </c>
      <c r="AP25" s="62">
        <v>339</v>
      </c>
      <c r="AQ25" s="11" t="s">
        <v>2965</v>
      </c>
      <c r="AR25" s="11" t="s">
        <v>3191</v>
      </c>
      <c r="AS25" s="9" t="s">
        <v>3192</v>
      </c>
      <c r="AT25" s="187" t="s">
        <v>3193</v>
      </c>
      <c r="AU25" s="5"/>
      <c r="AV25" s="5" t="s">
        <v>3034</v>
      </c>
      <c r="AW25" s="187" t="s">
        <v>3131</v>
      </c>
      <c r="AX25" s="5"/>
      <c r="AY25" s="5"/>
      <c r="AZ25" s="187" t="s">
        <v>3153</v>
      </c>
      <c r="BA25" s="10">
        <v>45764</v>
      </c>
      <c r="BB25" s="10"/>
      <c r="BC25" s="10">
        <f>EDATE(BA25,12)</f>
        <v>46129</v>
      </c>
      <c r="BD25" s="10">
        <v>45771</v>
      </c>
      <c r="BE25" s="10">
        <v>45800</v>
      </c>
      <c r="BF25" s="5"/>
      <c r="BG25" s="39" t="s">
        <v>2996</v>
      </c>
      <c r="BH25" s="5" t="s">
        <v>3085</v>
      </c>
      <c r="BI25" s="189">
        <v>46077</v>
      </c>
      <c r="BJ25" s="190">
        <f t="shared" si="0"/>
        <v>23</v>
      </c>
      <c r="BK25" s="11"/>
    </row>
    <row r="26" spans="2:63" s="114" customFormat="1" ht="25.5" x14ac:dyDescent="0.25">
      <c r="B26" s="5">
        <v>434</v>
      </c>
      <c r="C26" s="5" t="s">
        <v>2135</v>
      </c>
      <c r="D26" s="5" t="s">
        <v>33</v>
      </c>
      <c r="E26" s="187" t="s">
        <v>2136</v>
      </c>
      <c r="F26" s="187" t="s">
        <v>2137</v>
      </c>
      <c r="G26" s="5" t="s">
        <v>336</v>
      </c>
      <c r="H26" s="161">
        <v>306290</v>
      </c>
      <c r="I26" s="17">
        <f>H26-J26</f>
        <v>281510</v>
      </c>
      <c r="J26" s="17">
        <v>24780</v>
      </c>
      <c r="K26" s="116">
        <v>984</v>
      </c>
      <c r="L26" s="5" t="s">
        <v>3194</v>
      </c>
      <c r="M26" s="5" t="s">
        <v>3195</v>
      </c>
      <c r="N26" s="9" t="s">
        <v>3196</v>
      </c>
      <c r="O26" s="5" t="s">
        <v>3197</v>
      </c>
      <c r="P26" s="5" t="s">
        <v>3198</v>
      </c>
      <c r="Q26" s="5">
        <v>3504107</v>
      </c>
      <c r="R26" s="9" t="s">
        <v>3199</v>
      </c>
      <c r="S26" s="5" t="s">
        <v>254</v>
      </c>
      <c r="T26" s="11">
        <v>1</v>
      </c>
      <c r="U26" s="5" t="s">
        <v>2139</v>
      </c>
      <c r="V26" s="31" t="s">
        <v>2140</v>
      </c>
      <c r="W26" s="10">
        <v>45322</v>
      </c>
      <c r="X26" s="5" t="s">
        <v>67</v>
      </c>
      <c r="Y26" s="9"/>
      <c r="Z26" s="65"/>
      <c r="AA26" s="5">
        <v>336</v>
      </c>
      <c r="AB26" s="9"/>
      <c r="AC26" s="9"/>
      <c r="AD26" s="9"/>
      <c r="AE26" s="9"/>
      <c r="AF26" s="9">
        <v>340</v>
      </c>
      <c r="AG26" s="9">
        <v>340</v>
      </c>
      <c r="AH26" s="9"/>
      <c r="AI26" s="9"/>
      <c r="AJ26" s="9"/>
      <c r="AK26" s="9"/>
      <c r="AL26" s="9"/>
      <c r="AM26" s="9"/>
      <c r="AN26" s="9"/>
      <c r="AO26" s="9">
        <v>3</v>
      </c>
      <c r="AP26" s="62">
        <v>338.66666666666669</v>
      </c>
      <c r="AQ26" s="11" t="s">
        <v>2965</v>
      </c>
      <c r="AR26" s="5" t="s">
        <v>3116</v>
      </c>
      <c r="AS26" s="5" t="s">
        <v>3200</v>
      </c>
      <c r="AT26" s="187" t="s">
        <v>3201</v>
      </c>
      <c r="AU26" s="5"/>
      <c r="AV26" s="5" t="s">
        <v>3118</v>
      </c>
      <c r="AW26" s="187" t="s">
        <v>3202</v>
      </c>
      <c r="AX26" s="5"/>
      <c r="AY26" s="5"/>
      <c r="AZ26" s="187" t="s">
        <v>3203</v>
      </c>
      <c r="BA26" s="5"/>
      <c r="BB26" s="5"/>
      <c r="BC26" s="10"/>
      <c r="BD26" s="5"/>
      <c r="BE26" s="5"/>
      <c r="BF26" s="5"/>
      <c r="BG26" s="5"/>
      <c r="BH26" s="5"/>
      <c r="BI26" s="189">
        <v>46091</v>
      </c>
      <c r="BJ26" s="190">
        <f t="shared" si="0"/>
        <v>9</v>
      </c>
      <c r="BK26" s="11"/>
    </row>
    <row r="27" spans="2:63" s="114" customFormat="1" ht="51" x14ac:dyDescent="0.25">
      <c r="B27" s="5">
        <v>565</v>
      </c>
      <c r="C27" s="5" t="s">
        <v>2708</v>
      </c>
      <c r="D27" s="5" t="s">
        <v>51</v>
      </c>
      <c r="E27" s="187" t="s">
        <v>2709</v>
      </c>
      <c r="F27" s="187" t="s">
        <v>1281</v>
      </c>
      <c r="G27" s="5" t="s">
        <v>36</v>
      </c>
      <c r="H27" s="160">
        <v>40275</v>
      </c>
      <c r="I27" s="38">
        <v>15000</v>
      </c>
      <c r="J27" s="38">
        <f>H27-I27</f>
        <v>25275</v>
      </c>
      <c r="K27" s="115">
        <v>70</v>
      </c>
      <c r="L27" s="5" t="s">
        <v>3204</v>
      </c>
      <c r="M27" s="5" t="s">
        <v>3205</v>
      </c>
      <c r="N27" s="5" t="s">
        <v>2977</v>
      </c>
      <c r="O27" s="5" t="s">
        <v>3206</v>
      </c>
      <c r="P27" s="9" t="s">
        <v>3207</v>
      </c>
      <c r="Q27" s="5">
        <v>3501301</v>
      </c>
      <c r="R27" s="9" t="s">
        <v>3208</v>
      </c>
      <c r="S27" s="11" t="s">
        <v>64</v>
      </c>
      <c r="T27" s="11">
        <v>1</v>
      </c>
      <c r="U27" s="9" t="s">
        <v>2710</v>
      </c>
      <c r="V27" s="31" t="s">
        <v>2711</v>
      </c>
      <c r="W27" s="34">
        <v>45322</v>
      </c>
      <c r="X27" s="9" t="s">
        <v>57</v>
      </c>
      <c r="Y27" s="11" t="s">
        <v>118</v>
      </c>
      <c r="Z27" s="9"/>
      <c r="AA27" s="9">
        <v>334</v>
      </c>
      <c r="AB27" s="9"/>
      <c r="AC27" s="9"/>
      <c r="AD27" s="9"/>
      <c r="AE27" s="9"/>
      <c r="AF27" s="9"/>
      <c r="AG27" s="9"/>
      <c r="AH27" s="9">
        <v>340</v>
      </c>
      <c r="AI27" s="9">
        <v>340</v>
      </c>
      <c r="AJ27" s="9"/>
      <c r="AK27" s="9"/>
      <c r="AL27" s="9"/>
      <c r="AM27" s="65"/>
      <c r="AN27" s="65"/>
      <c r="AO27" s="9">
        <v>3</v>
      </c>
      <c r="AP27" s="62">
        <v>338</v>
      </c>
      <c r="AQ27" s="11" t="s">
        <v>2965</v>
      </c>
      <c r="AR27" s="11" t="s">
        <v>3129</v>
      </c>
      <c r="AS27" s="11" t="s">
        <v>3209</v>
      </c>
      <c r="AT27" s="187" t="s">
        <v>3210</v>
      </c>
      <c r="AU27" s="5"/>
      <c r="AV27" s="5" t="s">
        <v>3060</v>
      </c>
      <c r="AW27" s="187" t="s">
        <v>3131</v>
      </c>
      <c r="AX27" s="5"/>
      <c r="AY27" s="5"/>
      <c r="AZ27" s="187" t="s">
        <v>3097</v>
      </c>
      <c r="BA27" s="10">
        <v>45638</v>
      </c>
      <c r="BB27" s="10" t="s">
        <v>3211</v>
      </c>
      <c r="BC27" s="165">
        <f t="shared" ref="BC27:BC32" si="2">EDATE(BA27,12)</f>
        <v>46003</v>
      </c>
      <c r="BD27" s="10">
        <v>45642</v>
      </c>
      <c r="BE27" s="10">
        <v>45733</v>
      </c>
      <c r="BF27" s="10"/>
      <c r="BG27" s="5" t="s">
        <v>2996</v>
      </c>
      <c r="BH27" s="5" t="s">
        <v>2997</v>
      </c>
      <c r="BI27" s="189">
        <v>46092</v>
      </c>
      <c r="BJ27" s="190">
        <f t="shared" si="0"/>
        <v>8</v>
      </c>
      <c r="BK27" s="175" t="s">
        <v>3212</v>
      </c>
    </row>
    <row r="28" spans="2:63" s="114" customFormat="1" ht="45" x14ac:dyDescent="0.25">
      <c r="B28" s="5">
        <v>185</v>
      </c>
      <c r="C28" s="5" t="s">
        <v>990</v>
      </c>
      <c r="D28" s="5" t="s">
        <v>51</v>
      </c>
      <c r="E28" s="191" t="s">
        <v>991</v>
      </c>
      <c r="F28" s="191" t="s">
        <v>992</v>
      </c>
      <c r="G28" s="11" t="s">
        <v>107</v>
      </c>
      <c r="H28" s="160">
        <f>I28+J28</f>
        <v>515262.2</v>
      </c>
      <c r="I28" s="38">
        <v>512664.2</v>
      </c>
      <c r="J28" s="38">
        <v>2598</v>
      </c>
      <c r="K28" s="115">
        <v>500</v>
      </c>
      <c r="L28" s="5" t="s">
        <v>3213</v>
      </c>
      <c r="M28" s="11" t="s">
        <v>3214</v>
      </c>
      <c r="N28" s="5" t="s">
        <v>2977</v>
      </c>
      <c r="O28" s="11" t="s">
        <v>3215</v>
      </c>
      <c r="P28" s="9" t="s">
        <v>3216</v>
      </c>
      <c r="Q28" s="5">
        <v>3548708</v>
      </c>
      <c r="R28" s="9" t="s">
        <v>3217</v>
      </c>
      <c r="S28" s="11" t="s">
        <v>235</v>
      </c>
      <c r="T28" s="11">
        <v>1</v>
      </c>
      <c r="U28" s="9" t="s">
        <v>994</v>
      </c>
      <c r="V28" s="52" t="s">
        <v>3218</v>
      </c>
      <c r="W28" s="34">
        <v>45315</v>
      </c>
      <c r="X28" s="9" t="s">
        <v>57</v>
      </c>
      <c r="Y28" s="11" t="s">
        <v>518</v>
      </c>
      <c r="Z28" s="9"/>
      <c r="AA28" s="9">
        <v>338</v>
      </c>
      <c r="AB28" s="9"/>
      <c r="AC28" s="9"/>
      <c r="AD28" s="9"/>
      <c r="AE28" s="9"/>
      <c r="AF28" s="9">
        <v>340</v>
      </c>
      <c r="AG28" s="9">
        <v>335</v>
      </c>
      <c r="AH28" s="9"/>
      <c r="AI28" s="9"/>
      <c r="AJ28" s="9"/>
      <c r="AK28" s="9"/>
      <c r="AL28" s="9"/>
      <c r="AM28" s="65"/>
      <c r="AN28" s="65"/>
      <c r="AO28" s="9">
        <v>3</v>
      </c>
      <c r="AP28" s="62">
        <v>337.66666666666669</v>
      </c>
      <c r="AQ28" s="11" t="s">
        <v>2965</v>
      </c>
      <c r="AR28" s="11" t="s">
        <v>3219</v>
      </c>
      <c r="AS28" s="11" t="s">
        <v>3220</v>
      </c>
      <c r="AT28" s="187" t="s">
        <v>3221</v>
      </c>
      <c r="AU28" s="5"/>
      <c r="AV28" s="5" t="s">
        <v>45</v>
      </c>
      <c r="AW28" s="187" t="s">
        <v>3009</v>
      </c>
      <c r="AX28" s="5"/>
      <c r="AY28" s="5"/>
      <c r="AZ28" s="187" t="s">
        <v>3153</v>
      </c>
      <c r="BA28" s="10">
        <v>45740</v>
      </c>
      <c r="BB28" s="10"/>
      <c r="BC28" s="154">
        <f t="shared" si="2"/>
        <v>46105</v>
      </c>
      <c r="BD28" s="5" t="s">
        <v>3222</v>
      </c>
      <c r="BE28" s="10">
        <v>45800</v>
      </c>
      <c r="BF28" s="5"/>
      <c r="BG28" s="39" t="s">
        <v>3154</v>
      </c>
      <c r="BH28" s="5" t="s">
        <v>3085</v>
      </c>
      <c r="BI28" s="189">
        <v>46078</v>
      </c>
      <c r="BJ28" s="190">
        <f t="shared" si="0"/>
        <v>22</v>
      </c>
      <c r="BK28" s="11" t="s">
        <v>3223</v>
      </c>
    </row>
    <row r="29" spans="2:63" s="114" customFormat="1" ht="38.25" x14ac:dyDescent="0.25">
      <c r="B29" s="5">
        <v>455</v>
      </c>
      <c r="C29" s="5" t="s">
        <v>2224</v>
      </c>
      <c r="D29" s="5" t="s">
        <v>33</v>
      </c>
      <c r="E29" s="187" t="s">
        <v>2225</v>
      </c>
      <c r="F29" s="187" t="s">
        <v>2226</v>
      </c>
      <c r="G29" s="5" t="s">
        <v>107</v>
      </c>
      <c r="H29" s="161">
        <v>821100</v>
      </c>
      <c r="I29" s="17">
        <v>786683.5</v>
      </c>
      <c r="J29" s="17">
        <v>34416.5</v>
      </c>
      <c r="K29" s="116">
        <v>200</v>
      </c>
      <c r="L29" s="5" t="s">
        <v>3224</v>
      </c>
      <c r="M29" s="11" t="s">
        <v>3225</v>
      </c>
      <c r="N29" s="5" t="s">
        <v>3226</v>
      </c>
      <c r="O29" s="11" t="s">
        <v>3227</v>
      </c>
      <c r="P29" s="5" t="s">
        <v>3228</v>
      </c>
      <c r="Q29" s="5">
        <v>3513009</v>
      </c>
      <c r="R29" s="9" t="s">
        <v>3229</v>
      </c>
      <c r="S29" s="5" t="s">
        <v>38</v>
      </c>
      <c r="T29" s="11">
        <v>1</v>
      </c>
      <c r="U29" s="5" t="s">
        <v>2227</v>
      </c>
      <c r="V29" s="9" t="s">
        <v>2228</v>
      </c>
      <c r="W29" s="10">
        <v>45322</v>
      </c>
      <c r="X29" s="5" t="s">
        <v>41</v>
      </c>
      <c r="Y29" s="9"/>
      <c r="Z29" s="65"/>
      <c r="AA29" s="5">
        <v>332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>
        <v>340</v>
      </c>
      <c r="AM29" s="9"/>
      <c r="AN29" s="9">
        <v>340</v>
      </c>
      <c r="AO29" s="9">
        <v>3</v>
      </c>
      <c r="AP29" s="62">
        <v>337.33333333333331</v>
      </c>
      <c r="AQ29" s="11" t="s">
        <v>2965</v>
      </c>
      <c r="AR29" s="11" t="s">
        <v>3230</v>
      </c>
      <c r="AS29" s="65"/>
      <c r="AT29" s="187" t="s">
        <v>3231</v>
      </c>
      <c r="AU29" s="5"/>
      <c r="AV29" s="5"/>
      <c r="AW29" s="187" t="s">
        <v>3232</v>
      </c>
      <c r="AX29" s="5"/>
      <c r="AY29" s="5"/>
      <c r="AZ29" s="187" t="s">
        <v>2987</v>
      </c>
      <c r="BA29" s="10">
        <v>45874</v>
      </c>
      <c r="BB29" s="10"/>
      <c r="BC29" s="10">
        <f t="shared" si="2"/>
        <v>46239</v>
      </c>
      <c r="BD29" s="10">
        <v>45875</v>
      </c>
      <c r="BE29" s="10">
        <v>45881</v>
      </c>
      <c r="BF29" s="5"/>
      <c r="BG29" s="5" t="s">
        <v>3119</v>
      </c>
      <c r="BH29" s="5" t="s">
        <v>3039</v>
      </c>
      <c r="BI29" s="189">
        <v>45939</v>
      </c>
      <c r="BJ29" s="190">
        <f t="shared" si="0"/>
        <v>161</v>
      </c>
      <c r="BK29" s="11" t="s">
        <v>3166</v>
      </c>
    </row>
    <row r="30" spans="2:63" s="114" customFormat="1" ht="51" x14ac:dyDescent="0.25">
      <c r="B30" s="5">
        <v>164</v>
      </c>
      <c r="C30" s="5" t="s">
        <v>864</v>
      </c>
      <c r="D30" s="5" t="s">
        <v>33</v>
      </c>
      <c r="E30" s="187" t="s">
        <v>865</v>
      </c>
      <c r="F30" s="187" t="s">
        <v>866</v>
      </c>
      <c r="G30" s="5" t="s">
        <v>36</v>
      </c>
      <c r="H30" s="160">
        <v>90060.26</v>
      </c>
      <c r="I30" s="38">
        <v>0</v>
      </c>
      <c r="J30" s="38">
        <v>90060.26</v>
      </c>
      <c r="K30" s="115"/>
      <c r="L30" s="5" t="s">
        <v>3233</v>
      </c>
      <c r="M30" s="11" t="s">
        <v>3234</v>
      </c>
      <c r="N30" s="5" t="s">
        <v>3235</v>
      </c>
      <c r="O30" s="11" t="s">
        <v>3236</v>
      </c>
      <c r="P30" s="5" t="s">
        <v>3237</v>
      </c>
      <c r="Q30" s="5">
        <v>3528007</v>
      </c>
      <c r="R30" s="9" t="s">
        <v>3238</v>
      </c>
      <c r="S30" s="9" t="s">
        <v>115</v>
      </c>
      <c r="T30" s="11">
        <v>1</v>
      </c>
      <c r="U30" s="11" t="s">
        <v>868</v>
      </c>
      <c r="V30" s="31" t="s">
        <v>869</v>
      </c>
      <c r="W30" s="10">
        <v>45310</v>
      </c>
      <c r="X30" s="5" t="s">
        <v>41</v>
      </c>
      <c r="Y30" s="5"/>
      <c r="Z30" s="5"/>
      <c r="AA30" s="9">
        <v>340</v>
      </c>
      <c r="AB30" s="9"/>
      <c r="AC30" s="9"/>
      <c r="AD30" s="9"/>
      <c r="AE30" s="9"/>
      <c r="AF30" s="9"/>
      <c r="AG30" s="9"/>
      <c r="AH30" s="9"/>
      <c r="AI30" s="9"/>
      <c r="AJ30" s="9">
        <v>340</v>
      </c>
      <c r="AK30" s="9"/>
      <c r="AL30" s="9"/>
      <c r="AM30" s="9">
        <v>328</v>
      </c>
      <c r="AN30" s="9"/>
      <c r="AO30" s="9">
        <v>3</v>
      </c>
      <c r="AP30" s="62">
        <v>336</v>
      </c>
      <c r="AQ30" s="11" t="s">
        <v>2965</v>
      </c>
      <c r="AR30" s="5" t="s">
        <v>3005</v>
      </c>
      <c r="AS30" s="5" t="s">
        <v>3239</v>
      </c>
      <c r="AT30" s="187" t="s">
        <v>3240</v>
      </c>
      <c r="AU30" s="5"/>
      <c r="AV30" s="5" t="s">
        <v>3008</v>
      </c>
      <c r="AW30" s="187" t="s">
        <v>3083</v>
      </c>
      <c r="AX30" s="5"/>
      <c r="AY30" s="5"/>
      <c r="AZ30" s="187" t="s">
        <v>3084</v>
      </c>
      <c r="BA30" s="10">
        <v>45643</v>
      </c>
      <c r="BB30" s="10"/>
      <c r="BC30" s="165">
        <f t="shared" si="2"/>
        <v>46008</v>
      </c>
      <c r="BD30" s="10">
        <v>45646</v>
      </c>
      <c r="BE30" s="10">
        <v>45674</v>
      </c>
      <c r="BF30" s="5"/>
      <c r="BG30" s="5" t="s">
        <v>3132</v>
      </c>
      <c r="BH30" s="5" t="s">
        <v>2997</v>
      </c>
      <c r="BI30" s="189">
        <v>46056</v>
      </c>
      <c r="BJ30" s="190">
        <f t="shared" si="0"/>
        <v>44</v>
      </c>
      <c r="BK30" s="11" t="s">
        <v>3241</v>
      </c>
    </row>
    <row r="31" spans="2:63" s="114" customFormat="1" ht="51" x14ac:dyDescent="0.25">
      <c r="B31" s="5">
        <v>295</v>
      </c>
      <c r="C31" s="5" t="s">
        <v>1511</v>
      </c>
      <c r="D31" s="5" t="s">
        <v>33</v>
      </c>
      <c r="E31" s="187" t="s">
        <v>1512</v>
      </c>
      <c r="F31" s="187" t="s">
        <v>1513</v>
      </c>
      <c r="G31" s="5" t="s">
        <v>36</v>
      </c>
      <c r="H31" s="161">
        <v>85411.67</v>
      </c>
      <c r="I31" s="17">
        <v>0</v>
      </c>
      <c r="J31" s="17">
        <v>85411.67</v>
      </c>
      <c r="K31" s="116">
        <v>40</v>
      </c>
      <c r="L31" s="5" t="s">
        <v>3242</v>
      </c>
      <c r="M31" s="11" t="s">
        <v>3243</v>
      </c>
      <c r="N31" s="5" t="s">
        <v>3244</v>
      </c>
      <c r="O31" s="5" t="s">
        <v>3245</v>
      </c>
      <c r="P31" s="5" t="s">
        <v>3246</v>
      </c>
      <c r="Q31" s="5">
        <v>3508504</v>
      </c>
      <c r="R31" s="9" t="s">
        <v>3247</v>
      </c>
      <c r="S31" s="5" t="s">
        <v>95</v>
      </c>
      <c r="T31" s="11">
        <v>1</v>
      </c>
      <c r="U31" s="5" t="s">
        <v>1515</v>
      </c>
      <c r="V31" s="31" t="s">
        <v>1516</v>
      </c>
      <c r="W31" s="10">
        <v>45321</v>
      </c>
      <c r="X31" s="5" t="s">
        <v>67</v>
      </c>
      <c r="Y31" s="5"/>
      <c r="Z31" s="65"/>
      <c r="AA31" s="5">
        <v>335</v>
      </c>
      <c r="AB31" s="9"/>
      <c r="AC31" s="9"/>
      <c r="AD31" s="9"/>
      <c r="AE31" s="9"/>
      <c r="AF31" s="9"/>
      <c r="AG31" s="9"/>
      <c r="AH31" s="9"/>
      <c r="AI31" s="9">
        <v>335</v>
      </c>
      <c r="AJ31" s="9"/>
      <c r="AK31" s="9"/>
      <c r="AL31" s="9"/>
      <c r="AM31" s="9">
        <v>338</v>
      </c>
      <c r="AN31" s="9"/>
      <c r="AO31" s="9">
        <v>3</v>
      </c>
      <c r="AP31" s="62">
        <v>336</v>
      </c>
      <c r="AQ31" s="11" t="s">
        <v>2965</v>
      </c>
      <c r="AR31" s="5" t="s">
        <v>3093</v>
      </c>
      <c r="AS31" s="5" t="s">
        <v>3248</v>
      </c>
      <c r="AT31" s="187" t="s">
        <v>3249</v>
      </c>
      <c r="AU31" s="5"/>
      <c r="AV31" s="5" t="s">
        <v>3020</v>
      </c>
      <c r="AW31" s="187" t="s">
        <v>2986</v>
      </c>
      <c r="AX31" s="5"/>
      <c r="AY31" s="5"/>
      <c r="AZ31" s="187" t="s">
        <v>2987</v>
      </c>
      <c r="BA31" s="10">
        <v>45775</v>
      </c>
      <c r="BB31" s="10"/>
      <c r="BC31" s="10">
        <f t="shared" si="2"/>
        <v>46140</v>
      </c>
      <c r="BD31" s="10">
        <v>45785</v>
      </c>
      <c r="BE31" s="10">
        <v>45800</v>
      </c>
      <c r="BF31" s="5"/>
      <c r="BG31" s="5" t="s">
        <v>3250</v>
      </c>
      <c r="BH31" s="5" t="s">
        <v>3085</v>
      </c>
      <c r="BI31" s="189">
        <v>45926</v>
      </c>
      <c r="BJ31" s="190">
        <f t="shared" si="0"/>
        <v>174</v>
      </c>
      <c r="BK31" s="11" t="s">
        <v>3166</v>
      </c>
    </row>
    <row r="32" spans="2:63" s="114" customFormat="1" ht="38.25" x14ac:dyDescent="0.25">
      <c r="B32" s="5">
        <v>459</v>
      </c>
      <c r="C32" s="5" t="s">
        <v>2239</v>
      </c>
      <c r="D32" s="5" t="s">
        <v>51</v>
      </c>
      <c r="E32" s="187" t="s">
        <v>2240</v>
      </c>
      <c r="F32" s="187" t="s">
        <v>2241</v>
      </c>
      <c r="G32" s="5" t="s">
        <v>107</v>
      </c>
      <c r="H32" s="160">
        <v>75600</v>
      </c>
      <c r="I32" s="38">
        <v>75600</v>
      </c>
      <c r="J32" s="38">
        <v>0</v>
      </c>
      <c r="K32" s="115">
        <v>200</v>
      </c>
      <c r="L32" s="5" t="s">
        <v>3251</v>
      </c>
      <c r="M32" s="11" t="s">
        <v>3252</v>
      </c>
      <c r="N32" s="5" t="s">
        <v>2977</v>
      </c>
      <c r="O32" s="5" t="s">
        <v>3253</v>
      </c>
      <c r="P32" s="9" t="s">
        <v>3254</v>
      </c>
      <c r="Q32" s="5">
        <v>3545605</v>
      </c>
      <c r="R32" s="5" t="s">
        <v>3255</v>
      </c>
      <c r="S32" s="11" t="s">
        <v>445</v>
      </c>
      <c r="T32" s="11">
        <v>1</v>
      </c>
      <c r="U32" s="9" t="s">
        <v>2243</v>
      </c>
      <c r="V32" s="31" t="s">
        <v>2244</v>
      </c>
      <c r="W32" s="34">
        <v>45322</v>
      </c>
      <c r="X32" s="9" t="s">
        <v>57</v>
      </c>
      <c r="Y32" s="9"/>
      <c r="Z32" s="65"/>
      <c r="AA32" s="9">
        <v>330</v>
      </c>
      <c r="AB32" s="9"/>
      <c r="AC32" s="9"/>
      <c r="AD32" s="9"/>
      <c r="AE32" s="9"/>
      <c r="AF32" s="9">
        <v>340</v>
      </c>
      <c r="AG32" s="9">
        <v>338</v>
      </c>
      <c r="AH32" s="9"/>
      <c r="AI32" s="9"/>
      <c r="AJ32" s="9"/>
      <c r="AK32" s="9"/>
      <c r="AL32" s="9"/>
      <c r="AM32" s="65"/>
      <c r="AN32" s="65"/>
      <c r="AO32" s="9">
        <v>3</v>
      </c>
      <c r="AP32" s="62">
        <v>336</v>
      </c>
      <c r="AQ32" s="11" t="s">
        <v>2965</v>
      </c>
      <c r="AR32" s="11" t="s">
        <v>3256</v>
      </c>
      <c r="AS32" s="11" t="s">
        <v>3257</v>
      </c>
      <c r="AT32" s="187" t="s">
        <v>3258</v>
      </c>
      <c r="AU32" s="58"/>
      <c r="AV32" s="5" t="s">
        <v>3259</v>
      </c>
      <c r="AW32" s="187" t="s">
        <v>2986</v>
      </c>
      <c r="AX32" s="5" t="s">
        <v>3260</v>
      </c>
      <c r="AY32" s="5" t="s">
        <v>3260</v>
      </c>
      <c r="AZ32" s="187" t="s">
        <v>2987</v>
      </c>
      <c r="BA32" s="10">
        <v>45986</v>
      </c>
      <c r="BB32" s="10"/>
      <c r="BC32" s="10">
        <f t="shared" si="2"/>
        <v>46351</v>
      </c>
      <c r="BD32" s="10">
        <v>45988</v>
      </c>
      <c r="BE32" s="10">
        <v>45995</v>
      </c>
      <c r="BF32" s="5"/>
      <c r="BG32" s="5"/>
      <c r="BH32" s="5" t="s">
        <v>3261</v>
      </c>
      <c r="BI32" s="189">
        <v>45996</v>
      </c>
      <c r="BJ32" s="190">
        <f t="shared" si="0"/>
        <v>104</v>
      </c>
      <c r="BK32" s="9" t="s">
        <v>2988</v>
      </c>
    </row>
    <row r="33" spans="2:63" s="114" customFormat="1" ht="51" hidden="1" x14ac:dyDescent="0.25">
      <c r="B33" s="5">
        <v>166</v>
      </c>
      <c r="C33" s="5" t="s">
        <v>875</v>
      </c>
      <c r="D33" s="5" t="s">
        <v>51</v>
      </c>
      <c r="E33" s="9" t="s">
        <v>876</v>
      </c>
      <c r="F33" s="11" t="s">
        <v>877</v>
      </c>
      <c r="G33" s="5" t="s">
        <v>36</v>
      </c>
      <c r="H33" s="38">
        <v>123093.54</v>
      </c>
      <c r="I33" s="38">
        <v>123093.54</v>
      </c>
      <c r="J33" s="38"/>
      <c r="K33" s="115">
        <v>50</v>
      </c>
      <c r="L33" s="5" t="s">
        <v>3262</v>
      </c>
      <c r="M33" s="11" t="s">
        <v>3263</v>
      </c>
      <c r="N33" s="9" t="s">
        <v>2977</v>
      </c>
      <c r="O33" s="5" t="s">
        <v>3264</v>
      </c>
      <c r="P33" s="9" t="s">
        <v>3265</v>
      </c>
      <c r="Q33" s="5">
        <v>3554201</v>
      </c>
      <c r="R33" s="5" t="s">
        <v>3266</v>
      </c>
      <c r="S33" s="11" t="s">
        <v>123</v>
      </c>
      <c r="T33" s="11">
        <v>1</v>
      </c>
      <c r="U33" s="9" t="s">
        <v>879</v>
      </c>
      <c r="V33" s="31" t="s">
        <v>880</v>
      </c>
      <c r="W33" s="34">
        <v>45310</v>
      </c>
      <c r="X33" s="9" t="s">
        <v>57</v>
      </c>
      <c r="Y33" s="11" t="s">
        <v>118</v>
      </c>
      <c r="Z33" s="9"/>
      <c r="AA33" s="9">
        <v>337</v>
      </c>
      <c r="AB33" s="9"/>
      <c r="AC33" s="9"/>
      <c r="AD33" s="9"/>
      <c r="AE33" s="9"/>
      <c r="AF33" s="9"/>
      <c r="AG33" s="9"/>
      <c r="AH33" s="9"/>
      <c r="AI33" s="9"/>
      <c r="AJ33" s="9">
        <v>333</v>
      </c>
      <c r="AK33" s="9"/>
      <c r="AL33" s="9"/>
      <c r="AM33" s="9">
        <v>336</v>
      </c>
      <c r="AN33" s="9"/>
      <c r="AO33" s="9">
        <v>3</v>
      </c>
      <c r="AP33" s="62">
        <v>335.33333333333331</v>
      </c>
      <c r="AQ33" s="11" t="s">
        <v>3004</v>
      </c>
      <c r="AR33" s="11" t="s">
        <v>3267</v>
      </c>
      <c r="AS33" s="11" t="s">
        <v>3268</v>
      </c>
      <c r="AT33" s="5" t="s">
        <v>3269</v>
      </c>
      <c r="AU33" s="5"/>
      <c r="AV33" s="5" t="s">
        <v>2969</v>
      </c>
      <c r="AW33" s="5" t="s">
        <v>3009</v>
      </c>
      <c r="AX33" s="5"/>
      <c r="AY33" s="5"/>
      <c r="AZ33" s="5" t="s">
        <v>2973</v>
      </c>
      <c r="BA33" s="10"/>
      <c r="BB33" s="10"/>
      <c r="BC33" s="10"/>
      <c r="BD33" s="10"/>
      <c r="BE33" s="10"/>
      <c r="BF33" s="5"/>
      <c r="BG33" s="5"/>
      <c r="BH33" s="5"/>
      <c r="BI33" s="10">
        <v>45643</v>
      </c>
      <c r="BJ33" s="113">
        <f t="shared" si="0"/>
        <v>457</v>
      </c>
      <c r="BK33" s="11" t="s">
        <v>3010</v>
      </c>
    </row>
    <row r="34" spans="2:63" s="114" customFormat="1" ht="51" hidden="1" x14ac:dyDescent="0.25">
      <c r="B34" s="5">
        <v>296</v>
      </c>
      <c r="C34" s="5" t="s">
        <v>1517</v>
      </c>
      <c r="D34" s="5" t="s">
        <v>33</v>
      </c>
      <c r="E34" s="5" t="s">
        <v>1518</v>
      </c>
      <c r="F34" s="5" t="s">
        <v>1519</v>
      </c>
      <c r="G34" s="5" t="s">
        <v>36</v>
      </c>
      <c r="H34" s="17">
        <v>150000</v>
      </c>
      <c r="I34" s="17">
        <v>150000</v>
      </c>
      <c r="J34" s="17"/>
      <c r="K34" s="116">
        <v>30</v>
      </c>
      <c r="L34" s="114" t="s">
        <v>3270</v>
      </c>
      <c r="M34" s="5" t="s">
        <v>3271</v>
      </c>
      <c r="N34" s="5" t="s">
        <v>3272</v>
      </c>
      <c r="O34" s="5" t="s">
        <v>3273</v>
      </c>
      <c r="P34" s="5" t="s">
        <v>3274</v>
      </c>
      <c r="Q34" s="5">
        <v>3508603</v>
      </c>
      <c r="R34" s="5" t="s">
        <v>3275</v>
      </c>
      <c r="S34" s="5" t="s">
        <v>95</v>
      </c>
      <c r="T34" s="11">
        <v>1</v>
      </c>
      <c r="U34" s="5" t="s">
        <v>1520</v>
      </c>
      <c r="V34" s="31" t="s">
        <v>1521</v>
      </c>
      <c r="W34" s="10">
        <v>45321</v>
      </c>
      <c r="X34" s="5" t="s">
        <v>67</v>
      </c>
      <c r="Y34" s="5"/>
      <c r="Z34" s="65"/>
      <c r="AA34" s="5">
        <v>324</v>
      </c>
      <c r="AB34" s="9"/>
      <c r="AC34" s="9"/>
      <c r="AD34" s="9"/>
      <c r="AE34" s="9"/>
      <c r="AF34" s="9">
        <v>340</v>
      </c>
      <c r="AG34" s="9">
        <v>340</v>
      </c>
      <c r="AH34" s="9"/>
      <c r="AI34" s="9"/>
      <c r="AJ34" s="9"/>
      <c r="AK34" s="9"/>
      <c r="AL34" s="9"/>
      <c r="AM34" s="9"/>
      <c r="AN34" s="9"/>
      <c r="AO34" s="9">
        <v>3</v>
      </c>
      <c r="AP34" s="62">
        <v>334.66666666666669</v>
      </c>
      <c r="AQ34" s="11" t="s">
        <v>3004</v>
      </c>
      <c r="AR34" s="5" t="s">
        <v>3093</v>
      </c>
      <c r="AS34" s="11" t="s">
        <v>3276</v>
      </c>
      <c r="AT34" s="5" t="s">
        <v>3277</v>
      </c>
      <c r="AU34" s="5"/>
      <c r="AV34" s="5" t="s">
        <v>3020</v>
      </c>
      <c r="AW34" s="5" t="s">
        <v>3009</v>
      </c>
      <c r="AX34" s="5"/>
      <c r="AY34" s="5"/>
      <c r="AZ34" s="5" t="s">
        <v>2973</v>
      </c>
      <c r="BA34" s="10"/>
      <c r="BB34" s="10"/>
      <c r="BC34" s="10"/>
      <c r="BD34" s="10"/>
      <c r="BE34" s="10"/>
      <c r="BF34" s="5"/>
      <c r="BG34" s="5"/>
      <c r="BH34" s="5"/>
      <c r="BI34" s="10">
        <v>45670</v>
      </c>
      <c r="BJ34" s="113">
        <f t="shared" si="0"/>
        <v>430</v>
      </c>
      <c r="BK34" s="11" t="s">
        <v>3278</v>
      </c>
    </row>
    <row r="35" spans="2:63" s="114" customFormat="1" ht="76.5" x14ac:dyDescent="0.25">
      <c r="B35" s="5">
        <v>443</v>
      </c>
      <c r="C35" s="5" t="s">
        <v>2166</v>
      </c>
      <c r="D35" s="5" t="s">
        <v>33</v>
      </c>
      <c r="E35" s="187" t="s">
        <v>2167</v>
      </c>
      <c r="F35" s="187" t="s">
        <v>2168</v>
      </c>
      <c r="G35" s="5" t="s">
        <v>36</v>
      </c>
      <c r="H35" s="161">
        <v>220000</v>
      </c>
      <c r="I35" s="17">
        <v>207000</v>
      </c>
      <c r="J35" s="17">
        <v>13000</v>
      </c>
      <c r="K35" s="116">
        <v>120</v>
      </c>
      <c r="L35" s="5" t="s">
        <v>3279</v>
      </c>
      <c r="M35" s="5" t="s">
        <v>3280</v>
      </c>
      <c r="N35" s="5" t="s">
        <v>2977</v>
      </c>
      <c r="O35" s="5" t="s">
        <v>3281</v>
      </c>
      <c r="P35" s="5" t="s">
        <v>3282</v>
      </c>
      <c r="Q35" s="5">
        <v>3543402</v>
      </c>
      <c r="R35" s="5" t="s">
        <v>3283</v>
      </c>
      <c r="S35" s="5" t="s">
        <v>154</v>
      </c>
      <c r="T35" s="11">
        <v>1</v>
      </c>
      <c r="U35" s="5" t="s">
        <v>2169</v>
      </c>
      <c r="V35" s="31" t="s">
        <v>2170</v>
      </c>
      <c r="W35" s="10">
        <v>45322</v>
      </c>
      <c r="X35" s="5" t="s">
        <v>57</v>
      </c>
      <c r="Y35" s="5" t="s">
        <v>2171</v>
      </c>
      <c r="Z35" s="65"/>
      <c r="AA35" s="5">
        <v>329</v>
      </c>
      <c r="AB35" s="9"/>
      <c r="AC35" s="9"/>
      <c r="AD35" s="9"/>
      <c r="AE35" s="9"/>
      <c r="AF35" s="9">
        <v>340</v>
      </c>
      <c r="AG35" s="9">
        <v>335</v>
      </c>
      <c r="AH35" s="9"/>
      <c r="AI35" s="9"/>
      <c r="AJ35" s="9"/>
      <c r="AK35" s="9"/>
      <c r="AL35" s="9"/>
      <c r="AM35" s="9"/>
      <c r="AN35" s="9"/>
      <c r="AO35" s="9">
        <v>3</v>
      </c>
      <c r="AP35" s="62">
        <v>334.66666666666669</v>
      </c>
      <c r="AQ35" s="11" t="s">
        <v>2965</v>
      </c>
      <c r="AR35" s="5" t="s">
        <v>3284</v>
      </c>
      <c r="AS35" s="5" t="s">
        <v>3285</v>
      </c>
      <c r="AT35" s="187" t="s">
        <v>3286</v>
      </c>
      <c r="AU35" s="5" t="s">
        <v>3287</v>
      </c>
      <c r="AV35" s="5" t="s">
        <v>3118</v>
      </c>
      <c r="AW35" s="187" t="s">
        <v>2986</v>
      </c>
      <c r="AX35" s="5" t="s">
        <v>2971</v>
      </c>
      <c r="AY35" s="5"/>
      <c r="AZ35" s="187" t="s">
        <v>3288</v>
      </c>
      <c r="BA35" s="10">
        <v>45782</v>
      </c>
      <c r="BB35" s="10"/>
      <c r="BC35" s="10">
        <f>EDATE(BA35,12)</f>
        <v>46147</v>
      </c>
      <c r="BD35" s="10">
        <v>45791</v>
      </c>
      <c r="BE35" s="10">
        <v>45800</v>
      </c>
      <c r="BF35" s="10">
        <v>46091</v>
      </c>
      <c r="BG35" s="5" t="s">
        <v>3289</v>
      </c>
      <c r="BH35" s="5" t="s">
        <v>3039</v>
      </c>
      <c r="BI35" s="189">
        <v>46091</v>
      </c>
      <c r="BJ35" s="190">
        <f t="shared" si="0"/>
        <v>9</v>
      </c>
      <c r="BK35" s="11" t="s">
        <v>3290</v>
      </c>
    </row>
    <row r="36" spans="2:63" s="64" customFormat="1" ht="51" hidden="1" x14ac:dyDescent="0.25">
      <c r="B36" s="5">
        <v>470</v>
      </c>
      <c r="C36" s="97" t="s">
        <v>3291</v>
      </c>
      <c r="D36" s="45" t="s">
        <v>51</v>
      </c>
      <c r="E36" s="46" t="s">
        <v>2294</v>
      </c>
      <c r="F36" s="86" t="s">
        <v>2295</v>
      </c>
      <c r="G36" s="86" t="s">
        <v>36</v>
      </c>
      <c r="H36" s="87">
        <v>100000</v>
      </c>
      <c r="I36" s="87"/>
      <c r="J36" s="87"/>
      <c r="K36" s="87"/>
      <c r="L36" s="46"/>
      <c r="M36" s="46"/>
      <c r="N36" s="46"/>
      <c r="O36" s="46"/>
      <c r="P36" s="46" t="s">
        <v>2296</v>
      </c>
      <c r="Q36" s="5"/>
      <c r="R36" s="46"/>
      <c r="S36" s="86" t="s">
        <v>38</v>
      </c>
      <c r="T36" s="86"/>
      <c r="U36" s="46" t="s">
        <v>2297</v>
      </c>
      <c r="V36" s="88" t="s">
        <v>2298</v>
      </c>
      <c r="W36" s="89">
        <v>45322</v>
      </c>
      <c r="X36" s="46" t="s">
        <v>226</v>
      </c>
      <c r="Y36" s="46"/>
      <c r="Z36" s="90"/>
      <c r="AA36" s="46">
        <v>333</v>
      </c>
      <c r="AB36" s="46"/>
      <c r="AC36" s="46"/>
      <c r="AD36" s="46"/>
      <c r="AE36" s="46"/>
      <c r="AF36" s="46">
        <v>340</v>
      </c>
      <c r="AG36" s="46">
        <v>330</v>
      </c>
      <c r="AH36" s="46"/>
      <c r="AI36" s="46"/>
      <c r="AJ36" s="46"/>
      <c r="AK36" s="46"/>
      <c r="AL36" s="46"/>
      <c r="AM36" s="90"/>
      <c r="AN36" s="90"/>
      <c r="AO36" s="46">
        <v>3</v>
      </c>
      <c r="AP36" s="91">
        <v>334.33333333333331</v>
      </c>
      <c r="AQ36" s="86" t="s">
        <v>2965</v>
      </c>
      <c r="AR36" s="86" t="s">
        <v>3292</v>
      </c>
      <c r="AS36" s="86" t="s">
        <v>3293</v>
      </c>
      <c r="AT36" s="5"/>
      <c r="AU36" s="123"/>
      <c r="AV36" s="123"/>
      <c r="AW36" s="5"/>
      <c r="AX36" s="5"/>
      <c r="AY36" s="5"/>
      <c r="AZ36" s="11"/>
      <c r="BA36" s="10"/>
      <c r="BB36" s="10"/>
      <c r="BC36" s="10"/>
      <c r="BD36" s="10"/>
      <c r="BE36" s="10"/>
      <c r="BF36" s="11"/>
      <c r="BG36" s="11"/>
      <c r="BH36" s="11"/>
      <c r="BI36" s="5" t="s">
        <v>3294</v>
      </c>
      <c r="BJ36" s="110" t="e">
        <f t="shared" si="0"/>
        <v>#VALUE!</v>
      </c>
      <c r="BK36" s="65"/>
    </row>
    <row r="37" spans="2:63" s="114" customFormat="1" ht="51" x14ac:dyDescent="0.25">
      <c r="B37" s="5">
        <v>165</v>
      </c>
      <c r="C37" s="5" t="s">
        <v>870</v>
      </c>
      <c r="D37" s="5" t="s">
        <v>51</v>
      </c>
      <c r="E37" s="188" t="s">
        <v>871</v>
      </c>
      <c r="F37" s="188" t="s">
        <v>872</v>
      </c>
      <c r="G37" s="11" t="s">
        <v>36</v>
      </c>
      <c r="H37" s="160">
        <v>564876.92000000004</v>
      </c>
      <c r="I37" s="38">
        <f>H37-J37</f>
        <v>514076.92000000004</v>
      </c>
      <c r="J37" s="38">
        <v>50800</v>
      </c>
      <c r="K37" s="115"/>
      <c r="L37" s="9" t="s">
        <v>3295</v>
      </c>
      <c r="M37" s="9" t="s">
        <v>3296</v>
      </c>
      <c r="N37" s="9" t="s">
        <v>2977</v>
      </c>
      <c r="O37" s="121" t="s">
        <v>3297</v>
      </c>
      <c r="P37" s="9" t="s">
        <v>3298</v>
      </c>
      <c r="Q37" s="5">
        <v>3530706</v>
      </c>
      <c r="R37" s="9" t="s">
        <v>3299</v>
      </c>
      <c r="S37" s="11" t="s">
        <v>453</v>
      </c>
      <c r="T37" s="11">
        <v>1</v>
      </c>
      <c r="U37" s="9" t="s">
        <v>874</v>
      </c>
      <c r="V37" s="52" t="s">
        <v>3300</v>
      </c>
      <c r="W37" s="34">
        <v>45310</v>
      </c>
      <c r="X37" s="9" t="s">
        <v>57</v>
      </c>
      <c r="Y37" s="11" t="s">
        <v>89</v>
      </c>
      <c r="Z37" s="11"/>
      <c r="AA37" s="9">
        <v>327</v>
      </c>
      <c r="AB37" s="9"/>
      <c r="AC37" s="9"/>
      <c r="AD37" s="9"/>
      <c r="AE37" s="9"/>
      <c r="AF37" s="9">
        <v>340</v>
      </c>
      <c r="AG37" s="9">
        <v>335</v>
      </c>
      <c r="AH37" s="9"/>
      <c r="AI37" s="9"/>
      <c r="AJ37" s="9"/>
      <c r="AK37" s="9"/>
      <c r="AL37" s="9"/>
      <c r="AM37" s="9"/>
      <c r="AN37" s="9"/>
      <c r="AO37" s="9">
        <v>3</v>
      </c>
      <c r="AP37" s="62">
        <v>334</v>
      </c>
      <c r="AQ37" s="11" t="s">
        <v>2965</v>
      </c>
      <c r="AR37" s="11" t="s">
        <v>3301</v>
      </c>
      <c r="AS37" s="9" t="s">
        <v>3302</v>
      </c>
      <c r="AT37" s="187" t="s">
        <v>3303</v>
      </c>
      <c r="AU37" s="5"/>
      <c r="AV37" s="5" t="s">
        <v>3034</v>
      </c>
      <c r="AW37" s="187" t="s">
        <v>3009</v>
      </c>
      <c r="AX37" s="5"/>
      <c r="AY37" s="5" t="s">
        <v>3304</v>
      </c>
      <c r="AZ37" s="187" t="s">
        <v>2973</v>
      </c>
      <c r="BA37" s="10"/>
      <c r="BB37" s="10"/>
      <c r="BC37" s="10"/>
      <c r="BD37" s="10"/>
      <c r="BE37" s="10"/>
      <c r="BF37" s="5"/>
      <c r="BG37" s="5"/>
      <c r="BH37" s="5"/>
      <c r="BI37" s="189">
        <v>46030</v>
      </c>
      <c r="BJ37" s="190">
        <f t="shared" si="0"/>
        <v>70</v>
      </c>
      <c r="BK37" s="175" t="s">
        <v>3305</v>
      </c>
    </row>
    <row r="38" spans="2:63" s="114" customFormat="1" ht="51" x14ac:dyDescent="0.25">
      <c r="B38" s="5">
        <v>169</v>
      </c>
      <c r="C38" s="5" t="s">
        <v>893</v>
      </c>
      <c r="D38" s="5" t="s">
        <v>51</v>
      </c>
      <c r="E38" s="188" t="s">
        <v>894</v>
      </c>
      <c r="F38" s="188" t="s">
        <v>895</v>
      </c>
      <c r="G38" s="11" t="s">
        <v>36</v>
      </c>
      <c r="H38" s="160">
        <v>188427.72</v>
      </c>
      <c r="I38" s="38">
        <f>H38-J38</f>
        <v>180384.86000000002</v>
      </c>
      <c r="J38" s="38">
        <v>8042.86</v>
      </c>
      <c r="K38" s="115">
        <v>12</v>
      </c>
      <c r="L38" s="9" t="s">
        <v>3306</v>
      </c>
      <c r="M38" s="9" t="s">
        <v>3307</v>
      </c>
      <c r="N38" s="9" t="s">
        <v>2977</v>
      </c>
      <c r="O38" s="9" t="s">
        <v>3308</v>
      </c>
      <c r="P38" s="5" t="s">
        <v>3309</v>
      </c>
      <c r="Q38" s="5">
        <v>3538808</v>
      </c>
      <c r="R38" s="9" t="s">
        <v>3310</v>
      </c>
      <c r="S38" s="5" t="s">
        <v>123</v>
      </c>
      <c r="T38" s="11">
        <v>1</v>
      </c>
      <c r="U38" s="9" t="s">
        <v>3311</v>
      </c>
      <c r="V38" s="52" t="s">
        <v>3312</v>
      </c>
      <c r="W38" s="34">
        <v>45310</v>
      </c>
      <c r="X38" s="9" t="s">
        <v>57</v>
      </c>
      <c r="Y38" s="9"/>
      <c r="Z38" s="65"/>
      <c r="AA38" s="9">
        <v>334</v>
      </c>
      <c r="AB38" s="9"/>
      <c r="AC38" s="9"/>
      <c r="AD38" s="9"/>
      <c r="AE38" s="9"/>
      <c r="AF38" s="9">
        <v>335</v>
      </c>
      <c r="AG38" s="9"/>
      <c r="AH38" s="9"/>
      <c r="AI38" s="9"/>
      <c r="AJ38" s="9"/>
      <c r="AK38" s="9"/>
      <c r="AL38" s="9"/>
      <c r="AM38" s="9">
        <v>330</v>
      </c>
      <c r="AN38" s="9"/>
      <c r="AO38" s="9">
        <v>3</v>
      </c>
      <c r="AP38" s="62">
        <v>333</v>
      </c>
      <c r="AQ38" s="11" t="s">
        <v>2965</v>
      </c>
      <c r="AR38" s="11" t="s">
        <v>3313</v>
      </c>
      <c r="AS38" s="5" t="s">
        <v>3314</v>
      </c>
      <c r="AT38" s="187" t="s">
        <v>3315</v>
      </c>
      <c r="AU38" s="5"/>
      <c r="AV38" s="5" t="s">
        <v>3316</v>
      </c>
      <c r="AW38" s="187" t="s">
        <v>2986</v>
      </c>
      <c r="AX38" s="5"/>
      <c r="AY38" s="5"/>
      <c r="AZ38" s="187" t="s">
        <v>2987</v>
      </c>
      <c r="BA38" s="10">
        <v>45791</v>
      </c>
      <c r="BB38" s="10"/>
      <c r="BC38" s="10">
        <f>EDATE(BA38,12)</f>
        <v>46156</v>
      </c>
      <c r="BD38" s="10">
        <v>45796</v>
      </c>
      <c r="BE38" s="10">
        <v>45804</v>
      </c>
      <c r="BF38" s="5"/>
      <c r="BG38" s="5" t="s">
        <v>3154</v>
      </c>
      <c r="BH38" s="5" t="s">
        <v>3039</v>
      </c>
      <c r="BI38" s="189">
        <v>45805</v>
      </c>
      <c r="BJ38" s="190">
        <f t="shared" ref="BJ38:BJ69" si="3">_xlfn.DAYS($BJ$2,BI38)</f>
        <v>295</v>
      </c>
      <c r="BK38" s="11" t="s">
        <v>3317</v>
      </c>
    </row>
    <row r="39" spans="2:63" s="64" customFormat="1" ht="51" hidden="1" x14ac:dyDescent="0.25">
      <c r="B39" s="5">
        <v>526</v>
      </c>
      <c r="C39" s="97" t="s">
        <v>2571</v>
      </c>
      <c r="D39" s="45" t="s">
        <v>33</v>
      </c>
      <c r="E39" s="45" t="s">
        <v>2572</v>
      </c>
      <c r="F39" s="45" t="s">
        <v>2573</v>
      </c>
      <c r="G39" s="45" t="s">
        <v>36</v>
      </c>
      <c r="H39" s="92">
        <v>702740.64</v>
      </c>
      <c r="I39" s="92"/>
      <c r="J39" s="92"/>
      <c r="K39" s="92"/>
      <c r="L39" s="45"/>
      <c r="M39" s="45"/>
      <c r="N39" s="45"/>
      <c r="O39" s="45"/>
      <c r="P39" s="45" t="s">
        <v>253</v>
      </c>
      <c r="Q39" s="5"/>
      <c r="R39" s="45"/>
      <c r="S39" s="45" t="s">
        <v>254</v>
      </c>
      <c r="T39" s="45"/>
      <c r="U39" s="45" t="s">
        <v>2574</v>
      </c>
      <c r="V39" s="93" t="s">
        <v>2575</v>
      </c>
      <c r="W39" s="94">
        <v>45322</v>
      </c>
      <c r="X39" s="46" t="s">
        <v>226</v>
      </c>
      <c r="Y39" s="45" t="s">
        <v>89</v>
      </c>
      <c r="Z39" s="45"/>
      <c r="AA39" s="45">
        <v>330</v>
      </c>
      <c r="AB39" s="46"/>
      <c r="AC39" s="46"/>
      <c r="AD39" s="46"/>
      <c r="AE39" s="46"/>
      <c r="AF39" s="46">
        <v>340</v>
      </c>
      <c r="AG39" s="46">
        <v>328</v>
      </c>
      <c r="AH39" s="46"/>
      <c r="AI39" s="46"/>
      <c r="AJ39" s="46"/>
      <c r="AK39" s="46"/>
      <c r="AL39" s="46"/>
      <c r="AM39" s="46"/>
      <c r="AN39" s="46"/>
      <c r="AO39" s="46">
        <v>3</v>
      </c>
      <c r="AP39" s="91">
        <v>332.66666666666669</v>
      </c>
      <c r="AQ39" s="86" t="s">
        <v>2965</v>
      </c>
      <c r="AR39" s="86" t="s">
        <v>3292</v>
      </c>
      <c r="AS39" s="86" t="s">
        <v>3318</v>
      </c>
      <c r="AT39" s="5"/>
      <c r="AU39" s="123"/>
      <c r="AV39" s="123"/>
      <c r="AW39" s="5"/>
      <c r="AX39" s="5"/>
      <c r="AY39" s="5"/>
      <c r="AZ39" s="11"/>
      <c r="BA39" s="10"/>
      <c r="BB39" s="10"/>
      <c r="BC39" s="10"/>
      <c r="BD39" s="10"/>
      <c r="BE39" s="10"/>
      <c r="BF39" s="11"/>
      <c r="BG39" s="11"/>
      <c r="BH39" s="11"/>
      <c r="BI39" s="5" t="s">
        <v>3294</v>
      </c>
      <c r="BJ39" s="110" t="e">
        <f t="shared" si="3"/>
        <v>#VALUE!</v>
      </c>
      <c r="BK39" s="65"/>
    </row>
    <row r="40" spans="2:63" s="114" customFormat="1" ht="76.5" x14ac:dyDescent="0.25">
      <c r="B40" s="5">
        <v>12</v>
      </c>
      <c r="C40" s="5" t="s">
        <v>111</v>
      </c>
      <c r="D40" s="5" t="s">
        <v>51</v>
      </c>
      <c r="E40" s="187" t="s">
        <v>112</v>
      </c>
      <c r="F40" s="187" t="s">
        <v>113</v>
      </c>
      <c r="G40" s="5" t="s">
        <v>36</v>
      </c>
      <c r="H40" s="161">
        <v>244231.32</v>
      </c>
      <c r="I40" s="17">
        <v>0</v>
      </c>
      <c r="J40" s="17">
        <v>244231.32</v>
      </c>
      <c r="K40" s="116"/>
      <c r="L40" s="5" t="s">
        <v>3319</v>
      </c>
      <c r="M40" s="5" t="s">
        <v>3320</v>
      </c>
      <c r="N40" s="5" t="s">
        <v>2977</v>
      </c>
      <c r="O40" s="5" t="s">
        <v>3321</v>
      </c>
      <c r="P40" s="5" t="s">
        <v>3322</v>
      </c>
      <c r="Q40" s="5">
        <v>3507308</v>
      </c>
      <c r="R40" s="5" t="s">
        <v>3323</v>
      </c>
      <c r="S40" s="5" t="s">
        <v>115</v>
      </c>
      <c r="T40" s="11">
        <v>1</v>
      </c>
      <c r="U40" s="5" t="s">
        <v>3324</v>
      </c>
      <c r="V40" s="31" t="s">
        <v>3325</v>
      </c>
      <c r="W40" s="10">
        <v>45296</v>
      </c>
      <c r="X40" s="9" t="s">
        <v>57</v>
      </c>
      <c r="Y40" s="11" t="s">
        <v>118</v>
      </c>
      <c r="Z40" s="9"/>
      <c r="AA40" s="9">
        <v>329</v>
      </c>
      <c r="AB40" s="9"/>
      <c r="AC40" s="9"/>
      <c r="AD40" s="9"/>
      <c r="AE40" s="9"/>
      <c r="AF40" s="9">
        <v>340</v>
      </c>
      <c r="AG40" s="9">
        <v>323</v>
      </c>
      <c r="AH40" s="9"/>
      <c r="AI40" s="9"/>
      <c r="AJ40" s="9"/>
      <c r="AK40" s="9"/>
      <c r="AL40" s="9"/>
      <c r="AM40" s="9"/>
      <c r="AN40" s="9"/>
      <c r="AO40" s="9">
        <v>3</v>
      </c>
      <c r="AP40" s="62">
        <v>330.66666666666669</v>
      </c>
      <c r="AQ40" s="11" t="s">
        <v>2965</v>
      </c>
      <c r="AR40" s="11" t="s">
        <v>3326</v>
      </c>
      <c r="AS40" s="11" t="s">
        <v>3327</v>
      </c>
      <c r="AT40" s="187" t="s">
        <v>3328</v>
      </c>
      <c r="AU40" s="5"/>
      <c r="AV40" s="5" t="s">
        <v>3329</v>
      </c>
      <c r="AW40" s="187" t="s">
        <v>3202</v>
      </c>
      <c r="AX40" s="5"/>
      <c r="AY40" s="5" t="s">
        <v>3330</v>
      </c>
      <c r="AZ40" s="187" t="s">
        <v>3203</v>
      </c>
      <c r="BA40" s="10"/>
      <c r="BB40" s="10"/>
      <c r="BC40" s="10"/>
      <c r="BD40" s="10"/>
      <c r="BE40" s="10"/>
      <c r="BF40" s="5"/>
      <c r="BG40" s="5"/>
      <c r="BH40" s="5"/>
      <c r="BI40" s="189">
        <v>46043</v>
      </c>
      <c r="BJ40" s="190">
        <f t="shared" si="3"/>
        <v>57</v>
      </c>
      <c r="BK40" s="11"/>
    </row>
    <row r="41" spans="2:63" s="114" customFormat="1" ht="89.25" x14ac:dyDescent="0.25">
      <c r="B41" s="5">
        <v>37</v>
      </c>
      <c r="C41" s="5" t="s">
        <v>264</v>
      </c>
      <c r="D41" s="5" t="s">
        <v>33</v>
      </c>
      <c r="E41" s="187" t="s">
        <v>258</v>
      </c>
      <c r="F41" s="187" t="s">
        <v>265</v>
      </c>
      <c r="G41" s="5" t="s">
        <v>36</v>
      </c>
      <c r="H41" s="161">
        <v>28000</v>
      </c>
      <c r="I41" s="17">
        <v>28000</v>
      </c>
      <c r="J41" s="17">
        <v>0</v>
      </c>
      <c r="K41" s="116">
        <v>26</v>
      </c>
      <c r="L41" s="5" t="s">
        <v>3331</v>
      </c>
      <c r="M41" s="5" t="s">
        <v>3332</v>
      </c>
      <c r="N41" s="5" t="s">
        <v>3333</v>
      </c>
      <c r="O41" s="5" t="s">
        <v>3334</v>
      </c>
      <c r="P41" s="5" t="s">
        <v>3335</v>
      </c>
      <c r="Q41" s="5">
        <v>3526100</v>
      </c>
      <c r="R41" s="5" t="s">
        <v>3336</v>
      </c>
      <c r="S41" s="5" t="s">
        <v>141</v>
      </c>
      <c r="T41" s="11">
        <v>1</v>
      </c>
      <c r="U41" s="5" t="s">
        <v>262</v>
      </c>
      <c r="V41" s="52" t="s">
        <v>263</v>
      </c>
      <c r="W41" s="10">
        <v>45303</v>
      </c>
      <c r="X41" s="5" t="s">
        <v>41</v>
      </c>
      <c r="Y41" s="65"/>
      <c r="Z41" s="65"/>
      <c r="AA41" s="9">
        <v>340</v>
      </c>
      <c r="AB41" s="9"/>
      <c r="AC41" s="9"/>
      <c r="AD41" s="9"/>
      <c r="AE41" s="9"/>
      <c r="AF41" s="9"/>
      <c r="AG41" s="9"/>
      <c r="AH41" s="9"/>
      <c r="AI41" s="9"/>
      <c r="AJ41" s="9">
        <v>319</v>
      </c>
      <c r="AK41" s="9"/>
      <c r="AL41" s="9"/>
      <c r="AM41" s="9">
        <v>333</v>
      </c>
      <c r="AN41" s="9"/>
      <c r="AO41" s="9">
        <v>3</v>
      </c>
      <c r="AP41" s="62">
        <v>330.66666666666669</v>
      </c>
      <c r="AQ41" s="11" t="s">
        <v>2965</v>
      </c>
      <c r="AR41" s="11" t="s">
        <v>3005</v>
      </c>
      <c r="AS41" s="11" t="s">
        <v>3337</v>
      </c>
      <c r="AT41" s="187" t="s">
        <v>3338</v>
      </c>
      <c r="AU41" s="5"/>
      <c r="AV41" s="5" t="s">
        <v>3008</v>
      </c>
      <c r="AW41" s="187" t="s">
        <v>2986</v>
      </c>
      <c r="AX41" s="5"/>
      <c r="AY41" s="5"/>
      <c r="AZ41" s="187" t="s">
        <v>3288</v>
      </c>
      <c r="BA41" s="10">
        <v>45693</v>
      </c>
      <c r="BB41" s="10"/>
      <c r="BC41" s="165">
        <f>EDATE(BA41,12)</f>
        <v>46058</v>
      </c>
      <c r="BD41" s="10">
        <v>45700</v>
      </c>
      <c r="BE41" s="10">
        <v>45742</v>
      </c>
      <c r="BF41" s="10">
        <v>45994</v>
      </c>
      <c r="BG41" s="5" t="s">
        <v>3339</v>
      </c>
      <c r="BH41" s="5" t="s">
        <v>3085</v>
      </c>
      <c r="BI41" s="189">
        <v>45996</v>
      </c>
      <c r="BJ41" s="190">
        <f t="shared" si="3"/>
        <v>104</v>
      </c>
      <c r="BK41" s="167" t="s">
        <v>3340</v>
      </c>
    </row>
    <row r="42" spans="2:63" s="114" customFormat="1" ht="51" hidden="1" x14ac:dyDescent="0.25">
      <c r="B42" s="5">
        <v>460</v>
      </c>
      <c r="C42" s="5" t="s">
        <v>2245</v>
      </c>
      <c r="D42" s="5" t="s">
        <v>33</v>
      </c>
      <c r="E42" s="5" t="s">
        <v>2246</v>
      </c>
      <c r="F42" s="5" t="s">
        <v>2247</v>
      </c>
      <c r="G42" s="5" t="s">
        <v>36</v>
      </c>
      <c r="H42" s="17">
        <v>300000</v>
      </c>
      <c r="I42" s="17">
        <v>52100</v>
      </c>
      <c r="J42" s="17">
        <v>247900</v>
      </c>
      <c r="K42" s="116">
        <v>80</v>
      </c>
      <c r="L42" s="5" t="s">
        <v>3341</v>
      </c>
      <c r="M42" s="5" t="s">
        <v>3342</v>
      </c>
      <c r="N42" s="5" t="s">
        <v>3343</v>
      </c>
      <c r="O42" s="5" t="s">
        <v>3344</v>
      </c>
      <c r="P42" s="5" t="s">
        <v>3345</v>
      </c>
      <c r="Q42" s="5">
        <v>3507605</v>
      </c>
      <c r="R42" s="5" t="s">
        <v>3346</v>
      </c>
      <c r="S42" s="5" t="s">
        <v>254</v>
      </c>
      <c r="T42" s="11">
        <v>1</v>
      </c>
      <c r="U42" s="5" t="s">
        <v>2248</v>
      </c>
      <c r="V42" s="52" t="s">
        <v>2249</v>
      </c>
      <c r="W42" s="10">
        <v>45322</v>
      </c>
      <c r="X42" s="5" t="s">
        <v>67</v>
      </c>
      <c r="Y42" s="5"/>
      <c r="Z42" s="65"/>
      <c r="AA42" s="5"/>
      <c r="AB42" s="9"/>
      <c r="AC42" s="9"/>
      <c r="AD42" s="9"/>
      <c r="AE42" s="9"/>
      <c r="AF42" s="9"/>
      <c r="AG42" s="9">
        <v>340</v>
      </c>
      <c r="AH42" s="9">
        <v>317</v>
      </c>
      <c r="AI42" s="9">
        <v>335</v>
      </c>
      <c r="AJ42" s="9"/>
      <c r="AK42" s="9"/>
      <c r="AL42" s="9"/>
      <c r="AM42" s="9"/>
      <c r="AN42" s="9"/>
      <c r="AO42" s="9">
        <v>3</v>
      </c>
      <c r="AP42" s="62">
        <v>330.66666666666669</v>
      </c>
      <c r="AQ42" s="11" t="s">
        <v>3004</v>
      </c>
      <c r="AR42" s="11" t="s">
        <v>3116</v>
      </c>
      <c r="AS42" s="11" t="s">
        <v>3347</v>
      </c>
      <c r="AT42" s="5" t="s">
        <v>3348</v>
      </c>
      <c r="AU42" s="5"/>
      <c r="AV42" s="5" t="s">
        <v>3118</v>
      </c>
      <c r="AW42" s="5" t="s">
        <v>3009</v>
      </c>
      <c r="AX42" s="5"/>
      <c r="AY42" s="5"/>
      <c r="AZ42" s="5" t="s">
        <v>2973</v>
      </c>
      <c r="BA42" s="10"/>
      <c r="BB42" s="10"/>
      <c r="BC42" s="10"/>
      <c r="BD42" s="10"/>
      <c r="BE42" s="10"/>
      <c r="BF42" s="5"/>
      <c r="BG42" s="5"/>
      <c r="BH42" s="5"/>
      <c r="BI42" s="10">
        <v>45643</v>
      </c>
      <c r="BJ42" s="113">
        <f t="shared" si="3"/>
        <v>457</v>
      </c>
      <c r="BK42" s="11" t="s">
        <v>3010</v>
      </c>
    </row>
    <row r="43" spans="2:63" s="114" customFormat="1" ht="51" x14ac:dyDescent="0.25">
      <c r="B43" s="5">
        <v>349</v>
      </c>
      <c r="C43" s="5" t="s">
        <v>1772</v>
      </c>
      <c r="D43" s="5" t="s">
        <v>33</v>
      </c>
      <c r="E43" s="187" t="s">
        <v>1773</v>
      </c>
      <c r="F43" s="187" t="s">
        <v>1774</v>
      </c>
      <c r="G43" s="7" t="s">
        <v>107</v>
      </c>
      <c r="H43" s="161">
        <v>395360</v>
      </c>
      <c r="I43" s="17">
        <f>H43</f>
        <v>395360</v>
      </c>
      <c r="J43" s="17">
        <v>0</v>
      </c>
      <c r="K43" s="116">
        <v>575</v>
      </c>
      <c r="L43" s="5" t="s">
        <v>3349</v>
      </c>
      <c r="M43" s="5" t="s">
        <v>3350</v>
      </c>
      <c r="N43" s="5" t="s">
        <v>3351</v>
      </c>
      <c r="O43" s="5" t="s">
        <v>3352</v>
      </c>
      <c r="P43" s="5" t="s">
        <v>3353</v>
      </c>
      <c r="Q43" s="5">
        <v>3550308</v>
      </c>
      <c r="R43" s="5" t="s">
        <v>3354</v>
      </c>
      <c r="S43" s="5" t="s">
        <v>74</v>
      </c>
      <c r="T43" s="11">
        <v>1</v>
      </c>
      <c r="U43" s="5" t="s">
        <v>1775</v>
      </c>
      <c r="V43" s="31" t="s">
        <v>1776</v>
      </c>
      <c r="W43" s="10">
        <v>45321</v>
      </c>
      <c r="X43" s="5" t="s">
        <v>67</v>
      </c>
      <c r="Y43" s="5"/>
      <c r="Z43" s="65"/>
      <c r="AA43" s="5">
        <v>328</v>
      </c>
      <c r="AB43" s="9"/>
      <c r="AC43" s="9"/>
      <c r="AD43" s="9"/>
      <c r="AE43" s="9"/>
      <c r="AF43" s="9">
        <v>340</v>
      </c>
      <c r="AG43" s="9">
        <v>323</v>
      </c>
      <c r="AH43" s="9"/>
      <c r="AI43" s="9"/>
      <c r="AJ43" s="9"/>
      <c r="AK43" s="9"/>
      <c r="AL43" s="9"/>
      <c r="AM43" s="9"/>
      <c r="AN43" s="9"/>
      <c r="AO43" s="9">
        <v>3</v>
      </c>
      <c r="AP43" s="62">
        <v>330.33333333333331</v>
      </c>
      <c r="AQ43" s="11" t="s">
        <v>2965</v>
      </c>
      <c r="AR43" s="11" t="s">
        <v>3093</v>
      </c>
      <c r="AS43" s="11" t="s">
        <v>3355</v>
      </c>
      <c r="AT43" s="187" t="s">
        <v>3356</v>
      </c>
      <c r="AU43" s="5"/>
      <c r="AV43" s="5" t="s">
        <v>3020</v>
      </c>
      <c r="AW43" s="187" t="s">
        <v>3357</v>
      </c>
      <c r="AX43" s="5" t="s">
        <v>3036</v>
      </c>
      <c r="AY43" s="5"/>
      <c r="AZ43" s="187" t="s">
        <v>3358</v>
      </c>
      <c r="BA43" s="10">
        <v>45764</v>
      </c>
      <c r="BB43" s="10">
        <v>46051</v>
      </c>
      <c r="BC43" s="10">
        <f>EDATE(BA43,12)</f>
        <v>46129</v>
      </c>
      <c r="BD43" s="10">
        <v>45776</v>
      </c>
      <c r="BE43" s="10">
        <v>45786</v>
      </c>
      <c r="BF43" s="10">
        <v>46100</v>
      </c>
      <c r="BG43" s="5" t="s">
        <v>3119</v>
      </c>
      <c r="BH43" s="5" t="s">
        <v>3085</v>
      </c>
      <c r="BI43" s="189">
        <v>46093</v>
      </c>
      <c r="BJ43" s="193">
        <f t="shared" si="3"/>
        <v>7</v>
      </c>
      <c r="BK43" s="11" t="s">
        <v>3359</v>
      </c>
    </row>
    <row r="44" spans="2:63" s="114" customFormat="1" ht="30" customHeight="1" x14ac:dyDescent="0.2">
      <c r="B44" s="5">
        <v>277</v>
      </c>
      <c r="C44" s="5" t="s">
        <v>1423</v>
      </c>
      <c r="D44" s="5" t="s">
        <v>51</v>
      </c>
      <c r="E44" s="188" t="s">
        <v>1424</v>
      </c>
      <c r="F44" s="188" t="s">
        <v>1425</v>
      </c>
      <c r="G44" s="11" t="s">
        <v>62</v>
      </c>
      <c r="H44" s="160">
        <v>443513.19</v>
      </c>
      <c r="I44" s="38">
        <v>167234.78</v>
      </c>
      <c r="J44" s="38">
        <f>H44-I44</f>
        <v>276278.41000000003</v>
      </c>
      <c r="K44" s="115">
        <v>225</v>
      </c>
      <c r="L44" s="9" t="s">
        <v>3360</v>
      </c>
      <c r="M44" s="9" t="s">
        <v>3361</v>
      </c>
      <c r="N44" s="9" t="s">
        <v>2977</v>
      </c>
      <c r="O44" s="9" t="s">
        <v>3362</v>
      </c>
      <c r="P44" s="9" t="s">
        <v>3363</v>
      </c>
      <c r="Q44" s="5">
        <v>3551702</v>
      </c>
      <c r="R44" s="9" t="s">
        <v>3364</v>
      </c>
      <c r="S44" s="11" t="s">
        <v>154</v>
      </c>
      <c r="T44" s="11">
        <v>1</v>
      </c>
      <c r="U44" s="11" t="s">
        <v>1427</v>
      </c>
      <c r="V44" s="72" t="s">
        <v>1428</v>
      </c>
      <c r="W44" s="34">
        <v>45320</v>
      </c>
      <c r="X44" s="9" t="s">
        <v>57</v>
      </c>
      <c r="Y44" s="9"/>
      <c r="Z44" s="65"/>
      <c r="AA44" s="9">
        <v>330</v>
      </c>
      <c r="AB44" s="9"/>
      <c r="AC44" s="9"/>
      <c r="AD44" s="9"/>
      <c r="AE44" s="9"/>
      <c r="AF44" s="9"/>
      <c r="AG44" s="9"/>
      <c r="AH44" s="9">
        <v>318</v>
      </c>
      <c r="AI44" s="9">
        <v>340</v>
      </c>
      <c r="AJ44" s="9"/>
      <c r="AK44" s="9"/>
      <c r="AL44" s="9"/>
      <c r="AM44" s="65"/>
      <c r="AN44" s="65"/>
      <c r="AO44" s="9">
        <v>3</v>
      </c>
      <c r="AP44" s="62">
        <v>329.33333333333331</v>
      </c>
      <c r="AQ44" s="11" t="s">
        <v>2965</v>
      </c>
      <c r="AR44" s="11" t="s">
        <v>3365</v>
      </c>
      <c r="AS44" s="65"/>
      <c r="AT44" s="187" t="s">
        <v>3366</v>
      </c>
      <c r="AU44" s="5"/>
      <c r="AV44" s="5" t="s">
        <v>45</v>
      </c>
      <c r="AW44" s="187" t="s">
        <v>2986</v>
      </c>
      <c r="AX44" s="5" t="s">
        <v>2971</v>
      </c>
      <c r="AY44" s="5"/>
      <c r="AZ44" s="187" t="s">
        <v>2987</v>
      </c>
      <c r="BA44" s="10">
        <v>45643</v>
      </c>
      <c r="BB44" s="10">
        <v>46387</v>
      </c>
      <c r="BC44" s="165">
        <f>EDATE(BA44,12)</f>
        <v>46008</v>
      </c>
      <c r="BD44" s="10">
        <v>45646</v>
      </c>
      <c r="BE44" s="10">
        <v>45686</v>
      </c>
      <c r="BF44" s="5"/>
      <c r="BG44" s="5" t="s">
        <v>2996</v>
      </c>
      <c r="BH44" s="5" t="s">
        <v>2997</v>
      </c>
      <c r="BI44" s="196">
        <v>46059</v>
      </c>
      <c r="BJ44" s="190">
        <f t="shared" si="3"/>
        <v>41</v>
      </c>
      <c r="BK44" s="172" t="s">
        <v>3367</v>
      </c>
    </row>
    <row r="45" spans="2:63" s="114" customFormat="1" ht="81.75" customHeight="1" x14ac:dyDescent="0.25">
      <c r="B45" s="5">
        <v>472</v>
      </c>
      <c r="C45" s="5" t="s">
        <v>2304</v>
      </c>
      <c r="D45" s="5" t="s">
        <v>33</v>
      </c>
      <c r="E45" s="187" t="s">
        <v>3368</v>
      </c>
      <c r="F45" s="187" t="s">
        <v>2306</v>
      </c>
      <c r="G45" s="5" t="s">
        <v>36</v>
      </c>
      <c r="H45" s="161">
        <v>150000</v>
      </c>
      <c r="I45" s="17">
        <v>150000</v>
      </c>
      <c r="J45" s="17">
        <v>0</v>
      </c>
      <c r="K45" s="116">
        <v>90</v>
      </c>
      <c r="L45" s="5" t="s">
        <v>3369</v>
      </c>
      <c r="M45" s="5" t="s">
        <v>3370</v>
      </c>
      <c r="N45" s="5" t="s">
        <v>3371</v>
      </c>
      <c r="O45" s="5" t="s">
        <v>3372</v>
      </c>
      <c r="P45" s="5" t="s">
        <v>3373</v>
      </c>
      <c r="Q45" s="5">
        <v>3556800</v>
      </c>
      <c r="R45" s="5" t="s">
        <v>3374</v>
      </c>
      <c r="S45" s="5" t="s">
        <v>181</v>
      </c>
      <c r="T45" s="11">
        <v>1</v>
      </c>
      <c r="U45" s="5" t="s">
        <v>2308</v>
      </c>
      <c r="V45" s="31" t="s">
        <v>3375</v>
      </c>
      <c r="W45" s="10">
        <v>45322</v>
      </c>
      <c r="X45" s="5" t="s">
        <v>67</v>
      </c>
      <c r="Y45" s="5"/>
      <c r="Z45" s="65"/>
      <c r="AA45" s="5">
        <v>325</v>
      </c>
      <c r="AB45" s="9"/>
      <c r="AC45" s="9"/>
      <c r="AD45" s="9"/>
      <c r="AE45" s="9"/>
      <c r="AF45" s="9">
        <v>340</v>
      </c>
      <c r="AG45" s="9">
        <v>323</v>
      </c>
      <c r="AH45" s="9"/>
      <c r="AI45" s="9"/>
      <c r="AJ45" s="9"/>
      <c r="AK45" s="9"/>
      <c r="AL45" s="9"/>
      <c r="AM45" s="9"/>
      <c r="AN45" s="9"/>
      <c r="AO45" s="9">
        <v>3</v>
      </c>
      <c r="AP45" s="62">
        <v>329.33333333333331</v>
      </c>
      <c r="AQ45" s="11" t="s">
        <v>2965</v>
      </c>
      <c r="AR45" s="11" t="s">
        <v>3116</v>
      </c>
      <c r="AS45" s="11" t="s">
        <v>3376</v>
      </c>
      <c r="AT45" s="187" t="s">
        <v>3377</v>
      </c>
      <c r="AU45" s="5"/>
      <c r="AV45" s="5" t="s">
        <v>3118</v>
      </c>
      <c r="AW45" s="187" t="s">
        <v>3009</v>
      </c>
      <c r="AX45" s="5"/>
      <c r="AY45" s="5"/>
      <c r="AZ45" s="187" t="s">
        <v>3097</v>
      </c>
      <c r="BA45" s="10">
        <v>45638</v>
      </c>
      <c r="BB45" s="10"/>
      <c r="BC45" s="165">
        <f>EDATE(BA45,12)</f>
        <v>46003</v>
      </c>
      <c r="BD45" s="10">
        <v>45642</v>
      </c>
      <c r="BE45" s="10">
        <v>45674</v>
      </c>
      <c r="BF45" s="10"/>
      <c r="BG45" s="11" t="s">
        <v>3378</v>
      </c>
      <c r="BH45" s="5" t="s">
        <v>2997</v>
      </c>
      <c r="BI45" s="196">
        <v>46055</v>
      </c>
      <c r="BJ45" s="190">
        <f t="shared" si="3"/>
        <v>45</v>
      </c>
      <c r="BK45" s="11" t="s">
        <v>3379</v>
      </c>
    </row>
    <row r="46" spans="2:63" s="114" customFormat="1" ht="63.75" x14ac:dyDescent="0.25">
      <c r="B46" s="5">
        <v>469</v>
      </c>
      <c r="C46" s="5" t="s">
        <v>2285</v>
      </c>
      <c r="D46" s="5" t="s">
        <v>33</v>
      </c>
      <c r="E46" s="187" t="s">
        <v>2286</v>
      </c>
      <c r="F46" s="191" t="s">
        <v>2292</v>
      </c>
      <c r="G46" s="5" t="s">
        <v>62</v>
      </c>
      <c r="H46" s="161">
        <v>600000</v>
      </c>
      <c r="I46" s="17">
        <v>344862.77</v>
      </c>
      <c r="J46" s="17">
        <v>255137.23</v>
      </c>
      <c r="K46" s="116"/>
      <c r="L46" s="5" t="s">
        <v>3380</v>
      </c>
      <c r="M46" s="5" t="s">
        <v>3381</v>
      </c>
      <c r="N46" s="5" t="s">
        <v>2977</v>
      </c>
      <c r="O46" s="5" t="s">
        <v>3382</v>
      </c>
      <c r="P46" s="5" t="s">
        <v>3383</v>
      </c>
      <c r="Q46" s="5">
        <v>3538600</v>
      </c>
      <c r="R46" s="5" t="s">
        <v>3384</v>
      </c>
      <c r="S46" s="5" t="s">
        <v>254</v>
      </c>
      <c r="T46" s="11">
        <v>1</v>
      </c>
      <c r="U46" s="5" t="s">
        <v>2289</v>
      </c>
      <c r="V46" s="31" t="s">
        <v>2290</v>
      </c>
      <c r="W46" s="10">
        <v>45322</v>
      </c>
      <c r="X46" s="5" t="s">
        <v>67</v>
      </c>
      <c r="Y46" s="5" t="s">
        <v>2291</v>
      </c>
      <c r="Z46" s="65"/>
      <c r="AA46" s="5">
        <v>323</v>
      </c>
      <c r="AB46" s="9"/>
      <c r="AC46" s="9"/>
      <c r="AD46" s="9"/>
      <c r="AE46" s="9"/>
      <c r="AF46" s="9">
        <v>340</v>
      </c>
      <c r="AG46" s="9">
        <v>322</v>
      </c>
      <c r="AH46" s="9"/>
      <c r="AI46" s="9"/>
      <c r="AJ46" s="9"/>
      <c r="AK46" s="9"/>
      <c r="AL46" s="9"/>
      <c r="AM46" s="9"/>
      <c r="AN46" s="9"/>
      <c r="AO46" s="9">
        <v>3</v>
      </c>
      <c r="AP46" s="62">
        <v>328.33333333333331</v>
      </c>
      <c r="AQ46" s="11" t="s">
        <v>2965</v>
      </c>
      <c r="AR46" s="11" t="s">
        <v>3116</v>
      </c>
      <c r="AS46" s="11" t="s">
        <v>3385</v>
      </c>
      <c r="AT46" s="187" t="s">
        <v>3386</v>
      </c>
      <c r="AU46" s="5"/>
      <c r="AV46" s="5" t="s">
        <v>3118</v>
      </c>
      <c r="AW46" s="187" t="s">
        <v>3387</v>
      </c>
      <c r="AX46" s="5" t="s">
        <v>3388</v>
      </c>
      <c r="AY46" s="5" t="s">
        <v>3389</v>
      </c>
      <c r="AZ46" s="187" t="s">
        <v>2973</v>
      </c>
      <c r="BA46" s="10"/>
      <c r="BB46" s="10"/>
      <c r="BC46" s="10"/>
      <c r="BD46" s="10"/>
      <c r="BE46" s="10"/>
      <c r="BF46" s="5"/>
      <c r="BG46" s="5"/>
      <c r="BH46" s="5"/>
      <c r="BI46" s="196">
        <v>45986</v>
      </c>
      <c r="BJ46" s="190">
        <f t="shared" si="3"/>
        <v>114</v>
      </c>
      <c r="BK46" s="11"/>
    </row>
    <row r="47" spans="2:63" s="114" customFormat="1" ht="76.5" x14ac:dyDescent="0.25">
      <c r="B47" s="5">
        <v>475</v>
      </c>
      <c r="C47" s="5" t="s">
        <v>2320</v>
      </c>
      <c r="D47" s="5" t="s">
        <v>33</v>
      </c>
      <c r="E47" s="187" t="s">
        <v>2321</v>
      </c>
      <c r="F47" s="187" t="s">
        <v>2322</v>
      </c>
      <c r="G47" s="5" t="s">
        <v>36</v>
      </c>
      <c r="H47" s="161">
        <v>350000</v>
      </c>
      <c r="I47" s="17">
        <v>339000</v>
      </c>
      <c r="J47" s="17">
        <v>11000</v>
      </c>
      <c r="K47" s="116">
        <v>30</v>
      </c>
      <c r="L47" s="5" t="s">
        <v>3390</v>
      </c>
      <c r="M47" s="5" t="s">
        <v>3391</v>
      </c>
      <c r="N47" s="5" t="s">
        <v>3392</v>
      </c>
      <c r="O47" s="5" t="s">
        <v>3393</v>
      </c>
      <c r="P47" s="5" t="s">
        <v>3282</v>
      </c>
      <c r="Q47" s="5">
        <v>3543402</v>
      </c>
      <c r="R47" s="5" t="s">
        <v>3394</v>
      </c>
      <c r="S47" s="5" t="s">
        <v>154</v>
      </c>
      <c r="T47" s="11">
        <v>1</v>
      </c>
      <c r="U47" s="5" t="s">
        <v>2323</v>
      </c>
      <c r="V47" s="52" t="s">
        <v>3395</v>
      </c>
      <c r="W47" s="10">
        <v>45322</v>
      </c>
      <c r="X47" s="5" t="s">
        <v>67</v>
      </c>
      <c r="Y47" s="5"/>
      <c r="Z47" s="65"/>
      <c r="AA47" s="5">
        <v>323</v>
      </c>
      <c r="AB47" s="9"/>
      <c r="AC47" s="9"/>
      <c r="AD47" s="9"/>
      <c r="AE47" s="9"/>
      <c r="AF47" s="9">
        <v>340</v>
      </c>
      <c r="AG47" s="9">
        <v>322</v>
      </c>
      <c r="AH47" s="9"/>
      <c r="AI47" s="9"/>
      <c r="AJ47" s="9"/>
      <c r="AK47" s="9"/>
      <c r="AL47" s="9"/>
      <c r="AM47" s="9"/>
      <c r="AN47" s="9"/>
      <c r="AO47" s="9">
        <v>3</v>
      </c>
      <c r="AP47" s="62">
        <v>328.33333333333331</v>
      </c>
      <c r="AQ47" s="11" t="s">
        <v>2965</v>
      </c>
      <c r="AR47" s="11" t="s">
        <v>3116</v>
      </c>
      <c r="AS47" s="11" t="s">
        <v>3396</v>
      </c>
      <c r="AT47" s="187" t="s">
        <v>3397</v>
      </c>
      <c r="AU47" s="5"/>
      <c r="AV47" s="5" t="s">
        <v>3118</v>
      </c>
      <c r="AW47" s="187" t="s">
        <v>3009</v>
      </c>
      <c r="AX47" s="5"/>
      <c r="AY47" s="5" t="s">
        <v>3398</v>
      </c>
      <c r="AZ47" s="187" t="s">
        <v>2987</v>
      </c>
      <c r="BA47" s="10">
        <v>45825</v>
      </c>
      <c r="BB47" s="10"/>
      <c r="BC47" s="10">
        <f t="shared" ref="BC47:BC52" si="4">EDATE(BA47,12)</f>
        <v>46190</v>
      </c>
      <c r="BD47" s="10">
        <v>45831</v>
      </c>
      <c r="BE47" s="10">
        <v>45833</v>
      </c>
      <c r="BF47" s="5"/>
      <c r="BG47" s="5" t="s">
        <v>3289</v>
      </c>
      <c r="BH47" s="5" t="s">
        <v>3039</v>
      </c>
      <c r="BI47" s="196">
        <v>46098</v>
      </c>
      <c r="BJ47" s="190">
        <f t="shared" si="3"/>
        <v>2</v>
      </c>
      <c r="BK47" s="11" t="s">
        <v>3399</v>
      </c>
    </row>
    <row r="48" spans="2:63" s="114" customFormat="1" ht="63.75" x14ac:dyDescent="0.25">
      <c r="B48" s="5">
        <v>395</v>
      </c>
      <c r="C48" s="5" t="s">
        <v>1979</v>
      </c>
      <c r="D48" s="5" t="s">
        <v>33</v>
      </c>
      <c r="E48" s="187" t="s">
        <v>1959</v>
      </c>
      <c r="F48" s="187" t="s">
        <v>1980</v>
      </c>
      <c r="G48" s="5" t="s">
        <v>107</v>
      </c>
      <c r="H48" s="161">
        <v>254000</v>
      </c>
      <c r="I48" s="17">
        <v>242000</v>
      </c>
      <c r="J48" s="17">
        <v>12000</v>
      </c>
      <c r="K48" s="116">
        <v>25</v>
      </c>
      <c r="L48" s="5" t="s">
        <v>3400</v>
      </c>
      <c r="M48" s="5" t="s">
        <v>3401</v>
      </c>
      <c r="N48" s="5" t="s">
        <v>2977</v>
      </c>
      <c r="O48" s="5" t="s">
        <v>3402</v>
      </c>
      <c r="P48" s="5" t="s">
        <v>3282</v>
      </c>
      <c r="Q48" s="5">
        <v>3543402</v>
      </c>
      <c r="R48" s="5" t="s">
        <v>3403</v>
      </c>
      <c r="S48" s="5" t="s">
        <v>154</v>
      </c>
      <c r="T48" s="11">
        <v>1</v>
      </c>
      <c r="U48" s="5" t="s">
        <v>1961</v>
      </c>
      <c r="V48" s="31" t="s">
        <v>1962</v>
      </c>
      <c r="W48" s="10">
        <v>45322</v>
      </c>
      <c r="X48" s="5" t="s">
        <v>41</v>
      </c>
      <c r="Y48" s="5"/>
      <c r="Z48" s="65"/>
      <c r="AA48" s="5">
        <v>340</v>
      </c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>
        <v>340</v>
      </c>
      <c r="AM48" s="9">
        <v>302</v>
      </c>
      <c r="AN48" s="9"/>
      <c r="AO48" s="9">
        <v>3</v>
      </c>
      <c r="AP48" s="62">
        <v>327.33333333333331</v>
      </c>
      <c r="AQ48" s="11" t="s">
        <v>2965</v>
      </c>
      <c r="AR48" s="11" t="s">
        <v>3404</v>
      </c>
      <c r="AS48" s="11" t="s">
        <v>3405</v>
      </c>
      <c r="AT48" s="187" t="s">
        <v>3406</v>
      </c>
      <c r="AU48" s="5"/>
      <c r="AV48" s="5" t="s">
        <v>3020</v>
      </c>
      <c r="AW48" s="187" t="s">
        <v>3083</v>
      </c>
      <c r="AX48" s="5" t="s">
        <v>3036</v>
      </c>
      <c r="AY48" s="5"/>
      <c r="AZ48" s="187" t="s">
        <v>3097</v>
      </c>
      <c r="BA48" s="10">
        <v>45762</v>
      </c>
      <c r="BB48" s="10"/>
      <c r="BC48" s="10">
        <f t="shared" si="4"/>
        <v>46127</v>
      </c>
      <c r="BD48" s="10">
        <v>45770</v>
      </c>
      <c r="BE48" s="10">
        <v>45779</v>
      </c>
      <c r="BF48" s="5"/>
      <c r="BG48" s="5" t="s">
        <v>3119</v>
      </c>
      <c r="BH48" s="5" t="s">
        <v>3085</v>
      </c>
      <c r="BI48" s="196">
        <v>46058</v>
      </c>
      <c r="BJ48" s="190">
        <f t="shared" si="3"/>
        <v>42</v>
      </c>
      <c r="BK48" s="11" t="s">
        <v>3407</v>
      </c>
    </row>
    <row r="49" spans="2:63" s="114" customFormat="1" ht="63.75" x14ac:dyDescent="0.25">
      <c r="B49" s="5">
        <v>518</v>
      </c>
      <c r="C49" s="5" t="s">
        <v>2534</v>
      </c>
      <c r="D49" s="5" t="s">
        <v>51</v>
      </c>
      <c r="E49" s="188" t="s">
        <v>2535</v>
      </c>
      <c r="F49" s="191" t="s">
        <v>2536</v>
      </c>
      <c r="G49" s="11" t="s">
        <v>36</v>
      </c>
      <c r="H49" s="160">
        <v>329349.99</v>
      </c>
      <c r="I49" s="38">
        <v>280980.65999999997</v>
      </c>
      <c r="J49" s="38">
        <v>48369.33</v>
      </c>
      <c r="K49" s="115"/>
      <c r="L49" s="9" t="s">
        <v>3408</v>
      </c>
      <c r="M49" s="9" t="s">
        <v>3409</v>
      </c>
      <c r="N49" s="9" t="s">
        <v>2977</v>
      </c>
      <c r="O49" s="5" t="s">
        <v>3410</v>
      </c>
      <c r="P49" s="9" t="s">
        <v>3198</v>
      </c>
      <c r="Q49" s="5">
        <v>3504107</v>
      </c>
      <c r="R49" s="5" t="s">
        <v>3411</v>
      </c>
      <c r="S49" s="11" t="s">
        <v>254</v>
      </c>
      <c r="T49" s="11">
        <v>1</v>
      </c>
      <c r="U49" s="11" t="s">
        <v>2537</v>
      </c>
      <c r="V49" s="72" t="s">
        <v>3412</v>
      </c>
      <c r="W49" s="34">
        <v>45322</v>
      </c>
      <c r="X49" s="9" t="s">
        <v>57</v>
      </c>
      <c r="Y49" s="11" t="s">
        <v>518</v>
      </c>
      <c r="Z49" s="9"/>
      <c r="AA49" s="9">
        <v>323</v>
      </c>
      <c r="AB49" s="9"/>
      <c r="AC49" s="9"/>
      <c r="AD49" s="9"/>
      <c r="AE49" s="9"/>
      <c r="AF49" s="9">
        <v>340</v>
      </c>
      <c r="AG49" s="9">
        <v>316</v>
      </c>
      <c r="AH49" s="9"/>
      <c r="AI49" s="9"/>
      <c r="AJ49" s="9"/>
      <c r="AK49" s="9"/>
      <c r="AL49" s="9"/>
      <c r="AM49" s="65"/>
      <c r="AN49" s="65"/>
      <c r="AO49" s="9">
        <v>3</v>
      </c>
      <c r="AP49" s="62">
        <v>326.33333333333331</v>
      </c>
      <c r="AQ49" s="11" t="s">
        <v>2965</v>
      </c>
      <c r="AR49" s="11" t="s">
        <v>3413</v>
      </c>
      <c r="AS49" s="11" t="s">
        <v>3414</v>
      </c>
      <c r="AT49" s="187" t="s">
        <v>3415</v>
      </c>
      <c r="AU49" s="5"/>
      <c r="AV49" s="5" t="s">
        <v>3034</v>
      </c>
      <c r="AW49" s="187" t="s">
        <v>3416</v>
      </c>
      <c r="AX49" s="5"/>
      <c r="AY49" s="5"/>
      <c r="AZ49" s="187" t="s">
        <v>3417</v>
      </c>
      <c r="BA49" s="10">
        <v>45643</v>
      </c>
      <c r="BB49" s="10"/>
      <c r="BC49" s="165">
        <f t="shared" si="4"/>
        <v>46008</v>
      </c>
      <c r="BD49" s="10">
        <v>45646</v>
      </c>
      <c r="BE49" s="10">
        <v>45734</v>
      </c>
      <c r="BF49" s="5"/>
      <c r="BG49" s="5" t="s">
        <v>2996</v>
      </c>
      <c r="BH49" s="5" t="s">
        <v>2997</v>
      </c>
      <c r="BI49" s="196">
        <v>46100</v>
      </c>
      <c r="BJ49" s="190">
        <f t="shared" si="3"/>
        <v>0</v>
      </c>
      <c r="BK49" s="173" t="s">
        <v>3418</v>
      </c>
    </row>
    <row r="50" spans="2:63" s="114" customFormat="1" ht="51" x14ac:dyDescent="0.25">
      <c r="B50" s="5">
        <v>345</v>
      </c>
      <c r="C50" s="170" t="s">
        <v>1757</v>
      </c>
      <c r="D50" s="5" t="s">
        <v>33</v>
      </c>
      <c r="E50" s="187" t="s">
        <v>172</v>
      </c>
      <c r="F50" s="187" t="s">
        <v>1758</v>
      </c>
      <c r="G50" s="5" t="s">
        <v>36</v>
      </c>
      <c r="H50" s="161">
        <v>120720</v>
      </c>
      <c r="I50" s="17">
        <f>H50</f>
        <v>120720</v>
      </c>
      <c r="J50" s="17">
        <v>0</v>
      </c>
      <c r="K50" s="116">
        <v>15</v>
      </c>
      <c r="L50" s="5" t="s">
        <v>3419</v>
      </c>
      <c r="M50" s="5" t="s">
        <v>3420</v>
      </c>
      <c r="N50" s="5" t="s">
        <v>2977</v>
      </c>
      <c r="O50" s="5" t="s">
        <v>3421</v>
      </c>
      <c r="P50" s="5" t="s">
        <v>3422</v>
      </c>
      <c r="Q50" s="5">
        <v>3551405</v>
      </c>
      <c r="R50" s="5" t="s">
        <v>3423</v>
      </c>
      <c r="S50" s="5" t="s">
        <v>154</v>
      </c>
      <c r="T50" s="11">
        <v>1</v>
      </c>
      <c r="U50" s="5" t="s">
        <v>1760</v>
      </c>
      <c r="V50" s="31" t="s">
        <v>3424</v>
      </c>
      <c r="W50" s="10">
        <v>45321</v>
      </c>
      <c r="X50" s="5" t="s">
        <v>67</v>
      </c>
      <c r="Y50" s="5"/>
      <c r="Z50" s="65"/>
      <c r="AA50" s="5">
        <v>317</v>
      </c>
      <c r="AB50" s="9"/>
      <c r="AC50" s="9"/>
      <c r="AD50" s="9"/>
      <c r="AE50" s="9"/>
      <c r="AF50" s="9">
        <v>340</v>
      </c>
      <c r="AG50" s="9">
        <v>321</v>
      </c>
      <c r="AH50" s="9"/>
      <c r="AI50" s="9"/>
      <c r="AJ50" s="9"/>
      <c r="AK50" s="9"/>
      <c r="AL50" s="9"/>
      <c r="AM50" s="9"/>
      <c r="AN50" s="9"/>
      <c r="AO50" s="9">
        <v>3</v>
      </c>
      <c r="AP50" s="62">
        <v>326</v>
      </c>
      <c r="AQ50" s="11" t="s">
        <v>2965</v>
      </c>
      <c r="AR50" s="11" t="s">
        <v>3093</v>
      </c>
      <c r="AS50" s="11" t="s">
        <v>3425</v>
      </c>
      <c r="AT50" s="187" t="s">
        <v>3426</v>
      </c>
      <c r="AU50" s="5"/>
      <c r="AV50" s="5" t="s">
        <v>3020</v>
      </c>
      <c r="AW50" s="187" t="s">
        <v>3083</v>
      </c>
      <c r="AX50" s="5"/>
      <c r="AY50" s="5"/>
      <c r="AZ50" s="187" t="s">
        <v>3097</v>
      </c>
      <c r="BA50" s="10">
        <v>45643</v>
      </c>
      <c r="BB50" s="10"/>
      <c r="BC50" s="165">
        <f t="shared" si="4"/>
        <v>46008</v>
      </c>
      <c r="BD50" s="10">
        <v>45646</v>
      </c>
      <c r="BE50" s="10">
        <v>45674</v>
      </c>
      <c r="BF50" s="5"/>
      <c r="BG50" s="5" t="s">
        <v>3427</v>
      </c>
      <c r="BH50" s="5" t="s">
        <v>2997</v>
      </c>
      <c r="BI50" s="196">
        <v>46085</v>
      </c>
      <c r="BJ50" s="190">
        <f t="shared" si="3"/>
        <v>15</v>
      </c>
      <c r="BK50" s="11"/>
    </row>
    <row r="51" spans="2:63" s="114" customFormat="1" ht="38.25" x14ac:dyDescent="0.25">
      <c r="B51" s="5">
        <v>479</v>
      </c>
      <c r="C51" s="5" t="s">
        <v>2339</v>
      </c>
      <c r="D51" s="5" t="s">
        <v>51</v>
      </c>
      <c r="E51" s="188" t="s">
        <v>2332</v>
      </c>
      <c r="F51" s="188" t="s">
        <v>2340</v>
      </c>
      <c r="G51" s="11" t="s">
        <v>107</v>
      </c>
      <c r="H51" s="160">
        <v>107340</v>
      </c>
      <c r="I51" s="38">
        <f>H51</f>
        <v>107340</v>
      </c>
      <c r="J51" s="38">
        <v>0</v>
      </c>
      <c r="K51" s="115"/>
      <c r="L51" s="9" t="s">
        <v>3428</v>
      </c>
      <c r="M51" s="9" t="s">
        <v>3429</v>
      </c>
      <c r="N51" s="9" t="s">
        <v>2977</v>
      </c>
      <c r="O51" s="5" t="s">
        <v>3430</v>
      </c>
      <c r="P51" s="9" t="s">
        <v>3431</v>
      </c>
      <c r="Q51" s="5">
        <v>3555307</v>
      </c>
      <c r="R51" s="5" t="s">
        <v>3432</v>
      </c>
      <c r="S51" s="11" t="s">
        <v>47</v>
      </c>
      <c r="T51" s="11">
        <v>1</v>
      </c>
      <c r="U51" s="9" t="s">
        <v>2335</v>
      </c>
      <c r="V51" s="31" t="s">
        <v>2336</v>
      </c>
      <c r="W51" s="34">
        <v>45322</v>
      </c>
      <c r="X51" s="9" t="s">
        <v>57</v>
      </c>
      <c r="Y51" s="9"/>
      <c r="Z51" s="65"/>
      <c r="AA51" s="9">
        <v>316</v>
      </c>
      <c r="AB51" s="9"/>
      <c r="AC51" s="9"/>
      <c r="AD51" s="9"/>
      <c r="AE51" s="9"/>
      <c r="AF51" s="9">
        <v>340</v>
      </c>
      <c r="AG51" s="9">
        <v>319</v>
      </c>
      <c r="AH51" s="9"/>
      <c r="AI51" s="9"/>
      <c r="AJ51" s="9"/>
      <c r="AK51" s="9"/>
      <c r="AL51" s="9"/>
      <c r="AM51" s="65"/>
      <c r="AN51" s="65"/>
      <c r="AO51" s="9">
        <v>3</v>
      </c>
      <c r="AP51" s="62">
        <v>325</v>
      </c>
      <c r="AQ51" s="11" t="s">
        <v>2965</v>
      </c>
      <c r="AR51" s="11" t="s">
        <v>3219</v>
      </c>
      <c r="AS51" s="11" t="s">
        <v>3433</v>
      </c>
      <c r="AT51" s="187" t="s">
        <v>3434</v>
      </c>
      <c r="AU51" s="58"/>
      <c r="AV51" s="5" t="s">
        <v>2969</v>
      </c>
      <c r="AW51" s="187" t="s">
        <v>2986</v>
      </c>
      <c r="AX51" s="5" t="s">
        <v>3036</v>
      </c>
      <c r="AY51" s="5"/>
      <c r="AZ51" s="187" t="s">
        <v>3084</v>
      </c>
      <c r="BA51" s="10">
        <v>45855</v>
      </c>
      <c r="BB51" s="10"/>
      <c r="BC51" s="10">
        <f t="shared" si="4"/>
        <v>46220</v>
      </c>
      <c r="BD51" s="10">
        <v>45861</v>
      </c>
      <c r="BE51" s="10">
        <v>45870</v>
      </c>
      <c r="BF51" s="5"/>
      <c r="BG51" s="5" t="s">
        <v>3154</v>
      </c>
      <c r="BH51" s="5" t="s">
        <v>3039</v>
      </c>
      <c r="BI51" s="196">
        <v>45873</v>
      </c>
      <c r="BJ51" s="190">
        <f t="shared" si="3"/>
        <v>227</v>
      </c>
      <c r="BK51" s="11" t="s">
        <v>2988</v>
      </c>
    </row>
    <row r="52" spans="2:63" s="114" customFormat="1" ht="102" x14ac:dyDescent="0.25">
      <c r="B52" s="5">
        <v>426</v>
      </c>
      <c r="C52" s="5" t="s">
        <v>2100</v>
      </c>
      <c r="D52" s="5" t="s">
        <v>33</v>
      </c>
      <c r="E52" s="187" t="s">
        <v>1964</v>
      </c>
      <c r="F52" s="187" t="s">
        <v>2101</v>
      </c>
      <c r="G52" s="5" t="s">
        <v>36</v>
      </c>
      <c r="H52" s="161">
        <v>328800</v>
      </c>
      <c r="I52" s="17">
        <v>0</v>
      </c>
      <c r="J52" s="17">
        <v>328800</v>
      </c>
      <c r="K52" s="116">
        <v>87</v>
      </c>
      <c r="L52" s="5" t="s">
        <v>3435</v>
      </c>
      <c r="M52" s="5" t="s">
        <v>3436</v>
      </c>
      <c r="N52" s="9" t="s">
        <v>3437</v>
      </c>
      <c r="O52" s="5" t="s">
        <v>3438</v>
      </c>
      <c r="P52" s="5" t="s">
        <v>3439</v>
      </c>
      <c r="Q52" s="5">
        <v>3541406</v>
      </c>
      <c r="R52" s="5" t="s">
        <v>3440</v>
      </c>
      <c r="S52" s="58" t="s">
        <v>64</v>
      </c>
      <c r="T52" s="11">
        <v>1</v>
      </c>
      <c r="U52" s="5" t="s">
        <v>1966</v>
      </c>
      <c r="V52" s="52" t="s">
        <v>2102</v>
      </c>
      <c r="W52" s="10">
        <v>45322</v>
      </c>
      <c r="X52" s="5" t="s">
        <v>67</v>
      </c>
      <c r="Y52" s="9"/>
      <c r="Z52" s="65"/>
      <c r="AA52" s="5">
        <v>301</v>
      </c>
      <c r="AB52" s="9"/>
      <c r="AC52" s="9"/>
      <c r="AD52" s="9"/>
      <c r="AE52" s="9"/>
      <c r="AF52" s="9"/>
      <c r="AG52" s="9"/>
      <c r="AH52" s="9">
        <v>333</v>
      </c>
      <c r="AI52" s="9">
        <v>340</v>
      </c>
      <c r="AJ52" s="9"/>
      <c r="AK52" s="9"/>
      <c r="AL52" s="9"/>
      <c r="AM52" s="9"/>
      <c r="AN52" s="9"/>
      <c r="AO52" s="9">
        <v>3</v>
      </c>
      <c r="AP52" s="62">
        <v>324.66666666666669</v>
      </c>
      <c r="AQ52" s="11" t="s">
        <v>2965</v>
      </c>
      <c r="AR52" s="11" t="s">
        <v>3093</v>
      </c>
      <c r="AS52" s="11" t="s">
        <v>3441</v>
      </c>
      <c r="AT52" s="187" t="s">
        <v>3442</v>
      </c>
      <c r="AU52" s="5"/>
      <c r="AV52" s="5" t="s">
        <v>3020</v>
      </c>
      <c r="AW52" s="187" t="s">
        <v>3083</v>
      </c>
      <c r="AX52" s="5"/>
      <c r="AY52" s="5"/>
      <c r="AZ52" s="187" t="s">
        <v>3084</v>
      </c>
      <c r="BA52" s="10">
        <v>45846</v>
      </c>
      <c r="BB52" s="10"/>
      <c r="BC52" s="10">
        <f t="shared" si="4"/>
        <v>46211</v>
      </c>
      <c r="BD52" s="10">
        <v>45853</v>
      </c>
      <c r="BE52" s="10">
        <v>45856</v>
      </c>
      <c r="BF52" s="5"/>
      <c r="BG52" s="5" t="s">
        <v>3119</v>
      </c>
      <c r="BH52" s="5" t="s">
        <v>3039</v>
      </c>
      <c r="BI52" s="196">
        <v>46091</v>
      </c>
      <c r="BJ52" s="190">
        <f t="shared" si="3"/>
        <v>9</v>
      </c>
      <c r="BK52" s="11"/>
    </row>
    <row r="53" spans="2:63" s="114" customFormat="1" ht="25.5" hidden="1" x14ac:dyDescent="0.25">
      <c r="B53" s="5">
        <v>182</v>
      </c>
      <c r="C53" s="5" t="s">
        <v>967</v>
      </c>
      <c r="D53" s="5" t="s">
        <v>51</v>
      </c>
      <c r="E53" s="9" t="s">
        <v>968</v>
      </c>
      <c r="F53" s="5" t="s">
        <v>969</v>
      </c>
      <c r="G53" s="11" t="s">
        <v>174</v>
      </c>
      <c r="H53" s="38">
        <v>578902.54</v>
      </c>
      <c r="I53" s="38">
        <v>578902.54</v>
      </c>
      <c r="J53" s="38"/>
      <c r="K53" s="115"/>
      <c r="L53" s="5" t="s">
        <v>3443</v>
      </c>
      <c r="M53" s="9" t="s">
        <v>3444</v>
      </c>
      <c r="N53" s="9" t="s">
        <v>3445</v>
      </c>
      <c r="O53" s="9" t="s">
        <v>3446</v>
      </c>
      <c r="P53" s="9" t="s">
        <v>970</v>
      </c>
      <c r="Q53" s="5">
        <v>3553955</v>
      </c>
      <c r="R53" s="9" t="s">
        <v>3447</v>
      </c>
      <c r="S53" s="9" t="s">
        <v>223</v>
      </c>
      <c r="T53" s="11">
        <v>1</v>
      </c>
      <c r="U53" s="9" t="s">
        <v>971</v>
      </c>
      <c r="V53" s="31" t="s">
        <v>972</v>
      </c>
      <c r="W53" s="34"/>
      <c r="X53" s="9" t="s">
        <v>41</v>
      </c>
      <c r="Y53" s="11"/>
      <c r="Z53" s="65"/>
      <c r="AA53" s="9">
        <v>324</v>
      </c>
      <c r="AB53" s="9"/>
      <c r="AC53" s="9"/>
      <c r="AD53" s="9"/>
      <c r="AE53" s="9"/>
      <c r="AF53" s="9"/>
      <c r="AG53" s="9"/>
      <c r="AH53" s="9"/>
      <c r="AI53" s="9"/>
      <c r="AJ53" s="9"/>
      <c r="AK53" s="9">
        <v>312</v>
      </c>
      <c r="AL53" s="9"/>
      <c r="AM53" s="9">
        <v>333</v>
      </c>
      <c r="AN53" s="9"/>
      <c r="AO53" s="9">
        <v>3</v>
      </c>
      <c r="AP53" s="62">
        <v>323</v>
      </c>
      <c r="AQ53" s="11" t="s">
        <v>3004</v>
      </c>
      <c r="AR53" s="11" t="s">
        <v>3448</v>
      </c>
      <c r="AS53" s="11" t="s">
        <v>3257</v>
      </c>
      <c r="AT53" s="5" t="s">
        <v>3449</v>
      </c>
      <c r="AU53" s="5"/>
      <c r="AV53" s="5" t="s">
        <v>3259</v>
      </c>
      <c r="AW53" s="5" t="s">
        <v>3009</v>
      </c>
      <c r="AX53" s="5"/>
      <c r="AY53" s="5"/>
      <c r="AZ53" s="5" t="s">
        <v>2973</v>
      </c>
      <c r="BA53" s="10"/>
      <c r="BB53" s="10"/>
      <c r="BC53" s="10"/>
      <c r="BD53" s="10"/>
      <c r="BE53" s="10"/>
      <c r="BF53" s="5"/>
      <c r="BG53" s="5"/>
      <c r="BH53" s="5"/>
      <c r="BI53" s="10">
        <v>45643</v>
      </c>
      <c r="BJ53" s="113">
        <f t="shared" si="3"/>
        <v>457</v>
      </c>
      <c r="BK53" s="11" t="s">
        <v>3010</v>
      </c>
    </row>
    <row r="54" spans="2:63" s="64" customFormat="1" ht="25.5" hidden="1" x14ac:dyDescent="0.25">
      <c r="B54" s="5">
        <v>531</v>
      </c>
      <c r="C54" s="97" t="s">
        <v>2592</v>
      </c>
      <c r="D54" s="45" t="s">
        <v>33</v>
      </c>
      <c r="E54" s="45" t="s">
        <v>2593</v>
      </c>
      <c r="F54" s="45" t="s">
        <v>2594</v>
      </c>
      <c r="G54" s="45" t="s">
        <v>300</v>
      </c>
      <c r="H54" s="92">
        <v>240000</v>
      </c>
      <c r="I54" s="92"/>
      <c r="J54" s="92"/>
      <c r="K54" s="92"/>
      <c r="L54" s="45"/>
      <c r="M54" s="45"/>
      <c r="N54" s="45"/>
      <c r="O54" s="45"/>
      <c r="P54" s="45" t="s">
        <v>2595</v>
      </c>
      <c r="Q54" s="5"/>
      <c r="R54" s="45"/>
      <c r="S54" s="45" t="s">
        <v>391</v>
      </c>
      <c r="T54" s="45"/>
      <c r="U54" s="45" t="s">
        <v>2596</v>
      </c>
      <c r="V54" s="88" t="s">
        <v>2597</v>
      </c>
      <c r="W54" s="94">
        <v>45322</v>
      </c>
      <c r="X54" s="46" t="s">
        <v>226</v>
      </c>
      <c r="Y54" s="45" t="s">
        <v>375</v>
      </c>
      <c r="Z54" s="45"/>
      <c r="AA54" s="45">
        <v>289</v>
      </c>
      <c r="AB54" s="46"/>
      <c r="AC54" s="46"/>
      <c r="AD54" s="46"/>
      <c r="AE54" s="46"/>
      <c r="AF54" s="46">
        <v>340</v>
      </c>
      <c r="AG54" s="46"/>
      <c r="AH54" s="46"/>
      <c r="AI54" s="46">
        <v>340</v>
      </c>
      <c r="AJ54" s="46"/>
      <c r="AK54" s="46"/>
      <c r="AL54" s="46"/>
      <c r="AM54" s="46"/>
      <c r="AN54" s="46"/>
      <c r="AO54" s="46">
        <v>3</v>
      </c>
      <c r="AP54" s="91">
        <v>323</v>
      </c>
      <c r="AQ54" s="86" t="s">
        <v>2965</v>
      </c>
      <c r="AR54" s="86" t="s">
        <v>3292</v>
      </c>
      <c r="AS54" s="86" t="s">
        <v>3450</v>
      </c>
      <c r="AT54" s="5"/>
      <c r="AU54" s="5"/>
      <c r="AV54" s="5"/>
      <c r="AW54" s="5"/>
      <c r="AX54" s="76"/>
      <c r="AY54" s="76"/>
      <c r="AZ54" s="111"/>
      <c r="BA54" s="10"/>
      <c r="BB54" s="10"/>
      <c r="BC54" s="10"/>
      <c r="BD54" s="10"/>
      <c r="BE54" s="10"/>
      <c r="BF54" s="111"/>
      <c r="BG54" s="111"/>
      <c r="BH54" s="111"/>
      <c r="BI54" s="9"/>
      <c r="BJ54" s="110">
        <f t="shared" si="3"/>
        <v>46100</v>
      </c>
      <c r="BK54" s="65"/>
    </row>
    <row r="55" spans="2:63" s="114" customFormat="1" ht="38.25" x14ac:dyDescent="0.25">
      <c r="B55" s="5">
        <v>290</v>
      </c>
      <c r="C55" s="5" t="s">
        <v>1487</v>
      </c>
      <c r="D55" s="5" t="s">
        <v>51</v>
      </c>
      <c r="E55" s="188" t="s">
        <v>1488</v>
      </c>
      <c r="F55" s="188" t="s">
        <v>1489</v>
      </c>
      <c r="G55" s="11" t="s">
        <v>107</v>
      </c>
      <c r="H55" s="160">
        <v>46351.4</v>
      </c>
      <c r="I55" s="38">
        <v>46351.4</v>
      </c>
      <c r="J55" s="38">
        <v>0</v>
      </c>
      <c r="K55" s="115"/>
      <c r="L55" s="9" t="s">
        <v>3451</v>
      </c>
      <c r="M55" s="9" t="s">
        <v>3452</v>
      </c>
      <c r="N55" s="9" t="s">
        <v>2977</v>
      </c>
      <c r="O55" s="9" t="s">
        <v>3453</v>
      </c>
      <c r="P55" s="9" t="s">
        <v>3454</v>
      </c>
      <c r="Q55" s="5">
        <v>3503000</v>
      </c>
      <c r="R55" s="9" t="s">
        <v>3455</v>
      </c>
      <c r="S55" s="11" t="s">
        <v>1414</v>
      </c>
      <c r="T55" s="11">
        <v>1</v>
      </c>
      <c r="U55" s="9" t="s">
        <v>1491</v>
      </c>
      <c r="V55" s="31" t="s">
        <v>1492</v>
      </c>
      <c r="W55" s="34">
        <v>45321</v>
      </c>
      <c r="X55" s="9" t="s">
        <v>57</v>
      </c>
      <c r="Y55" s="65"/>
      <c r="Z55" s="65"/>
      <c r="AA55" s="9">
        <v>318</v>
      </c>
      <c r="AB55" s="9"/>
      <c r="AC55" s="9"/>
      <c r="AD55" s="9"/>
      <c r="AE55" s="9"/>
      <c r="AF55" s="9">
        <v>332</v>
      </c>
      <c r="AG55" s="9">
        <v>316</v>
      </c>
      <c r="AH55" s="9"/>
      <c r="AI55" s="9"/>
      <c r="AJ55" s="9"/>
      <c r="AK55" s="9"/>
      <c r="AL55" s="9"/>
      <c r="AM55" s="65"/>
      <c r="AN55" s="65"/>
      <c r="AO55" s="9">
        <v>3</v>
      </c>
      <c r="AP55" s="62">
        <v>322</v>
      </c>
      <c r="AQ55" s="11" t="s">
        <v>2965</v>
      </c>
      <c r="AR55" s="11" t="s">
        <v>3456</v>
      </c>
      <c r="AS55" s="11" t="s">
        <v>3457</v>
      </c>
      <c r="AT55" s="187" t="s">
        <v>3458</v>
      </c>
      <c r="AU55" s="58"/>
      <c r="AV55" s="5" t="s">
        <v>3259</v>
      </c>
      <c r="AW55" s="187" t="s">
        <v>2986</v>
      </c>
      <c r="AX55" s="5" t="s">
        <v>3036</v>
      </c>
      <c r="AY55" s="5"/>
      <c r="AZ55" s="187" t="s">
        <v>2987</v>
      </c>
      <c r="BA55" s="10">
        <v>45936</v>
      </c>
      <c r="BB55" s="10"/>
      <c r="BC55" s="10">
        <f>EDATE(BA55,12)</f>
        <v>46301</v>
      </c>
      <c r="BD55" s="10">
        <v>45940</v>
      </c>
      <c r="BE55" s="10">
        <v>45947</v>
      </c>
      <c r="BF55" s="5"/>
      <c r="BG55" s="5"/>
      <c r="BH55" s="5" t="s">
        <v>3261</v>
      </c>
      <c r="BI55" s="196">
        <v>46045</v>
      </c>
      <c r="BJ55" s="190">
        <f t="shared" si="3"/>
        <v>55</v>
      </c>
      <c r="BK55" s="11" t="s">
        <v>2988</v>
      </c>
    </row>
    <row r="56" spans="2:63" s="114" customFormat="1" ht="102" x14ac:dyDescent="0.25">
      <c r="B56" s="5">
        <v>328</v>
      </c>
      <c r="C56" s="5" t="s">
        <v>1680</v>
      </c>
      <c r="D56" s="5" t="s">
        <v>33</v>
      </c>
      <c r="E56" s="187" t="s">
        <v>1676</v>
      </c>
      <c r="F56" s="187" t="s">
        <v>1681</v>
      </c>
      <c r="G56" s="5" t="s">
        <v>107</v>
      </c>
      <c r="H56" s="161">
        <v>135650.17000000001</v>
      </c>
      <c r="I56" s="17">
        <v>125710.44</v>
      </c>
      <c r="J56" s="17">
        <v>9939.73</v>
      </c>
      <c r="K56" s="116">
        <v>100</v>
      </c>
      <c r="L56" s="5" t="s">
        <v>3459</v>
      </c>
      <c r="M56" s="5" t="s">
        <v>3460</v>
      </c>
      <c r="N56" s="5" t="s">
        <v>3461</v>
      </c>
      <c r="O56" s="9" t="s">
        <v>3462</v>
      </c>
      <c r="P56" s="5" t="s">
        <v>3463</v>
      </c>
      <c r="Q56" s="5">
        <v>3549904</v>
      </c>
      <c r="R56" s="9" t="s">
        <v>3464</v>
      </c>
      <c r="S56" s="5" t="s">
        <v>95</v>
      </c>
      <c r="T56" s="11">
        <v>1</v>
      </c>
      <c r="U56" s="5" t="s">
        <v>1678</v>
      </c>
      <c r="V56" s="31" t="s">
        <v>1679</v>
      </c>
      <c r="W56" s="10">
        <v>45321</v>
      </c>
      <c r="X56" s="5" t="s">
        <v>41</v>
      </c>
      <c r="Y56" s="5"/>
      <c r="Z56" s="65"/>
      <c r="AA56" s="5">
        <v>337</v>
      </c>
      <c r="AB56" s="9">
        <v>289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>
        <v>340</v>
      </c>
      <c r="AN56" s="9"/>
      <c r="AO56" s="9">
        <v>3</v>
      </c>
      <c r="AP56" s="62">
        <v>322</v>
      </c>
      <c r="AQ56" s="11" t="s">
        <v>2965</v>
      </c>
      <c r="AR56" s="11" t="s">
        <v>3465</v>
      </c>
      <c r="AS56" s="11" t="s">
        <v>3466</v>
      </c>
      <c r="AT56" s="187" t="s">
        <v>3467</v>
      </c>
      <c r="AU56" s="5"/>
      <c r="AV56" s="5" t="s">
        <v>3020</v>
      </c>
      <c r="AW56" s="187" t="s">
        <v>2986</v>
      </c>
      <c r="AX56" s="5"/>
      <c r="AY56" s="5"/>
      <c r="AZ56" s="187" t="s">
        <v>2987</v>
      </c>
      <c r="BA56" s="10">
        <v>45856</v>
      </c>
      <c r="BB56" s="10"/>
      <c r="BC56" s="10">
        <f>EDATE(BA56,12)</f>
        <v>46221</v>
      </c>
      <c r="BD56" s="10">
        <v>45861</v>
      </c>
      <c r="BE56" s="10">
        <v>45867</v>
      </c>
      <c r="BF56" s="5"/>
      <c r="BG56" s="5" t="s">
        <v>3119</v>
      </c>
      <c r="BH56" s="5" t="s">
        <v>3039</v>
      </c>
      <c r="BI56" s="196">
        <v>45876</v>
      </c>
      <c r="BJ56" s="190">
        <f t="shared" si="3"/>
        <v>224</v>
      </c>
      <c r="BK56" s="11" t="s">
        <v>3468</v>
      </c>
    </row>
    <row r="57" spans="2:63" s="114" customFormat="1" ht="38.25" x14ac:dyDescent="0.25">
      <c r="B57" s="5">
        <v>452</v>
      </c>
      <c r="C57" s="5" t="s">
        <v>2213</v>
      </c>
      <c r="D57" s="5" t="s">
        <v>51</v>
      </c>
      <c r="E57" s="187" t="s">
        <v>2208</v>
      </c>
      <c r="F57" s="187" t="s">
        <v>2214</v>
      </c>
      <c r="G57" s="5" t="s">
        <v>107</v>
      </c>
      <c r="H57" s="160">
        <v>144000</v>
      </c>
      <c r="I57" s="38">
        <v>144000</v>
      </c>
      <c r="J57" s="38">
        <v>0</v>
      </c>
      <c r="K57" s="115">
        <v>150</v>
      </c>
      <c r="L57" s="5" t="s">
        <v>3469</v>
      </c>
      <c r="M57" s="5" t="s">
        <v>3470</v>
      </c>
      <c r="N57" s="5" t="s">
        <v>3471</v>
      </c>
      <c r="O57" s="9" t="s">
        <v>3472</v>
      </c>
      <c r="P57" s="9" t="s">
        <v>3473</v>
      </c>
      <c r="Q57" s="5">
        <v>3550605</v>
      </c>
      <c r="R57" s="5" t="s">
        <v>3474</v>
      </c>
      <c r="S57" s="11" t="s">
        <v>391</v>
      </c>
      <c r="T57" s="11">
        <v>1</v>
      </c>
      <c r="U57" s="9" t="s">
        <v>2211</v>
      </c>
      <c r="V57" s="52" t="s">
        <v>3475</v>
      </c>
      <c r="W57" s="34">
        <v>45322</v>
      </c>
      <c r="X57" s="9" t="s">
        <v>57</v>
      </c>
      <c r="Y57" s="9"/>
      <c r="Z57" s="65"/>
      <c r="AA57" s="9">
        <v>304</v>
      </c>
      <c r="AB57" s="9"/>
      <c r="AC57" s="9"/>
      <c r="AD57" s="9"/>
      <c r="AE57" s="9"/>
      <c r="AF57" s="9">
        <v>340</v>
      </c>
      <c r="AG57" s="9">
        <v>322</v>
      </c>
      <c r="AH57" s="9"/>
      <c r="AI57" s="9"/>
      <c r="AJ57" s="9"/>
      <c r="AK57" s="9"/>
      <c r="AL57" s="9"/>
      <c r="AM57" s="65"/>
      <c r="AN57" s="65"/>
      <c r="AO57" s="9">
        <v>3</v>
      </c>
      <c r="AP57" s="62">
        <v>322</v>
      </c>
      <c r="AQ57" s="11" t="s">
        <v>2965</v>
      </c>
      <c r="AR57" s="11" t="s">
        <v>3476</v>
      </c>
      <c r="AS57" s="11" t="s">
        <v>3477</v>
      </c>
      <c r="AT57" s="187" t="s">
        <v>3478</v>
      </c>
      <c r="AU57" s="5"/>
      <c r="AV57" s="5" t="s">
        <v>45</v>
      </c>
      <c r="AW57" s="187" t="s">
        <v>3232</v>
      </c>
      <c r="AX57" s="5"/>
      <c r="AY57" s="5"/>
      <c r="AZ57" s="187" t="s">
        <v>2987</v>
      </c>
      <c r="BA57" s="10">
        <v>45643</v>
      </c>
      <c r="BB57" s="10">
        <v>46373</v>
      </c>
      <c r="BC57" s="165">
        <f>EDATE(BA57,12)</f>
        <v>46008</v>
      </c>
      <c r="BD57" s="10">
        <v>45646</v>
      </c>
      <c r="BE57" s="10">
        <v>45681</v>
      </c>
      <c r="BF57" s="5"/>
      <c r="BG57" s="5" t="s">
        <v>2996</v>
      </c>
      <c r="BH57" s="5" t="s">
        <v>2997</v>
      </c>
      <c r="BI57" s="196">
        <v>46064</v>
      </c>
      <c r="BJ57" s="190">
        <f t="shared" si="3"/>
        <v>36</v>
      </c>
      <c r="BK57" s="86" t="s">
        <v>3479</v>
      </c>
    </row>
    <row r="58" spans="2:63" s="114" customFormat="1" ht="38.25" x14ac:dyDescent="0.25">
      <c r="B58" s="5">
        <v>408</v>
      </c>
      <c r="C58" s="5" t="s">
        <v>2032</v>
      </c>
      <c r="D58" s="5" t="s">
        <v>33</v>
      </c>
      <c r="E58" s="187" t="s">
        <v>2028</v>
      </c>
      <c r="F58" s="187" t="s">
        <v>2033</v>
      </c>
      <c r="G58" s="5" t="s">
        <v>300</v>
      </c>
      <c r="H58" s="161">
        <v>500000</v>
      </c>
      <c r="I58" s="17">
        <v>413000</v>
      </c>
      <c r="J58" s="17">
        <v>87000</v>
      </c>
      <c r="K58" s="116">
        <v>105</v>
      </c>
      <c r="L58" s="5" t="s">
        <v>3480</v>
      </c>
      <c r="M58" s="5" t="s">
        <v>3481</v>
      </c>
      <c r="N58" s="5" t="s">
        <v>3482</v>
      </c>
      <c r="O58" s="5" t="s">
        <v>3483</v>
      </c>
      <c r="P58" s="5" t="s">
        <v>3353</v>
      </c>
      <c r="Q58" s="5">
        <v>3550308</v>
      </c>
      <c r="R58" s="5" t="s">
        <v>3484</v>
      </c>
      <c r="S58" s="5" t="s">
        <v>74</v>
      </c>
      <c r="T58" s="11">
        <v>1</v>
      </c>
      <c r="U58" s="5" t="s">
        <v>2030</v>
      </c>
      <c r="V58" s="31" t="s">
        <v>3485</v>
      </c>
      <c r="W58" s="10">
        <v>45322</v>
      </c>
      <c r="X58" s="5" t="s">
        <v>67</v>
      </c>
      <c r="Y58" s="5"/>
      <c r="Z58" s="65"/>
      <c r="AA58" s="5">
        <v>305</v>
      </c>
      <c r="AB58" s="9"/>
      <c r="AC58" s="9"/>
      <c r="AD58" s="9"/>
      <c r="AE58" s="9"/>
      <c r="AF58" s="9"/>
      <c r="AG58" s="9"/>
      <c r="AH58" s="9">
        <v>340</v>
      </c>
      <c r="AI58" s="9">
        <v>317</v>
      </c>
      <c r="AJ58" s="9"/>
      <c r="AK58" s="9"/>
      <c r="AL58" s="9"/>
      <c r="AM58" s="9"/>
      <c r="AN58" s="9"/>
      <c r="AO58" s="9">
        <v>3</v>
      </c>
      <c r="AP58" s="62">
        <v>320.66666666666669</v>
      </c>
      <c r="AQ58" s="11" t="s">
        <v>2965</v>
      </c>
      <c r="AR58" s="11" t="s">
        <v>3486</v>
      </c>
      <c r="AS58" s="11" t="s">
        <v>3487</v>
      </c>
      <c r="AT58" s="187" t="s">
        <v>3488</v>
      </c>
      <c r="AU58" s="5"/>
      <c r="AV58" s="5" t="s">
        <v>3020</v>
      </c>
      <c r="AW58" s="187" t="s">
        <v>3387</v>
      </c>
      <c r="AX58" s="5" t="s">
        <v>3489</v>
      </c>
      <c r="AY58" s="5" t="s">
        <v>3490</v>
      </c>
      <c r="AZ58" s="187" t="s">
        <v>2973</v>
      </c>
      <c r="BA58" s="10"/>
      <c r="BB58" s="10"/>
      <c r="BC58" s="10"/>
      <c r="BD58" s="10"/>
      <c r="BE58" s="10"/>
      <c r="BF58" s="5"/>
      <c r="BG58" s="5"/>
      <c r="BH58" s="5"/>
      <c r="BI58" s="196">
        <v>46065</v>
      </c>
      <c r="BJ58" s="190">
        <f t="shared" si="3"/>
        <v>35</v>
      </c>
      <c r="BK58" s="11"/>
    </row>
    <row r="59" spans="2:63" s="114" customFormat="1" ht="51" x14ac:dyDescent="0.25">
      <c r="B59" s="5">
        <v>446</v>
      </c>
      <c r="C59" s="5" t="s">
        <v>2182</v>
      </c>
      <c r="D59" s="5" t="s">
        <v>51</v>
      </c>
      <c r="E59" s="187" t="s">
        <v>2183</v>
      </c>
      <c r="F59" s="187" t="s">
        <v>2184</v>
      </c>
      <c r="G59" s="5" t="s">
        <v>107</v>
      </c>
      <c r="H59" s="160">
        <v>73120.100000000006</v>
      </c>
      <c r="I59" s="38">
        <v>73120.100000000006</v>
      </c>
      <c r="J59" s="38">
        <v>0</v>
      </c>
      <c r="K59" s="115"/>
      <c r="L59" s="5" t="s">
        <v>3491</v>
      </c>
      <c r="M59" s="5" t="s">
        <v>3492</v>
      </c>
      <c r="N59" s="5" t="s">
        <v>2977</v>
      </c>
      <c r="O59" s="5" t="s">
        <v>3493</v>
      </c>
      <c r="P59" s="9" t="s">
        <v>3494</v>
      </c>
      <c r="Q59" s="5">
        <v>3503703</v>
      </c>
      <c r="R59" s="5" t="s">
        <v>3495</v>
      </c>
      <c r="S59" s="11" t="s">
        <v>445</v>
      </c>
      <c r="T59" s="11">
        <v>1</v>
      </c>
      <c r="U59" s="9" t="s">
        <v>2186</v>
      </c>
      <c r="V59" s="52" t="s">
        <v>3496</v>
      </c>
      <c r="W59" s="34">
        <v>45322</v>
      </c>
      <c r="X59" s="9" t="s">
        <v>57</v>
      </c>
      <c r="Y59" s="9"/>
      <c r="Z59" s="65"/>
      <c r="AA59" s="9">
        <v>340</v>
      </c>
      <c r="AB59" s="9"/>
      <c r="AC59" s="9"/>
      <c r="AD59" s="9"/>
      <c r="AE59" s="9"/>
      <c r="AF59" s="9"/>
      <c r="AG59" s="9"/>
      <c r="AH59" s="9">
        <v>340</v>
      </c>
      <c r="AI59" s="9">
        <v>282</v>
      </c>
      <c r="AJ59" s="9"/>
      <c r="AK59" s="9"/>
      <c r="AL59" s="9"/>
      <c r="AM59" s="65"/>
      <c r="AN59" s="65"/>
      <c r="AO59" s="9">
        <v>3</v>
      </c>
      <c r="AP59" s="62">
        <v>320.66666666666669</v>
      </c>
      <c r="AQ59" s="11" t="s">
        <v>2965</v>
      </c>
      <c r="AR59" s="11" t="s">
        <v>3497</v>
      </c>
      <c r="AS59" s="11" t="s">
        <v>3498</v>
      </c>
      <c r="AT59" s="187" t="s">
        <v>3499</v>
      </c>
      <c r="AU59" s="5"/>
      <c r="AV59" s="5" t="s">
        <v>3034</v>
      </c>
      <c r="AW59" s="187" t="s">
        <v>2986</v>
      </c>
      <c r="AX59" s="5" t="s">
        <v>3036</v>
      </c>
      <c r="AY59" s="5"/>
      <c r="AZ59" s="187" t="s">
        <v>2987</v>
      </c>
      <c r="BA59" s="10">
        <v>45846</v>
      </c>
      <c r="BB59" s="10"/>
      <c r="BC59" s="10">
        <f>EDATE(BA59,12)</f>
        <v>46211</v>
      </c>
      <c r="BD59" s="10">
        <v>45853</v>
      </c>
      <c r="BE59" s="10">
        <v>45855</v>
      </c>
      <c r="BF59" s="5"/>
      <c r="BG59" s="5" t="s">
        <v>3154</v>
      </c>
      <c r="BH59" s="5" t="s">
        <v>3039</v>
      </c>
      <c r="BI59" s="189">
        <v>45868</v>
      </c>
      <c r="BJ59" s="193">
        <f t="shared" si="3"/>
        <v>232</v>
      </c>
      <c r="BK59" s="11" t="s">
        <v>3500</v>
      </c>
    </row>
    <row r="60" spans="2:63" s="114" customFormat="1" ht="63.75" x14ac:dyDescent="0.25">
      <c r="B60" s="5">
        <v>268</v>
      </c>
      <c r="C60" s="5" t="s">
        <v>1381</v>
      </c>
      <c r="D60" s="5" t="s">
        <v>33</v>
      </c>
      <c r="E60" s="187" t="s">
        <v>1382</v>
      </c>
      <c r="F60" s="187" t="s">
        <v>1383</v>
      </c>
      <c r="G60" s="5" t="s">
        <v>36</v>
      </c>
      <c r="H60" s="161">
        <v>100000</v>
      </c>
      <c r="I60" s="17">
        <v>100000</v>
      </c>
      <c r="J60" s="17">
        <v>0</v>
      </c>
      <c r="K60" s="116">
        <v>50</v>
      </c>
      <c r="L60" s="5" t="s">
        <v>3501</v>
      </c>
      <c r="M60" s="5" t="s">
        <v>3502</v>
      </c>
      <c r="N60" s="5" t="s">
        <v>3503</v>
      </c>
      <c r="O60" s="5" t="s">
        <v>3504</v>
      </c>
      <c r="P60" s="5" t="s">
        <v>3002</v>
      </c>
      <c r="Q60" s="5">
        <v>3503356</v>
      </c>
      <c r="R60" s="5" t="s">
        <v>3505</v>
      </c>
      <c r="S60" s="5" t="s">
        <v>223</v>
      </c>
      <c r="T60" s="11">
        <v>1</v>
      </c>
      <c r="U60" s="5" t="s">
        <v>1385</v>
      </c>
      <c r="V60" s="52" t="s">
        <v>3506</v>
      </c>
      <c r="W60" s="10">
        <v>45320</v>
      </c>
      <c r="X60" s="5" t="s">
        <v>67</v>
      </c>
      <c r="Y60" s="5"/>
      <c r="Z60" s="65"/>
      <c r="AA60" s="5">
        <v>293</v>
      </c>
      <c r="AB60" s="9"/>
      <c r="AC60" s="9"/>
      <c r="AD60" s="9"/>
      <c r="AE60" s="9"/>
      <c r="AF60" s="9"/>
      <c r="AG60" s="9">
        <v>328</v>
      </c>
      <c r="AH60" s="9"/>
      <c r="AI60" s="9">
        <v>340</v>
      </c>
      <c r="AJ60" s="9"/>
      <c r="AK60" s="9"/>
      <c r="AL60" s="9"/>
      <c r="AM60" s="9"/>
      <c r="AN60" s="9"/>
      <c r="AO60" s="9">
        <v>3</v>
      </c>
      <c r="AP60" s="62">
        <v>320.33333333333331</v>
      </c>
      <c r="AQ60" s="11" t="s">
        <v>2965</v>
      </c>
      <c r="AR60" s="5" t="s">
        <v>3093</v>
      </c>
      <c r="AS60" s="5" t="s">
        <v>3507</v>
      </c>
      <c r="AT60" s="187" t="s">
        <v>3508</v>
      </c>
      <c r="AU60" s="5"/>
      <c r="AV60" s="5" t="s">
        <v>3020</v>
      </c>
      <c r="AW60" s="187" t="s">
        <v>3131</v>
      </c>
      <c r="AX60" s="5"/>
      <c r="AY60" s="5"/>
      <c r="AZ60" s="187" t="s">
        <v>2987</v>
      </c>
      <c r="BA60" s="10">
        <v>45811</v>
      </c>
      <c r="BB60" s="10"/>
      <c r="BC60" s="10">
        <f>EDATE(BA60,12)</f>
        <v>46176</v>
      </c>
      <c r="BD60" s="10">
        <v>45814</v>
      </c>
      <c r="BE60" s="10">
        <v>45820</v>
      </c>
      <c r="BF60" s="5"/>
      <c r="BG60" s="5" t="s">
        <v>3509</v>
      </c>
      <c r="BH60" s="5" t="s">
        <v>3039</v>
      </c>
      <c r="BI60" s="196">
        <v>46097</v>
      </c>
      <c r="BJ60" s="190">
        <f t="shared" si="3"/>
        <v>3</v>
      </c>
      <c r="BK60" s="11" t="s">
        <v>3510</v>
      </c>
    </row>
    <row r="61" spans="2:63" s="114" customFormat="1" ht="76.5" x14ac:dyDescent="0.25">
      <c r="B61" s="5">
        <v>591</v>
      </c>
      <c r="C61" s="5" t="s">
        <v>2813</v>
      </c>
      <c r="D61" s="5" t="s">
        <v>33</v>
      </c>
      <c r="E61" s="187" t="s">
        <v>2807</v>
      </c>
      <c r="F61" s="187" t="s">
        <v>2814</v>
      </c>
      <c r="G61" s="5" t="s">
        <v>107</v>
      </c>
      <c r="H61" s="161">
        <v>367680</v>
      </c>
      <c r="I61" s="17">
        <f>H61-J61</f>
        <v>353880</v>
      </c>
      <c r="J61" s="17">
        <f>7800+6000</f>
        <v>13800</v>
      </c>
      <c r="K61" s="116">
        <v>60</v>
      </c>
      <c r="L61" s="5" t="s">
        <v>3511</v>
      </c>
      <c r="M61" s="5" t="s">
        <v>3512</v>
      </c>
      <c r="N61" s="5" t="s">
        <v>3513</v>
      </c>
      <c r="O61" s="5" t="s">
        <v>3514</v>
      </c>
      <c r="P61" s="5" t="s">
        <v>3353</v>
      </c>
      <c r="Q61" s="5">
        <v>3550308</v>
      </c>
      <c r="R61" s="5" t="s">
        <v>3515</v>
      </c>
      <c r="S61" s="5" t="s">
        <v>74</v>
      </c>
      <c r="T61" s="11">
        <v>1</v>
      </c>
      <c r="U61" s="5" t="s">
        <v>2809</v>
      </c>
      <c r="V61" s="31" t="s">
        <v>2810</v>
      </c>
      <c r="W61" s="10">
        <v>45322</v>
      </c>
      <c r="X61" s="5" t="s">
        <v>67</v>
      </c>
      <c r="Y61" s="5" t="s">
        <v>68</v>
      </c>
      <c r="Z61" s="9"/>
      <c r="AA61" s="5">
        <v>299</v>
      </c>
      <c r="AB61" s="9"/>
      <c r="AC61" s="9"/>
      <c r="AD61" s="9"/>
      <c r="AE61" s="9"/>
      <c r="AF61" s="9"/>
      <c r="AG61" s="9">
        <v>320</v>
      </c>
      <c r="AH61" s="9"/>
      <c r="AI61" s="9">
        <v>340</v>
      </c>
      <c r="AJ61" s="9"/>
      <c r="AK61" s="9"/>
      <c r="AL61" s="9"/>
      <c r="AM61" s="9"/>
      <c r="AN61" s="9"/>
      <c r="AO61" s="9">
        <v>3</v>
      </c>
      <c r="AP61" s="62">
        <v>319.66666666666669</v>
      </c>
      <c r="AQ61" s="11" t="s">
        <v>2965</v>
      </c>
      <c r="AR61" s="5" t="s">
        <v>3516</v>
      </c>
      <c r="AS61" s="5" t="s">
        <v>3517</v>
      </c>
      <c r="AT61" s="187" t="s">
        <v>3518</v>
      </c>
      <c r="AU61" s="5"/>
      <c r="AV61" s="5" t="s">
        <v>3519</v>
      </c>
      <c r="AW61" s="187" t="s">
        <v>3387</v>
      </c>
      <c r="AX61" s="5"/>
      <c r="AY61" s="5"/>
      <c r="AZ61" s="187" t="s">
        <v>2973</v>
      </c>
      <c r="BA61" s="10"/>
      <c r="BB61" s="10"/>
      <c r="BC61" s="10"/>
      <c r="BD61" s="10"/>
      <c r="BE61" s="10"/>
      <c r="BF61" s="5"/>
      <c r="BG61" s="5"/>
      <c r="BH61" s="5"/>
      <c r="BI61" s="196">
        <v>46055</v>
      </c>
      <c r="BJ61" s="190">
        <f t="shared" si="3"/>
        <v>45</v>
      </c>
      <c r="BK61" s="11"/>
    </row>
    <row r="62" spans="2:63" s="64" customFormat="1" ht="89.25" hidden="1" x14ac:dyDescent="0.25">
      <c r="B62" s="5">
        <v>417</v>
      </c>
      <c r="C62" s="97" t="s">
        <v>2059</v>
      </c>
      <c r="D62" s="45" t="s">
        <v>33</v>
      </c>
      <c r="E62" s="45" t="s">
        <v>2060</v>
      </c>
      <c r="F62" s="45" t="s">
        <v>2061</v>
      </c>
      <c r="G62" s="45" t="s">
        <v>36</v>
      </c>
      <c r="H62" s="92">
        <v>259200</v>
      </c>
      <c r="I62" s="92"/>
      <c r="J62" s="92"/>
      <c r="K62" s="92"/>
      <c r="L62" s="45"/>
      <c r="M62" s="45"/>
      <c r="N62" s="45"/>
      <c r="O62" s="45"/>
      <c r="P62" s="45" t="s">
        <v>859</v>
      </c>
      <c r="Q62" s="5"/>
      <c r="R62" s="45"/>
      <c r="S62" s="45" t="s">
        <v>181</v>
      </c>
      <c r="T62" s="45"/>
      <c r="U62" s="45" t="s">
        <v>2062</v>
      </c>
      <c r="V62" s="88" t="s">
        <v>2063</v>
      </c>
      <c r="W62" s="10">
        <v>45322</v>
      </c>
      <c r="X62" s="46" t="s">
        <v>226</v>
      </c>
      <c r="Y62" s="45" t="s">
        <v>3520</v>
      </c>
      <c r="Z62" s="90"/>
      <c r="AA62" s="45">
        <v>301</v>
      </c>
      <c r="AB62" s="46"/>
      <c r="AC62" s="46"/>
      <c r="AD62" s="46"/>
      <c r="AE62" s="46"/>
      <c r="AF62" s="46">
        <v>340</v>
      </c>
      <c r="AG62" s="46">
        <v>317</v>
      </c>
      <c r="AH62" s="46"/>
      <c r="AI62" s="46"/>
      <c r="AJ62" s="46"/>
      <c r="AK62" s="46"/>
      <c r="AL62" s="46"/>
      <c r="AM62" s="46"/>
      <c r="AN62" s="46"/>
      <c r="AO62" s="46">
        <v>3</v>
      </c>
      <c r="AP62" s="91">
        <v>319.33333333333331</v>
      </c>
      <c r="AQ62" s="86" t="s">
        <v>2965</v>
      </c>
      <c r="AR62" s="46" t="s">
        <v>3404</v>
      </c>
      <c r="AS62" s="11" t="s">
        <v>3521</v>
      </c>
      <c r="AT62" s="5"/>
      <c r="AU62" s="5"/>
      <c r="AV62" s="5" t="s">
        <v>3020</v>
      </c>
      <c r="AW62" s="5"/>
      <c r="AX62" s="5"/>
      <c r="AY62" s="5"/>
      <c r="AZ62" s="11"/>
      <c r="BA62" s="10"/>
      <c r="BB62" s="10"/>
      <c r="BC62" s="10"/>
      <c r="BD62" s="10"/>
      <c r="BE62" s="10"/>
      <c r="BF62" s="11"/>
      <c r="BG62" s="11"/>
      <c r="BH62" s="11"/>
      <c r="BI62" s="9"/>
      <c r="BJ62" s="110">
        <f t="shared" si="3"/>
        <v>46100</v>
      </c>
      <c r="BK62" s="65"/>
    </row>
    <row r="63" spans="2:63" s="114" customFormat="1" ht="63.75" x14ac:dyDescent="0.25">
      <c r="B63" s="5">
        <v>593</v>
      </c>
      <c r="C63" s="5" t="s">
        <v>2822</v>
      </c>
      <c r="D63" s="5" t="s">
        <v>33</v>
      </c>
      <c r="E63" s="187" t="s">
        <v>2816</v>
      </c>
      <c r="F63" s="187" t="s">
        <v>2823</v>
      </c>
      <c r="G63" s="5" t="s">
        <v>107</v>
      </c>
      <c r="H63" s="161">
        <v>428520</v>
      </c>
      <c r="I63" s="17">
        <f>H63-J63</f>
        <v>408720</v>
      </c>
      <c r="J63" s="17">
        <f>12800+7000</f>
        <v>19800</v>
      </c>
      <c r="K63" s="116">
        <v>120</v>
      </c>
      <c r="L63" s="5" t="s">
        <v>3522</v>
      </c>
      <c r="M63" s="5" t="s">
        <v>3523</v>
      </c>
      <c r="N63" s="5" t="s">
        <v>3524</v>
      </c>
      <c r="O63" s="5" t="s">
        <v>3525</v>
      </c>
      <c r="P63" s="5" t="s">
        <v>3524</v>
      </c>
      <c r="Q63" s="5">
        <v>3516200</v>
      </c>
      <c r="R63" s="5" t="s">
        <v>3526</v>
      </c>
      <c r="S63" s="5" t="s">
        <v>1414</v>
      </c>
      <c r="T63" s="11">
        <v>1</v>
      </c>
      <c r="U63" s="5" t="s">
        <v>2819</v>
      </c>
      <c r="V63" s="31" t="s">
        <v>2820</v>
      </c>
      <c r="W63" s="10">
        <v>45322</v>
      </c>
      <c r="X63" s="5" t="s">
        <v>67</v>
      </c>
      <c r="Y63" s="9"/>
      <c r="Z63" s="5" t="s">
        <v>2111</v>
      </c>
      <c r="AA63" s="5">
        <v>287</v>
      </c>
      <c r="AB63" s="9"/>
      <c r="AC63" s="9"/>
      <c r="AD63" s="9"/>
      <c r="AE63" s="9"/>
      <c r="AF63" s="9"/>
      <c r="AG63" s="9">
        <v>331</v>
      </c>
      <c r="AH63" s="9"/>
      <c r="AI63" s="9">
        <v>340</v>
      </c>
      <c r="AJ63" s="9"/>
      <c r="AK63" s="9"/>
      <c r="AL63" s="9"/>
      <c r="AM63" s="9"/>
      <c r="AN63" s="9"/>
      <c r="AO63" s="9">
        <v>3</v>
      </c>
      <c r="AP63" s="62">
        <v>319.33333333333331</v>
      </c>
      <c r="AQ63" s="11" t="s">
        <v>2965</v>
      </c>
      <c r="AR63" s="5" t="s">
        <v>3527</v>
      </c>
      <c r="AS63" s="5" t="s">
        <v>3528</v>
      </c>
      <c r="AT63" s="187" t="s">
        <v>3529</v>
      </c>
      <c r="AU63" s="5"/>
      <c r="AV63" s="5" t="s">
        <v>3519</v>
      </c>
      <c r="AW63" s="187" t="s">
        <v>3009</v>
      </c>
      <c r="AX63" s="5" t="s">
        <v>3036</v>
      </c>
      <c r="AY63" s="5" t="s">
        <v>3530</v>
      </c>
      <c r="AZ63" s="187" t="s">
        <v>2973</v>
      </c>
      <c r="BA63" s="10"/>
      <c r="BB63" s="10"/>
      <c r="BC63" s="10"/>
      <c r="BD63" s="10"/>
      <c r="BE63" s="10"/>
      <c r="BF63" s="5"/>
      <c r="BG63" s="5"/>
      <c r="BH63" s="5"/>
      <c r="BI63" s="196">
        <v>45958</v>
      </c>
      <c r="BJ63" s="190">
        <f t="shared" si="3"/>
        <v>142</v>
      </c>
      <c r="BK63" s="11" t="s">
        <v>3531</v>
      </c>
    </row>
    <row r="64" spans="2:63" s="114" customFormat="1" ht="140.25" x14ac:dyDescent="0.25">
      <c r="B64" s="5">
        <v>512</v>
      </c>
      <c r="C64" s="5" t="s">
        <v>2503</v>
      </c>
      <c r="D64" s="5" t="s">
        <v>33</v>
      </c>
      <c r="E64" s="187" t="s">
        <v>2504</v>
      </c>
      <c r="F64" s="187" t="s">
        <v>2505</v>
      </c>
      <c r="G64" s="5" t="s">
        <v>107</v>
      </c>
      <c r="H64" s="161">
        <v>727363.96</v>
      </c>
      <c r="I64" s="17">
        <f>H64</f>
        <v>727363.96</v>
      </c>
      <c r="J64" s="17">
        <v>0</v>
      </c>
      <c r="K64" s="116"/>
      <c r="L64" s="5" t="s">
        <v>3532</v>
      </c>
      <c r="M64" s="5" t="s">
        <v>3533</v>
      </c>
      <c r="N64" s="5" t="s">
        <v>3534</v>
      </c>
      <c r="O64" s="5" t="s">
        <v>3535</v>
      </c>
      <c r="P64" s="5" t="s">
        <v>3353</v>
      </c>
      <c r="Q64" s="5">
        <v>3550308</v>
      </c>
      <c r="R64" s="5" t="s">
        <v>3536</v>
      </c>
      <c r="S64" s="5" t="s">
        <v>74</v>
      </c>
      <c r="T64" s="11">
        <v>1</v>
      </c>
      <c r="U64" s="5" t="s">
        <v>2506</v>
      </c>
      <c r="V64" s="31" t="s">
        <v>2507</v>
      </c>
      <c r="W64" s="10">
        <v>45322</v>
      </c>
      <c r="X64" s="5" t="s">
        <v>67</v>
      </c>
      <c r="Y64" s="5" t="s">
        <v>89</v>
      </c>
      <c r="Z64" s="9"/>
      <c r="AA64" s="5">
        <v>310</v>
      </c>
      <c r="AB64" s="9"/>
      <c r="AC64" s="9"/>
      <c r="AD64" s="9"/>
      <c r="AE64" s="9"/>
      <c r="AF64" s="9">
        <v>340</v>
      </c>
      <c r="AG64" s="9">
        <v>305</v>
      </c>
      <c r="AH64" s="9"/>
      <c r="AI64" s="9"/>
      <c r="AJ64" s="9"/>
      <c r="AK64" s="9"/>
      <c r="AL64" s="9"/>
      <c r="AM64" s="9"/>
      <c r="AN64" s="9"/>
      <c r="AO64" s="9">
        <v>3</v>
      </c>
      <c r="AP64" s="62">
        <v>318.33333333333331</v>
      </c>
      <c r="AQ64" s="11" t="s">
        <v>2965</v>
      </c>
      <c r="AR64" s="5" t="s">
        <v>3116</v>
      </c>
      <c r="AS64" s="5" t="s">
        <v>3537</v>
      </c>
      <c r="AT64" s="187" t="s">
        <v>3538</v>
      </c>
      <c r="AU64" s="5"/>
      <c r="AV64" s="5" t="s">
        <v>3118</v>
      </c>
      <c r="AW64" s="187" t="s">
        <v>2986</v>
      </c>
      <c r="AX64" s="5" t="s">
        <v>3036</v>
      </c>
      <c r="AY64" s="5"/>
      <c r="AZ64" s="187" t="s">
        <v>3084</v>
      </c>
      <c r="BA64" s="10">
        <v>45842</v>
      </c>
      <c r="BB64" s="10"/>
      <c r="BC64" s="10">
        <f>EDATE(BA64,12)</f>
        <v>46207</v>
      </c>
      <c r="BD64" s="10">
        <v>45846</v>
      </c>
      <c r="BE64" s="10">
        <v>45849</v>
      </c>
      <c r="BF64" s="5"/>
      <c r="BG64" s="5" t="s">
        <v>3119</v>
      </c>
      <c r="BH64" s="5" t="s">
        <v>3039</v>
      </c>
      <c r="BI64" s="196">
        <v>46085</v>
      </c>
      <c r="BJ64" s="193">
        <f t="shared" si="3"/>
        <v>15</v>
      </c>
      <c r="BK64" s="11" t="s">
        <v>3539</v>
      </c>
    </row>
    <row r="65" spans="2:64" s="114" customFormat="1" ht="76.5" x14ac:dyDescent="0.25">
      <c r="B65" s="5">
        <v>352</v>
      </c>
      <c r="C65" s="5" t="s">
        <v>1785</v>
      </c>
      <c r="D65" s="5" t="s">
        <v>33</v>
      </c>
      <c r="E65" s="187" t="s">
        <v>1786</v>
      </c>
      <c r="F65" s="187" t="s">
        <v>1787</v>
      </c>
      <c r="G65" s="5" t="s">
        <v>336</v>
      </c>
      <c r="H65" s="161">
        <v>430566</v>
      </c>
      <c r="I65" s="17">
        <v>404264.48</v>
      </c>
      <c r="J65" s="17">
        <v>26301.52</v>
      </c>
      <c r="K65" s="116">
        <v>120</v>
      </c>
      <c r="L65" s="5" t="s">
        <v>3540</v>
      </c>
      <c r="M65" s="5" t="s">
        <v>3541</v>
      </c>
      <c r="N65" s="5" t="s">
        <v>3542</v>
      </c>
      <c r="O65" s="5" t="s">
        <v>3543</v>
      </c>
      <c r="P65" s="5" t="s">
        <v>3353</v>
      </c>
      <c r="Q65" s="5">
        <v>3550308</v>
      </c>
      <c r="R65" s="5" t="s">
        <v>3544</v>
      </c>
      <c r="S65" s="5" t="s">
        <v>74</v>
      </c>
      <c r="T65" s="11">
        <v>1</v>
      </c>
      <c r="U65" s="5" t="s">
        <v>1788</v>
      </c>
      <c r="V65" s="31" t="s">
        <v>1789</v>
      </c>
      <c r="W65" s="10">
        <v>45321</v>
      </c>
      <c r="X65" s="5" t="s">
        <v>41</v>
      </c>
      <c r="Y65" s="5" t="s">
        <v>3545</v>
      </c>
      <c r="Z65" s="65"/>
      <c r="AA65" s="5">
        <v>327</v>
      </c>
      <c r="AB65" s="9"/>
      <c r="AC65" s="9"/>
      <c r="AD65" s="9"/>
      <c r="AE65" s="9"/>
      <c r="AF65" s="9"/>
      <c r="AG65" s="9"/>
      <c r="AH65" s="9"/>
      <c r="AI65" s="9"/>
      <c r="AJ65" s="9">
        <v>314</v>
      </c>
      <c r="AK65" s="9">
        <v>313</v>
      </c>
      <c r="AL65" s="9"/>
      <c r="AM65" s="9"/>
      <c r="AN65" s="9"/>
      <c r="AO65" s="9">
        <v>3</v>
      </c>
      <c r="AP65" s="62">
        <v>318</v>
      </c>
      <c r="AQ65" s="11" t="s">
        <v>2965</v>
      </c>
      <c r="AR65" s="9" t="s">
        <v>3093</v>
      </c>
      <c r="AS65" s="65"/>
      <c r="AT65" s="187" t="s">
        <v>3546</v>
      </c>
      <c r="AU65" s="5"/>
      <c r="AV65" s="5" t="s">
        <v>3020</v>
      </c>
      <c r="AW65" s="187" t="s">
        <v>2986</v>
      </c>
      <c r="AX65" s="5"/>
      <c r="AY65" s="5"/>
      <c r="AZ65" s="187" t="s">
        <v>2987</v>
      </c>
      <c r="BA65" s="10">
        <v>45842</v>
      </c>
      <c r="BB65" s="10"/>
      <c r="BC65" s="10">
        <f>EDATE(BA65,12)</f>
        <v>46207</v>
      </c>
      <c r="BD65" s="10">
        <v>45846</v>
      </c>
      <c r="BE65" s="10">
        <v>45849</v>
      </c>
      <c r="BF65" s="5"/>
      <c r="BG65" s="5" t="s">
        <v>3119</v>
      </c>
      <c r="BH65" s="5" t="s">
        <v>3039</v>
      </c>
      <c r="BI65" s="196">
        <v>45873</v>
      </c>
      <c r="BJ65" s="190">
        <f t="shared" si="3"/>
        <v>227</v>
      </c>
      <c r="BK65" s="11" t="s">
        <v>3547</v>
      </c>
    </row>
    <row r="66" spans="2:64" s="114" customFormat="1" ht="63.75" x14ac:dyDescent="0.25">
      <c r="B66" s="5">
        <v>331</v>
      </c>
      <c r="C66" s="170" t="s">
        <v>1689</v>
      </c>
      <c r="D66" s="5" t="s">
        <v>33</v>
      </c>
      <c r="E66" s="187" t="s">
        <v>1690</v>
      </c>
      <c r="F66" s="187" t="s">
        <v>1691</v>
      </c>
      <c r="G66" s="5" t="s">
        <v>36</v>
      </c>
      <c r="H66" s="161">
        <v>297841</v>
      </c>
      <c r="I66" s="17">
        <f>H66</f>
        <v>297841</v>
      </c>
      <c r="J66" s="17">
        <v>0</v>
      </c>
      <c r="K66" s="116"/>
      <c r="L66" s="5" t="s">
        <v>3548</v>
      </c>
      <c r="M66" s="5" t="s">
        <v>3549</v>
      </c>
      <c r="N66" s="5" t="s">
        <v>3550</v>
      </c>
      <c r="O66" s="5" t="s">
        <v>3551</v>
      </c>
      <c r="P66" s="5" t="s">
        <v>3179</v>
      </c>
      <c r="Q66" s="5">
        <v>3509502</v>
      </c>
      <c r="R66" s="5" t="s">
        <v>3552</v>
      </c>
      <c r="S66" s="5" t="s">
        <v>254</v>
      </c>
      <c r="T66" s="11">
        <v>1</v>
      </c>
      <c r="U66" s="5" t="s">
        <v>1692</v>
      </c>
      <c r="V66" s="52" t="s">
        <v>3553</v>
      </c>
      <c r="W66" s="10">
        <v>45321</v>
      </c>
      <c r="X66" s="5" t="s">
        <v>41</v>
      </c>
      <c r="Y66" s="5" t="s">
        <v>1694</v>
      </c>
      <c r="Z66" s="65"/>
      <c r="AA66" s="5">
        <v>305</v>
      </c>
      <c r="AB66" s="9"/>
      <c r="AC66" s="9"/>
      <c r="AD66" s="9"/>
      <c r="AE66" s="9"/>
      <c r="AF66" s="9"/>
      <c r="AG66" s="9"/>
      <c r="AH66" s="9"/>
      <c r="AI66" s="9"/>
      <c r="AJ66" s="9">
        <v>323</v>
      </c>
      <c r="AK66" s="9"/>
      <c r="AL66" s="9"/>
      <c r="AM66" s="9">
        <v>325</v>
      </c>
      <c r="AN66" s="9"/>
      <c r="AO66" s="9">
        <v>3</v>
      </c>
      <c r="AP66" s="62">
        <v>317.66666666666669</v>
      </c>
      <c r="AQ66" s="11" t="s">
        <v>2965</v>
      </c>
      <c r="AR66" s="5" t="s">
        <v>3093</v>
      </c>
      <c r="AS66" s="5" t="s">
        <v>3554</v>
      </c>
      <c r="AT66" s="187" t="s">
        <v>3555</v>
      </c>
      <c r="AU66" s="5"/>
      <c r="AV66" s="5" t="s">
        <v>3020</v>
      </c>
      <c r="AW66" s="187" t="s">
        <v>3083</v>
      </c>
      <c r="AX66" s="5"/>
      <c r="AY66" s="5"/>
      <c r="AZ66" s="187" t="s">
        <v>3097</v>
      </c>
      <c r="BA66" s="10">
        <v>45638</v>
      </c>
      <c r="BB66" s="10"/>
      <c r="BC66" s="165">
        <f>EDATE(BA66,12)</f>
        <v>46003</v>
      </c>
      <c r="BD66" s="10">
        <v>45642</v>
      </c>
      <c r="BE66" s="10">
        <v>45674</v>
      </c>
      <c r="BF66" s="10"/>
      <c r="BG66" s="10" t="s">
        <v>3556</v>
      </c>
      <c r="BH66" s="5" t="s">
        <v>2997</v>
      </c>
      <c r="BI66" s="196">
        <v>46084</v>
      </c>
      <c r="BJ66" s="190">
        <f t="shared" si="3"/>
        <v>16</v>
      </c>
      <c r="BK66" s="11"/>
      <c r="BL66" s="111"/>
    </row>
    <row r="67" spans="2:64" s="114" customFormat="1" ht="38.25" x14ac:dyDescent="0.25">
      <c r="B67" s="5">
        <v>458</v>
      </c>
      <c r="C67" s="5" t="s">
        <v>2233</v>
      </c>
      <c r="D67" s="5" t="s">
        <v>51</v>
      </c>
      <c r="E67" s="187" t="s">
        <v>2234</v>
      </c>
      <c r="F67" s="187" t="s">
        <v>2235</v>
      </c>
      <c r="G67" s="5" t="s">
        <v>107</v>
      </c>
      <c r="H67" s="160">
        <v>340000</v>
      </c>
      <c r="I67" s="38">
        <v>226734.2</v>
      </c>
      <c r="J67" s="38">
        <v>113265.8</v>
      </c>
      <c r="K67" s="115">
        <v>80</v>
      </c>
      <c r="L67" s="5" t="s">
        <v>3557</v>
      </c>
      <c r="M67" s="5" t="s">
        <v>3558</v>
      </c>
      <c r="N67" s="5" t="s">
        <v>2977</v>
      </c>
      <c r="O67" s="5" t="s">
        <v>3559</v>
      </c>
      <c r="P67" s="9" t="s">
        <v>3560</v>
      </c>
      <c r="Q67" s="5">
        <v>3534104</v>
      </c>
      <c r="R67" s="5" t="s">
        <v>3561</v>
      </c>
      <c r="S67" s="11" t="s">
        <v>223</v>
      </c>
      <c r="T67" s="11">
        <v>1</v>
      </c>
      <c r="U67" s="9" t="s">
        <v>2237</v>
      </c>
      <c r="V67" s="31" t="s">
        <v>2238</v>
      </c>
      <c r="W67" s="34">
        <v>45322</v>
      </c>
      <c r="X67" s="9" t="s">
        <v>57</v>
      </c>
      <c r="Y67" s="9"/>
      <c r="Z67" s="65"/>
      <c r="AA67" s="9">
        <v>299</v>
      </c>
      <c r="AB67" s="9"/>
      <c r="AC67" s="9"/>
      <c r="AD67" s="9"/>
      <c r="AE67" s="9"/>
      <c r="AF67" s="9"/>
      <c r="AG67" s="9"/>
      <c r="AH67" s="9">
        <v>312</v>
      </c>
      <c r="AI67" s="9">
        <v>340</v>
      </c>
      <c r="AJ67" s="9"/>
      <c r="AK67" s="9"/>
      <c r="AL67" s="9"/>
      <c r="AM67" s="65"/>
      <c r="AN67" s="65"/>
      <c r="AO67" s="9">
        <v>3</v>
      </c>
      <c r="AP67" s="62">
        <v>317</v>
      </c>
      <c r="AQ67" s="11" t="s">
        <v>2965</v>
      </c>
      <c r="AR67" s="11" t="s">
        <v>3562</v>
      </c>
      <c r="AS67" s="11" t="s">
        <v>3563</v>
      </c>
      <c r="AT67" s="187" t="s">
        <v>3564</v>
      </c>
      <c r="AU67" s="5"/>
      <c r="AV67" s="5" t="s">
        <v>2969</v>
      </c>
      <c r="AW67" s="187" t="s">
        <v>3565</v>
      </c>
      <c r="AX67" s="5" t="s">
        <v>3036</v>
      </c>
      <c r="AY67" s="5" t="s">
        <v>3566</v>
      </c>
      <c r="AZ67" s="187" t="s">
        <v>3037</v>
      </c>
      <c r="BA67" s="10">
        <v>45838</v>
      </c>
      <c r="BB67" s="10"/>
      <c r="BC67" s="10">
        <f>EDATE(BA67,12)</f>
        <v>46203</v>
      </c>
      <c r="BD67" s="10">
        <v>45841</v>
      </c>
      <c r="BE67" s="10">
        <v>45846</v>
      </c>
      <c r="BF67" s="5"/>
      <c r="BG67" s="39" t="s">
        <v>3154</v>
      </c>
      <c r="BH67" s="5" t="s">
        <v>3039</v>
      </c>
      <c r="BI67" s="196">
        <v>46099</v>
      </c>
      <c r="BJ67" s="190">
        <f t="shared" si="3"/>
        <v>1</v>
      </c>
      <c r="BK67" s="11" t="s">
        <v>3567</v>
      </c>
    </row>
    <row r="68" spans="2:64" s="114" customFormat="1" ht="63.75" x14ac:dyDescent="0.25">
      <c r="B68" s="5">
        <v>552</v>
      </c>
      <c r="C68" s="5" t="s">
        <v>2666</v>
      </c>
      <c r="D68" s="5" t="s">
        <v>33</v>
      </c>
      <c r="E68" s="187" t="s">
        <v>2667</v>
      </c>
      <c r="F68" s="187" t="s">
        <v>2668</v>
      </c>
      <c r="G68" s="5" t="s">
        <v>107</v>
      </c>
      <c r="H68" s="161">
        <f>SUM(I68+J68)</f>
        <v>379232</v>
      </c>
      <c r="I68" s="17">
        <v>353132</v>
      </c>
      <c r="J68" s="17">
        <v>26100</v>
      </c>
      <c r="K68" s="116">
        <v>60</v>
      </c>
      <c r="L68" s="5" t="s">
        <v>3568</v>
      </c>
      <c r="M68" s="5" t="s">
        <v>3569</v>
      </c>
      <c r="N68" s="5" t="s">
        <v>3570</v>
      </c>
      <c r="O68" s="5" t="s">
        <v>3571</v>
      </c>
      <c r="P68" s="5" t="s">
        <v>3353</v>
      </c>
      <c r="Q68" s="5">
        <v>3550308</v>
      </c>
      <c r="R68" s="5" t="s">
        <v>3572</v>
      </c>
      <c r="S68" s="5" t="s">
        <v>74</v>
      </c>
      <c r="T68" s="11">
        <v>1</v>
      </c>
      <c r="U68" s="5" t="s">
        <v>2662</v>
      </c>
      <c r="V68" s="31" t="s">
        <v>2663</v>
      </c>
      <c r="W68" s="10">
        <v>45322</v>
      </c>
      <c r="X68" s="5" t="s">
        <v>41</v>
      </c>
      <c r="Y68" s="5" t="s">
        <v>3573</v>
      </c>
      <c r="Z68" s="5"/>
      <c r="AA68" s="5">
        <v>269</v>
      </c>
      <c r="AB68" s="9"/>
      <c r="AC68" s="9"/>
      <c r="AD68" s="9"/>
      <c r="AE68" s="9"/>
      <c r="AF68" s="9"/>
      <c r="AG68" s="9">
        <v>340</v>
      </c>
      <c r="AH68" s="9"/>
      <c r="AI68" s="9">
        <v>340</v>
      </c>
      <c r="AJ68" s="9"/>
      <c r="AK68" s="9"/>
      <c r="AL68" s="9"/>
      <c r="AM68" s="9"/>
      <c r="AN68" s="9"/>
      <c r="AO68" s="9">
        <v>3</v>
      </c>
      <c r="AP68" s="62">
        <v>316.33333333333331</v>
      </c>
      <c r="AQ68" s="11" t="s">
        <v>2965</v>
      </c>
      <c r="AR68" s="5" t="s">
        <v>3574</v>
      </c>
      <c r="AS68" s="5" t="s">
        <v>3575</v>
      </c>
      <c r="AT68" s="187" t="s">
        <v>3576</v>
      </c>
      <c r="AU68" s="5"/>
      <c r="AV68" s="5" t="s">
        <v>3519</v>
      </c>
      <c r="AW68" s="187" t="s">
        <v>3083</v>
      </c>
      <c r="AX68" s="5" t="s">
        <v>3036</v>
      </c>
      <c r="AY68" s="5" t="s">
        <v>3566</v>
      </c>
      <c r="AZ68" s="187" t="s">
        <v>3097</v>
      </c>
      <c r="BA68" s="10">
        <v>45812</v>
      </c>
      <c r="BB68" s="10"/>
      <c r="BC68" s="10">
        <f>EDATE(BA68,12)</f>
        <v>46177</v>
      </c>
      <c r="BD68" s="10">
        <v>45819</v>
      </c>
      <c r="BE68" s="10">
        <v>45826</v>
      </c>
      <c r="BF68" s="5"/>
      <c r="BG68" s="5" t="s">
        <v>3119</v>
      </c>
      <c r="BH68" s="5" t="s">
        <v>3039</v>
      </c>
      <c r="BI68" s="196">
        <v>46090</v>
      </c>
      <c r="BJ68" s="190">
        <f t="shared" si="3"/>
        <v>10</v>
      </c>
      <c r="BK68" s="11" t="s">
        <v>3577</v>
      </c>
    </row>
    <row r="69" spans="2:64" s="64" customFormat="1" ht="127.5" hidden="1" x14ac:dyDescent="0.25">
      <c r="B69" s="5">
        <v>558</v>
      </c>
      <c r="C69" s="97" t="s">
        <v>2681</v>
      </c>
      <c r="D69" s="45" t="s">
        <v>33</v>
      </c>
      <c r="E69" s="45" t="s">
        <v>2676</v>
      </c>
      <c r="F69" s="45" t="s">
        <v>2682</v>
      </c>
      <c r="G69" s="45" t="s">
        <v>107</v>
      </c>
      <c r="H69" s="92">
        <v>448880</v>
      </c>
      <c r="I69" s="92"/>
      <c r="J69" s="92"/>
      <c r="K69" s="92"/>
      <c r="L69" s="45"/>
      <c r="M69" s="45"/>
      <c r="N69" s="45"/>
      <c r="O69" s="45"/>
      <c r="P69" s="45" t="s">
        <v>73</v>
      </c>
      <c r="Q69" s="5"/>
      <c r="R69" s="45"/>
      <c r="S69" s="45" t="s">
        <v>74</v>
      </c>
      <c r="T69" s="45"/>
      <c r="U69" s="45" t="s">
        <v>2662</v>
      </c>
      <c r="V69" s="88" t="s">
        <v>2678</v>
      </c>
      <c r="W69" s="10">
        <v>45322</v>
      </c>
      <c r="X69" s="46" t="s">
        <v>226</v>
      </c>
      <c r="Y69" s="5"/>
      <c r="Z69" s="5"/>
      <c r="AA69" s="5">
        <v>279</v>
      </c>
      <c r="AB69" s="9"/>
      <c r="AC69" s="9"/>
      <c r="AD69" s="9"/>
      <c r="AE69" s="9"/>
      <c r="AF69" s="9"/>
      <c r="AG69" s="9">
        <v>330</v>
      </c>
      <c r="AH69" s="9"/>
      <c r="AI69" s="9">
        <v>340</v>
      </c>
      <c r="AJ69" s="9"/>
      <c r="AK69" s="9"/>
      <c r="AL69" s="9"/>
      <c r="AM69" s="9"/>
      <c r="AN69" s="9"/>
      <c r="AO69" s="9">
        <v>3</v>
      </c>
      <c r="AP69" s="62">
        <v>316.33333333333331</v>
      </c>
      <c r="AQ69" s="11" t="s">
        <v>2965</v>
      </c>
      <c r="AR69" s="45" t="s">
        <v>3578</v>
      </c>
      <c r="AS69" s="5" t="s">
        <v>3579</v>
      </c>
      <c r="AT69" s="5"/>
      <c r="AU69" s="5"/>
      <c r="AV69" s="5" t="s">
        <v>3519</v>
      </c>
      <c r="AW69" s="5"/>
      <c r="AX69" s="5"/>
      <c r="AY69" s="5"/>
      <c r="AZ69" s="11"/>
      <c r="BA69" s="10"/>
      <c r="BB69" s="10"/>
      <c r="BC69" s="10"/>
      <c r="BD69" s="10"/>
      <c r="BE69" s="10"/>
      <c r="BF69" s="11"/>
      <c r="BG69" s="11"/>
      <c r="BH69" s="11"/>
      <c r="BI69" s="9"/>
      <c r="BJ69" s="110">
        <f t="shared" si="3"/>
        <v>46100</v>
      </c>
      <c r="BK69" s="65"/>
    </row>
    <row r="70" spans="2:64" s="114" customFormat="1" ht="76.5" hidden="1" x14ac:dyDescent="0.25">
      <c r="B70" s="5">
        <v>314</v>
      </c>
      <c r="C70" s="5" t="s">
        <v>1616</v>
      </c>
      <c r="D70" s="5" t="s">
        <v>33</v>
      </c>
      <c r="E70" s="5" t="s">
        <v>1617</v>
      </c>
      <c r="F70" s="5" t="s">
        <v>1618</v>
      </c>
      <c r="G70" s="5" t="s">
        <v>36</v>
      </c>
      <c r="H70" s="17">
        <v>527498.06999999995</v>
      </c>
      <c r="I70" s="17">
        <v>386310.55</v>
      </c>
      <c r="J70" s="17">
        <f>H70-I70</f>
        <v>141187.51999999996</v>
      </c>
      <c r="K70" s="116">
        <v>56</v>
      </c>
      <c r="L70" s="5" t="s">
        <v>3580</v>
      </c>
      <c r="M70" s="5" t="s">
        <v>3581</v>
      </c>
      <c r="N70" s="5" t="s">
        <v>3582</v>
      </c>
      <c r="O70" s="5" t="s">
        <v>3583</v>
      </c>
      <c r="P70" s="5" t="s">
        <v>3463</v>
      </c>
      <c r="Q70" s="5">
        <v>3549904</v>
      </c>
      <c r="R70" s="5" t="s">
        <v>3584</v>
      </c>
      <c r="S70" s="5" t="s">
        <v>95</v>
      </c>
      <c r="T70" s="11">
        <v>1</v>
      </c>
      <c r="U70" s="5" t="s">
        <v>1619</v>
      </c>
      <c r="V70" s="31" t="s">
        <v>3585</v>
      </c>
      <c r="W70" s="10">
        <v>45321</v>
      </c>
      <c r="X70" s="5" t="s">
        <v>41</v>
      </c>
      <c r="Y70" s="5"/>
      <c r="Z70" s="65"/>
      <c r="AA70" s="5">
        <v>340</v>
      </c>
      <c r="AB70" s="9">
        <v>300</v>
      </c>
      <c r="AC70" s="9"/>
      <c r="AD70" s="9"/>
      <c r="AE70" s="9"/>
      <c r="AF70" s="9"/>
      <c r="AG70" s="9"/>
      <c r="AH70" s="9"/>
      <c r="AI70" s="9"/>
      <c r="AJ70" s="9">
        <v>308</v>
      </c>
      <c r="AK70" s="9"/>
      <c r="AL70" s="9"/>
      <c r="AM70" s="9"/>
      <c r="AN70" s="9"/>
      <c r="AO70" s="9">
        <v>3</v>
      </c>
      <c r="AP70" s="62">
        <v>316</v>
      </c>
      <c r="AQ70" s="11" t="s">
        <v>3004</v>
      </c>
      <c r="AR70" s="5" t="s">
        <v>3093</v>
      </c>
      <c r="AS70" s="5" t="s">
        <v>3586</v>
      </c>
      <c r="AT70" s="5" t="s">
        <v>3587</v>
      </c>
      <c r="AU70" s="5"/>
      <c r="AV70" s="5" t="s">
        <v>3020</v>
      </c>
      <c r="AW70" s="5" t="s">
        <v>3009</v>
      </c>
      <c r="AX70" s="5"/>
      <c r="AY70" s="5"/>
      <c r="AZ70" s="5" t="s">
        <v>2973</v>
      </c>
      <c r="BA70" s="10"/>
      <c r="BB70" s="10"/>
      <c r="BC70" s="10"/>
      <c r="BD70" s="10"/>
      <c r="BE70" s="10"/>
      <c r="BF70" s="5"/>
      <c r="BG70" s="5"/>
      <c r="BH70" s="5"/>
      <c r="BI70" s="10">
        <v>45643</v>
      </c>
      <c r="BJ70" s="113">
        <f t="shared" ref="BJ70:BJ80" si="5">_xlfn.DAYS($BJ$2,BI70)</f>
        <v>457</v>
      </c>
      <c r="BK70" s="11" t="s">
        <v>3010</v>
      </c>
    </row>
    <row r="71" spans="2:64" s="114" customFormat="1" ht="38.25" x14ac:dyDescent="0.25">
      <c r="B71" s="5">
        <v>119</v>
      </c>
      <c r="C71" s="5" t="s">
        <v>651</v>
      </c>
      <c r="D71" s="5" t="s">
        <v>33</v>
      </c>
      <c r="E71" s="187" t="s">
        <v>652</v>
      </c>
      <c r="F71" s="187" t="s">
        <v>653</v>
      </c>
      <c r="G71" s="5" t="s">
        <v>62</v>
      </c>
      <c r="H71" s="161">
        <v>199191.12</v>
      </c>
      <c r="I71" s="17">
        <f>H71</f>
        <v>199191.12</v>
      </c>
      <c r="J71" s="17">
        <v>0</v>
      </c>
      <c r="K71" s="116">
        <v>100</v>
      </c>
      <c r="L71" s="5" t="s">
        <v>3588</v>
      </c>
      <c r="M71" s="5" t="s">
        <v>3589</v>
      </c>
      <c r="N71" s="5" t="s">
        <v>3590</v>
      </c>
      <c r="O71" s="5" t="s">
        <v>3591</v>
      </c>
      <c r="P71" s="5" t="s">
        <v>3592</v>
      </c>
      <c r="Q71" s="5">
        <v>3530805</v>
      </c>
      <c r="R71" s="5" t="s">
        <v>3593</v>
      </c>
      <c r="S71" s="5" t="s">
        <v>453</v>
      </c>
      <c r="T71" s="11">
        <v>1</v>
      </c>
      <c r="U71" s="5" t="s">
        <v>655</v>
      </c>
      <c r="V71" s="31" t="s">
        <v>656</v>
      </c>
      <c r="W71" s="10">
        <v>45308</v>
      </c>
      <c r="X71" s="5" t="s">
        <v>41</v>
      </c>
      <c r="Y71" s="5"/>
      <c r="Z71" s="5"/>
      <c r="AA71" s="9">
        <v>340</v>
      </c>
      <c r="AB71" s="9"/>
      <c r="AC71" s="9">
        <v>266</v>
      </c>
      <c r="AD71" s="9"/>
      <c r="AE71" s="9"/>
      <c r="AF71" s="9"/>
      <c r="AG71" s="9"/>
      <c r="AH71" s="9"/>
      <c r="AI71" s="9"/>
      <c r="AJ71" s="9"/>
      <c r="AK71" s="9"/>
      <c r="AL71" s="9">
        <v>340</v>
      </c>
      <c r="AM71" s="9"/>
      <c r="AN71" s="9"/>
      <c r="AO71" s="9">
        <v>3</v>
      </c>
      <c r="AP71" s="62">
        <v>315.33333333333331</v>
      </c>
      <c r="AQ71" s="11" t="s">
        <v>2965</v>
      </c>
      <c r="AR71" s="11" t="s">
        <v>3005</v>
      </c>
      <c r="AS71" s="11" t="s">
        <v>3594</v>
      </c>
      <c r="AT71" s="187" t="s">
        <v>3595</v>
      </c>
      <c r="AU71" s="5"/>
      <c r="AV71" s="5" t="s">
        <v>3008</v>
      </c>
      <c r="AW71" s="187" t="s">
        <v>2986</v>
      </c>
      <c r="AX71" s="5" t="s">
        <v>2971</v>
      </c>
      <c r="AY71" s="5"/>
      <c r="AZ71" s="187" t="s">
        <v>2987</v>
      </c>
      <c r="BA71" s="10">
        <v>45902</v>
      </c>
      <c r="BB71" s="10"/>
      <c r="BC71" s="10">
        <f>EDATE(BA71,12)</f>
        <v>46267</v>
      </c>
      <c r="BD71" s="10">
        <v>45910</v>
      </c>
      <c r="BE71" s="10">
        <v>45940</v>
      </c>
      <c r="BF71" s="5"/>
      <c r="BG71" s="5" t="s">
        <v>3119</v>
      </c>
      <c r="BH71" s="5" t="s">
        <v>3261</v>
      </c>
      <c r="BI71" s="196">
        <v>45947</v>
      </c>
      <c r="BJ71" s="190">
        <f t="shared" si="5"/>
        <v>153</v>
      </c>
      <c r="BK71" s="11" t="s">
        <v>3166</v>
      </c>
    </row>
    <row r="72" spans="2:64" s="114" customFormat="1" ht="76.5" x14ac:dyDescent="0.25">
      <c r="B72" s="5">
        <v>366</v>
      </c>
      <c r="C72" s="5" t="s">
        <v>1846</v>
      </c>
      <c r="D72" s="5" t="s">
        <v>33</v>
      </c>
      <c r="E72" s="187" t="s">
        <v>1847</v>
      </c>
      <c r="F72" s="187" t="s">
        <v>1848</v>
      </c>
      <c r="G72" s="5" t="s">
        <v>107</v>
      </c>
      <c r="H72" s="161">
        <v>499996.74</v>
      </c>
      <c r="I72" s="17">
        <f>H72</f>
        <v>499996.74</v>
      </c>
      <c r="J72" s="17">
        <v>0</v>
      </c>
      <c r="K72" s="116">
        <v>120</v>
      </c>
      <c r="L72" s="5" t="s">
        <v>3596</v>
      </c>
      <c r="M72" s="5" t="s">
        <v>3597</v>
      </c>
      <c r="N72" s="5" t="s">
        <v>3598</v>
      </c>
      <c r="O72" s="5" t="s">
        <v>3599</v>
      </c>
      <c r="P72" s="5" t="s">
        <v>3353</v>
      </c>
      <c r="Q72" s="5">
        <v>3550308</v>
      </c>
      <c r="R72" s="5" t="s">
        <v>3600</v>
      </c>
      <c r="S72" s="5" t="s">
        <v>74</v>
      </c>
      <c r="T72" s="11">
        <v>1</v>
      </c>
      <c r="U72" s="5" t="s">
        <v>1849</v>
      </c>
      <c r="V72" s="31" t="s">
        <v>1850</v>
      </c>
      <c r="W72" s="10">
        <v>45321</v>
      </c>
      <c r="X72" s="5" t="s">
        <v>41</v>
      </c>
      <c r="Y72" s="5"/>
      <c r="Z72" s="65"/>
      <c r="AA72" s="5">
        <v>300</v>
      </c>
      <c r="AB72" s="9"/>
      <c r="AC72" s="9"/>
      <c r="AD72" s="9"/>
      <c r="AE72" s="9"/>
      <c r="AF72" s="9"/>
      <c r="AG72" s="9"/>
      <c r="AH72" s="9">
        <v>306</v>
      </c>
      <c r="AI72" s="9"/>
      <c r="AJ72" s="9"/>
      <c r="AK72" s="9"/>
      <c r="AL72" s="9"/>
      <c r="AM72" s="9"/>
      <c r="AN72" s="9">
        <v>340</v>
      </c>
      <c r="AO72" s="9">
        <v>3</v>
      </c>
      <c r="AP72" s="62">
        <v>315.33333333333331</v>
      </c>
      <c r="AQ72" s="11" t="s">
        <v>2965</v>
      </c>
      <c r="AR72" s="5" t="s">
        <v>3093</v>
      </c>
      <c r="AS72" s="5" t="s">
        <v>3601</v>
      </c>
      <c r="AT72" s="187" t="s">
        <v>3602</v>
      </c>
      <c r="AU72" s="5"/>
      <c r="AV72" s="5" t="s">
        <v>3020</v>
      </c>
      <c r="AW72" s="187" t="s">
        <v>2986</v>
      </c>
      <c r="AX72" s="5" t="s">
        <v>3036</v>
      </c>
      <c r="AY72" s="5" t="s">
        <v>3566</v>
      </c>
      <c r="AZ72" s="187" t="s">
        <v>2987</v>
      </c>
      <c r="BA72" s="10">
        <v>45868</v>
      </c>
      <c r="BB72" s="10"/>
      <c r="BC72" s="10">
        <f>EDATE(BA72,12)</f>
        <v>46233</v>
      </c>
      <c r="BD72" s="10">
        <v>45870</v>
      </c>
      <c r="BE72" s="10">
        <v>45874</v>
      </c>
      <c r="BF72" s="5"/>
      <c r="BG72" s="5" t="s">
        <v>3119</v>
      </c>
      <c r="BH72" s="5" t="s">
        <v>3039</v>
      </c>
      <c r="BI72" s="196">
        <v>45876</v>
      </c>
      <c r="BJ72" s="190">
        <f t="shared" si="5"/>
        <v>224</v>
      </c>
      <c r="BK72" s="11" t="s">
        <v>3603</v>
      </c>
    </row>
    <row r="73" spans="2:64" s="64" customFormat="1" ht="76.5" hidden="1" x14ac:dyDescent="0.25">
      <c r="B73" s="5">
        <v>467</v>
      </c>
      <c r="C73" s="97" t="s">
        <v>2278</v>
      </c>
      <c r="D73" s="45" t="s">
        <v>33</v>
      </c>
      <c r="E73" s="45" t="s">
        <v>2279</v>
      </c>
      <c r="F73" s="45" t="s">
        <v>2280</v>
      </c>
      <c r="G73" s="45" t="s">
        <v>336</v>
      </c>
      <c r="H73" s="92">
        <v>449060</v>
      </c>
      <c r="I73" s="92"/>
      <c r="J73" s="92"/>
      <c r="K73" s="92"/>
      <c r="L73" s="45"/>
      <c r="M73" s="45"/>
      <c r="N73" s="45"/>
      <c r="O73" s="45"/>
      <c r="P73" s="45" t="s">
        <v>201</v>
      </c>
      <c r="Q73" s="5"/>
      <c r="R73" s="45"/>
      <c r="S73" s="45" t="s">
        <v>202</v>
      </c>
      <c r="T73" s="45"/>
      <c r="U73" s="45" t="s">
        <v>2281</v>
      </c>
      <c r="V73" s="88" t="s">
        <v>2282</v>
      </c>
      <c r="W73" s="10">
        <v>45322</v>
      </c>
      <c r="X73" s="46" t="s">
        <v>226</v>
      </c>
      <c r="Y73" s="45" t="s">
        <v>3573</v>
      </c>
      <c r="Z73" s="90"/>
      <c r="AA73" s="45">
        <v>325</v>
      </c>
      <c r="AB73" s="46"/>
      <c r="AC73" s="46"/>
      <c r="AD73" s="46"/>
      <c r="AE73" s="46"/>
      <c r="AF73" s="46"/>
      <c r="AG73" s="46"/>
      <c r="AH73" s="46">
        <v>324</v>
      </c>
      <c r="AI73" s="46">
        <v>297</v>
      </c>
      <c r="AJ73" s="46"/>
      <c r="AK73" s="46"/>
      <c r="AL73" s="46"/>
      <c r="AM73" s="46"/>
      <c r="AN73" s="46"/>
      <c r="AO73" s="46">
        <v>3</v>
      </c>
      <c r="AP73" s="91">
        <v>315.33333333333331</v>
      </c>
      <c r="AQ73" s="86" t="s">
        <v>2965</v>
      </c>
      <c r="AR73" s="92" t="s">
        <v>3604</v>
      </c>
      <c r="AS73" s="17" t="s">
        <v>3605</v>
      </c>
      <c r="AT73" s="5"/>
      <c r="AU73" s="5"/>
      <c r="AV73" s="5" t="s">
        <v>3118</v>
      </c>
      <c r="AW73" s="5"/>
      <c r="AX73" s="5"/>
      <c r="AY73" s="5"/>
      <c r="AZ73" s="11"/>
      <c r="BA73" s="10"/>
      <c r="BB73" s="10"/>
      <c r="BC73" s="10"/>
      <c r="BD73" s="10"/>
      <c r="BE73" s="10"/>
      <c r="BF73" s="11"/>
      <c r="BG73" s="11"/>
      <c r="BH73" s="11"/>
      <c r="BI73" s="9"/>
      <c r="BJ73" s="110">
        <f t="shared" si="5"/>
        <v>46100</v>
      </c>
      <c r="BK73" s="65"/>
    </row>
    <row r="74" spans="2:64" s="114" customFormat="1" ht="51" hidden="1" x14ac:dyDescent="0.25">
      <c r="B74" s="5">
        <v>550</v>
      </c>
      <c r="C74" s="5" t="s">
        <v>2659</v>
      </c>
      <c r="D74" s="5" t="s">
        <v>33</v>
      </c>
      <c r="E74" s="5" t="s">
        <v>2660</v>
      </c>
      <c r="F74" s="5" t="s">
        <v>2661</v>
      </c>
      <c r="G74" s="5" t="s">
        <v>107</v>
      </c>
      <c r="H74" s="17">
        <v>378996</v>
      </c>
      <c r="I74" s="17">
        <f>H74-J74</f>
        <v>360996</v>
      </c>
      <c r="J74" s="17">
        <f>9000+9000</f>
        <v>18000</v>
      </c>
      <c r="K74" s="116">
        <v>80</v>
      </c>
      <c r="L74" s="5" t="s">
        <v>3606</v>
      </c>
      <c r="M74" s="5" t="s">
        <v>3607</v>
      </c>
      <c r="N74" s="5" t="s">
        <v>3608</v>
      </c>
      <c r="O74" s="5" t="s">
        <v>3609</v>
      </c>
      <c r="P74" s="5" t="s">
        <v>3353</v>
      </c>
      <c r="Q74" s="5">
        <v>3550308</v>
      </c>
      <c r="R74" s="5" t="s">
        <v>3610</v>
      </c>
      <c r="S74" s="5" t="s">
        <v>74</v>
      </c>
      <c r="T74" s="11">
        <v>1</v>
      </c>
      <c r="U74" s="5" t="s">
        <v>2662</v>
      </c>
      <c r="V74" s="31" t="s">
        <v>2663</v>
      </c>
      <c r="W74" s="10">
        <v>45322</v>
      </c>
      <c r="X74" s="5" t="s">
        <v>67</v>
      </c>
      <c r="Y74" s="5" t="s">
        <v>68</v>
      </c>
      <c r="Z74" s="5"/>
      <c r="AA74" s="5">
        <v>267</v>
      </c>
      <c r="AB74" s="9"/>
      <c r="AC74" s="9"/>
      <c r="AD74" s="9"/>
      <c r="AE74" s="9"/>
      <c r="AF74" s="9"/>
      <c r="AG74" s="9"/>
      <c r="AH74" s="9">
        <v>340</v>
      </c>
      <c r="AI74" s="9"/>
      <c r="AJ74" s="9"/>
      <c r="AK74" s="9"/>
      <c r="AL74" s="9"/>
      <c r="AM74" s="9">
        <v>338</v>
      </c>
      <c r="AN74" s="9"/>
      <c r="AO74" s="9">
        <v>3</v>
      </c>
      <c r="AP74" s="62">
        <v>315</v>
      </c>
      <c r="AQ74" s="11" t="s">
        <v>3004</v>
      </c>
      <c r="AR74" s="5" t="s">
        <v>3116</v>
      </c>
      <c r="AS74" s="5" t="s">
        <v>3611</v>
      </c>
      <c r="AT74" s="5" t="s">
        <v>3612</v>
      </c>
      <c r="AU74" s="5"/>
      <c r="AV74" s="5" t="s">
        <v>3118</v>
      </c>
      <c r="AW74" s="5" t="s">
        <v>3009</v>
      </c>
      <c r="AX74" s="5"/>
      <c r="AY74" s="5"/>
      <c r="AZ74" s="5" t="s">
        <v>2973</v>
      </c>
      <c r="BA74" s="10"/>
      <c r="BB74" s="10"/>
      <c r="BC74" s="10"/>
      <c r="BD74" s="10"/>
      <c r="BE74" s="10"/>
      <c r="BF74" s="5"/>
      <c r="BG74" s="5"/>
      <c r="BH74" s="5"/>
      <c r="BI74" s="34">
        <v>45701</v>
      </c>
      <c r="BJ74" s="113">
        <f t="shared" si="5"/>
        <v>399</v>
      </c>
      <c r="BK74" s="11" t="s">
        <v>3613</v>
      </c>
    </row>
    <row r="75" spans="2:64" s="114" customFormat="1" ht="51" x14ac:dyDescent="0.25">
      <c r="B75" s="5">
        <v>298</v>
      </c>
      <c r="C75" s="5" t="s">
        <v>1528</v>
      </c>
      <c r="D75" s="5" t="s">
        <v>33</v>
      </c>
      <c r="E75" s="187" t="s">
        <v>1529</v>
      </c>
      <c r="F75" s="187" t="s">
        <v>1530</v>
      </c>
      <c r="G75" s="5" t="s">
        <v>107</v>
      </c>
      <c r="H75" s="161">
        <v>189360</v>
      </c>
      <c r="I75" s="17">
        <v>189360</v>
      </c>
      <c r="J75" s="17">
        <v>0</v>
      </c>
      <c r="K75" s="116">
        <v>60</v>
      </c>
      <c r="L75" s="5" t="s">
        <v>3614</v>
      </c>
      <c r="M75" s="5" t="s">
        <v>3615</v>
      </c>
      <c r="N75" s="5" t="s">
        <v>3616</v>
      </c>
      <c r="O75" s="5" t="s">
        <v>3617</v>
      </c>
      <c r="P75" s="5" t="s">
        <v>3353</v>
      </c>
      <c r="Q75" s="5">
        <v>3550308</v>
      </c>
      <c r="R75" s="5" t="s">
        <v>3618</v>
      </c>
      <c r="S75" s="5" t="s">
        <v>74</v>
      </c>
      <c r="T75" s="11">
        <v>1</v>
      </c>
      <c r="U75" s="5" t="s">
        <v>1531</v>
      </c>
      <c r="V75" s="5" t="s">
        <v>3619</v>
      </c>
      <c r="W75" s="10">
        <v>45321</v>
      </c>
      <c r="X75" s="5" t="s">
        <v>67</v>
      </c>
      <c r="Y75" s="5"/>
      <c r="Z75" s="65"/>
      <c r="AA75" s="5">
        <v>292</v>
      </c>
      <c r="AB75" s="9"/>
      <c r="AC75" s="9"/>
      <c r="AD75" s="9"/>
      <c r="AE75" s="9"/>
      <c r="AF75" s="9"/>
      <c r="AG75" s="9"/>
      <c r="AH75" s="9">
        <v>310</v>
      </c>
      <c r="AI75" s="9">
        <v>340</v>
      </c>
      <c r="AJ75" s="9"/>
      <c r="AK75" s="9"/>
      <c r="AL75" s="9"/>
      <c r="AM75" s="9"/>
      <c r="AN75" s="9"/>
      <c r="AO75" s="9">
        <v>3</v>
      </c>
      <c r="AP75" s="62">
        <v>314</v>
      </c>
      <c r="AQ75" s="11" t="s">
        <v>2965</v>
      </c>
      <c r="AR75" s="5" t="s">
        <v>3404</v>
      </c>
      <c r="AS75" s="5" t="s">
        <v>3620</v>
      </c>
      <c r="AT75" s="187" t="s">
        <v>3621</v>
      </c>
      <c r="AU75" s="5"/>
      <c r="AV75" s="5" t="s">
        <v>3020</v>
      </c>
      <c r="AW75" s="187" t="s">
        <v>3009</v>
      </c>
      <c r="AX75" s="5"/>
      <c r="AY75" s="5"/>
      <c r="AZ75" s="187" t="s">
        <v>2973</v>
      </c>
      <c r="BA75" s="10"/>
      <c r="BB75" s="10"/>
      <c r="BC75" s="10"/>
      <c r="BD75" s="10"/>
      <c r="BE75" s="10"/>
      <c r="BF75" s="5"/>
      <c r="BG75" s="5"/>
      <c r="BH75" s="5"/>
      <c r="BI75" s="196">
        <v>46058</v>
      </c>
      <c r="BJ75" s="190">
        <f t="shared" si="5"/>
        <v>42</v>
      </c>
      <c r="BK75" s="11" t="s">
        <v>3622</v>
      </c>
    </row>
    <row r="76" spans="2:64" s="114" customFormat="1" ht="76.5" x14ac:dyDescent="0.25">
      <c r="B76" s="5">
        <v>427</v>
      </c>
      <c r="C76" s="5" t="s">
        <v>2103</v>
      </c>
      <c r="D76" s="5" t="s">
        <v>33</v>
      </c>
      <c r="E76" s="187" t="s">
        <v>3623</v>
      </c>
      <c r="F76" s="187" t="s">
        <v>2105</v>
      </c>
      <c r="G76" s="5" t="s">
        <v>36</v>
      </c>
      <c r="H76" s="161">
        <v>1881455</v>
      </c>
      <c r="I76" s="17">
        <v>1881455</v>
      </c>
      <c r="J76" s="17">
        <v>0</v>
      </c>
      <c r="K76" s="116">
        <v>30</v>
      </c>
      <c r="L76" s="5" t="s">
        <v>3624</v>
      </c>
      <c r="M76" s="5" t="s">
        <v>3625</v>
      </c>
      <c r="N76" s="5" t="s">
        <v>3626</v>
      </c>
      <c r="O76" s="5" t="s">
        <v>3627</v>
      </c>
      <c r="P76" s="5" t="s">
        <v>3353</v>
      </c>
      <c r="Q76" s="5">
        <v>3550308</v>
      </c>
      <c r="R76" s="5" t="s">
        <v>3628</v>
      </c>
      <c r="S76" s="5" t="s">
        <v>74</v>
      </c>
      <c r="T76" s="11">
        <v>1</v>
      </c>
      <c r="U76" s="5" t="s">
        <v>2106</v>
      </c>
      <c r="V76" s="31" t="s">
        <v>2107</v>
      </c>
      <c r="W76" s="10">
        <v>45322</v>
      </c>
      <c r="X76" s="5" t="s">
        <v>67</v>
      </c>
      <c r="Y76" s="5" t="s">
        <v>1357</v>
      </c>
      <c r="Z76" s="65"/>
      <c r="AA76" s="5">
        <v>303</v>
      </c>
      <c r="AB76" s="9"/>
      <c r="AC76" s="9"/>
      <c r="AD76" s="9"/>
      <c r="AE76" s="9"/>
      <c r="AF76" s="9"/>
      <c r="AG76" s="9"/>
      <c r="AH76" s="9">
        <v>321</v>
      </c>
      <c r="AI76" s="9">
        <v>318</v>
      </c>
      <c r="AJ76" s="9"/>
      <c r="AK76" s="9"/>
      <c r="AL76" s="9"/>
      <c r="AM76" s="9"/>
      <c r="AN76" s="9"/>
      <c r="AO76" s="9">
        <v>3</v>
      </c>
      <c r="AP76" s="62">
        <v>314</v>
      </c>
      <c r="AQ76" s="11" t="s">
        <v>2965</v>
      </c>
      <c r="AR76" s="17" t="s">
        <v>3093</v>
      </c>
      <c r="AS76" s="11" t="s">
        <v>3629</v>
      </c>
      <c r="AT76" s="187" t="s">
        <v>3630</v>
      </c>
      <c r="AU76" s="5"/>
      <c r="AV76" s="5" t="s">
        <v>3020</v>
      </c>
      <c r="AW76" s="187" t="s">
        <v>3631</v>
      </c>
      <c r="AX76" s="5"/>
      <c r="AY76" s="5"/>
      <c r="AZ76" s="187" t="s">
        <v>3632</v>
      </c>
      <c r="BA76" s="10">
        <v>45973</v>
      </c>
      <c r="BB76" s="10"/>
      <c r="BC76" s="10">
        <f>EDATE(BA76,12)</f>
        <v>46338</v>
      </c>
      <c r="BD76" s="10">
        <v>45975</v>
      </c>
      <c r="BE76" s="10"/>
      <c r="BF76" s="5"/>
      <c r="BG76" s="5"/>
      <c r="BH76" s="5" t="s">
        <v>3261</v>
      </c>
      <c r="BI76" s="196">
        <v>46037</v>
      </c>
      <c r="BJ76" s="190">
        <f t="shared" si="5"/>
        <v>63</v>
      </c>
      <c r="BK76" s="11" t="s">
        <v>3633</v>
      </c>
    </row>
    <row r="77" spans="2:64" s="114" customFormat="1" ht="63.75" hidden="1" x14ac:dyDescent="0.25">
      <c r="B77" s="5">
        <v>176</v>
      </c>
      <c r="C77" s="5" t="s">
        <v>929</v>
      </c>
      <c r="D77" s="5" t="s">
        <v>33</v>
      </c>
      <c r="E77" s="5" t="s">
        <v>930</v>
      </c>
      <c r="F77" s="5" t="s">
        <v>931</v>
      </c>
      <c r="G77" s="5" t="s">
        <v>36</v>
      </c>
      <c r="H77" s="17">
        <v>300000</v>
      </c>
      <c r="I77" s="17">
        <f>H77</f>
        <v>300000</v>
      </c>
      <c r="J77" s="17"/>
      <c r="K77" s="116">
        <v>50</v>
      </c>
      <c r="L77" s="5" t="s">
        <v>3634</v>
      </c>
      <c r="M77" s="5" t="s">
        <v>3635</v>
      </c>
      <c r="N77" s="5" t="s">
        <v>2977</v>
      </c>
      <c r="O77" s="5" t="s">
        <v>3636</v>
      </c>
      <c r="P77" s="5" t="s">
        <v>3637</v>
      </c>
      <c r="Q77" s="5">
        <v>3500303</v>
      </c>
      <c r="R77" s="5" t="s">
        <v>3638</v>
      </c>
      <c r="S77" s="5" t="s">
        <v>453</v>
      </c>
      <c r="T77" s="11">
        <v>1</v>
      </c>
      <c r="U77" s="5" t="s">
        <v>933</v>
      </c>
      <c r="V77" s="31" t="s">
        <v>934</v>
      </c>
      <c r="W77" s="10">
        <v>45313</v>
      </c>
      <c r="X77" s="5" t="s">
        <v>41</v>
      </c>
      <c r="Y77" s="5"/>
      <c r="Z77" s="5" t="s">
        <v>600</v>
      </c>
      <c r="AA77" s="9">
        <v>338</v>
      </c>
      <c r="AB77" s="9">
        <v>269</v>
      </c>
      <c r="AC77" s="9"/>
      <c r="AD77" s="9"/>
      <c r="AE77" s="9"/>
      <c r="AF77" s="9"/>
      <c r="AG77" s="9"/>
      <c r="AH77" s="9"/>
      <c r="AI77" s="9"/>
      <c r="AJ77" s="9"/>
      <c r="AK77" s="9"/>
      <c r="AL77" s="9">
        <v>333</v>
      </c>
      <c r="AM77" s="9"/>
      <c r="AN77" s="9"/>
      <c r="AO77" s="9">
        <v>3</v>
      </c>
      <c r="AP77" s="62">
        <v>313.33333333333331</v>
      </c>
      <c r="AQ77" s="11" t="s">
        <v>3004</v>
      </c>
      <c r="AR77" s="5" t="s">
        <v>3005</v>
      </c>
      <c r="AS77" s="5" t="s">
        <v>3639</v>
      </c>
      <c r="AT77" s="5" t="s">
        <v>3640</v>
      </c>
      <c r="AU77" s="5"/>
      <c r="AV77" s="5" t="s">
        <v>3008</v>
      </c>
      <c r="AW77" s="5" t="s">
        <v>3009</v>
      </c>
      <c r="AX77" s="5"/>
      <c r="AY77" s="5"/>
      <c r="AZ77" s="5" t="s">
        <v>2973</v>
      </c>
      <c r="BA77" s="5"/>
      <c r="BB77" s="5"/>
      <c r="BC77" s="5"/>
      <c r="BD77" s="5"/>
      <c r="BE77" s="5"/>
      <c r="BF77" s="5"/>
      <c r="BG77" s="5"/>
      <c r="BH77" s="5"/>
      <c r="BI77" s="10">
        <v>45643</v>
      </c>
      <c r="BJ77" s="113">
        <f t="shared" si="5"/>
        <v>457</v>
      </c>
      <c r="BK77" s="11" t="s">
        <v>3010</v>
      </c>
    </row>
    <row r="78" spans="2:64" s="114" customFormat="1" ht="51" x14ac:dyDescent="0.25">
      <c r="B78" s="5">
        <v>195</v>
      </c>
      <c r="C78" s="5" t="s">
        <v>1036</v>
      </c>
      <c r="D78" s="5" t="s">
        <v>33</v>
      </c>
      <c r="E78" s="187" t="s">
        <v>1037</v>
      </c>
      <c r="F78" s="187" t="s">
        <v>1038</v>
      </c>
      <c r="G78" s="5" t="s">
        <v>36</v>
      </c>
      <c r="H78" s="161">
        <v>54500</v>
      </c>
      <c r="I78" s="17">
        <v>36000</v>
      </c>
      <c r="J78" s="17">
        <v>18500</v>
      </c>
      <c r="K78" s="116">
        <v>84</v>
      </c>
      <c r="L78" s="5" t="s">
        <v>3641</v>
      </c>
      <c r="M78" s="5" t="s">
        <v>3642</v>
      </c>
      <c r="N78" s="5" t="s">
        <v>2977</v>
      </c>
      <c r="O78" s="5" t="s">
        <v>3643</v>
      </c>
      <c r="P78" s="5" t="s">
        <v>3644</v>
      </c>
      <c r="Q78" s="5">
        <v>3549805</v>
      </c>
      <c r="R78" s="5" t="s">
        <v>3645</v>
      </c>
      <c r="S78" s="5" t="s">
        <v>154</v>
      </c>
      <c r="T78" s="11">
        <v>1</v>
      </c>
      <c r="U78" s="5" t="s">
        <v>2911</v>
      </c>
      <c r="V78" s="31" t="s">
        <v>1035</v>
      </c>
      <c r="W78" s="10">
        <v>45320</v>
      </c>
      <c r="X78" s="5" t="s">
        <v>67</v>
      </c>
      <c r="Y78" s="5"/>
      <c r="Z78" s="65"/>
      <c r="AA78" s="5">
        <v>340</v>
      </c>
      <c r="AB78" s="9">
        <v>260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>
        <v>340</v>
      </c>
      <c r="AO78" s="9">
        <v>3</v>
      </c>
      <c r="AP78" s="62">
        <v>313.33333333333331</v>
      </c>
      <c r="AQ78" s="11" t="s">
        <v>2965</v>
      </c>
      <c r="AR78" s="5" t="s">
        <v>3005</v>
      </c>
      <c r="AS78" s="5" t="s">
        <v>3646</v>
      </c>
      <c r="AT78" s="187" t="s">
        <v>3647</v>
      </c>
      <c r="AU78" s="5"/>
      <c r="AV78" s="5" t="s">
        <v>3008</v>
      </c>
      <c r="AW78" s="187" t="s">
        <v>3631</v>
      </c>
      <c r="AX78" s="5"/>
      <c r="AY78" s="5"/>
      <c r="AZ78" s="187" t="s">
        <v>3358</v>
      </c>
      <c r="BA78" s="10">
        <v>45762</v>
      </c>
      <c r="BB78" s="10"/>
      <c r="BC78" s="10">
        <f>EDATE(BA78,12)</f>
        <v>46127</v>
      </c>
      <c r="BD78" s="10">
        <v>45770</v>
      </c>
      <c r="BE78" s="10">
        <v>45800</v>
      </c>
      <c r="BF78" s="5"/>
      <c r="BG78" s="5" t="s">
        <v>3142</v>
      </c>
      <c r="BH78" s="5" t="s">
        <v>3085</v>
      </c>
      <c r="BI78" s="196">
        <v>46084</v>
      </c>
      <c r="BJ78" s="190">
        <f t="shared" si="5"/>
        <v>16</v>
      </c>
      <c r="BK78" s="11" t="s">
        <v>3121</v>
      </c>
    </row>
    <row r="79" spans="2:64" s="114" customFormat="1" ht="63.75" x14ac:dyDescent="0.25">
      <c r="B79" s="5">
        <v>397</v>
      </c>
      <c r="C79" s="5" t="s">
        <v>1983</v>
      </c>
      <c r="D79" s="5" t="s">
        <v>33</v>
      </c>
      <c r="E79" s="187" t="s">
        <v>1946</v>
      </c>
      <c r="F79" s="187" t="s">
        <v>1982</v>
      </c>
      <c r="G79" s="5" t="s">
        <v>107</v>
      </c>
      <c r="H79" s="161">
        <v>92400</v>
      </c>
      <c r="I79" s="17">
        <v>92400</v>
      </c>
      <c r="J79" s="17">
        <v>0</v>
      </c>
      <c r="K79" s="116">
        <v>50</v>
      </c>
      <c r="L79" s="5" t="s">
        <v>3648</v>
      </c>
      <c r="M79" s="5" t="s">
        <v>3649</v>
      </c>
      <c r="N79" s="5" t="s">
        <v>3650</v>
      </c>
      <c r="O79" s="5" t="s">
        <v>3651</v>
      </c>
      <c r="P79" s="5" t="s">
        <v>2962</v>
      </c>
      <c r="Q79" s="5">
        <v>3534708</v>
      </c>
      <c r="R79" s="5" t="s">
        <v>3652</v>
      </c>
      <c r="S79" s="5" t="s">
        <v>123</v>
      </c>
      <c r="T79" s="11">
        <v>1</v>
      </c>
      <c r="U79" s="5" t="s">
        <v>1948</v>
      </c>
      <c r="V79" s="31" t="s">
        <v>1949</v>
      </c>
      <c r="W79" s="10">
        <v>45322</v>
      </c>
      <c r="X79" s="5" t="s">
        <v>67</v>
      </c>
      <c r="Y79" s="5"/>
      <c r="Z79" s="65"/>
      <c r="AA79" s="5">
        <v>304</v>
      </c>
      <c r="AB79" s="9"/>
      <c r="AC79" s="9"/>
      <c r="AD79" s="9"/>
      <c r="AE79" s="9"/>
      <c r="AF79" s="9"/>
      <c r="AG79" s="9"/>
      <c r="AH79" s="9">
        <v>316</v>
      </c>
      <c r="AI79" s="9">
        <v>320</v>
      </c>
      <c r="AJ79" s="9"/>
      <c r="AK79" s="9"/>
      <c r="AL79" s="9"/>
      <c r="AM79" s="9"/>
      <c r="AN79" s="9"/>
      <c r="AO79" s="9">
        <v>3</v>
      </c>
      <c r="AP79" s="62">
        <v>313.33333333333331</v>
      </c>
      <c r="AQ79" s="11" t="s">
        <v>2965</v>
      </c>
      <c r="AR79" s="5" t="s">
        <v>3093</v>
      </c>
      <c r="AS79" s="5" t="s">
        <v>3653</v>
      </c>
      <c r="AT79" s="187" t="s">
        <v>3654</v>
      </c>
      <c r="AU79" s="58"/>
      <c r="AV79" s="5" t="s">
        <v>3020</v>
      </c>
      <c r="AW79" s="187" t="s">
        <v>2986</v>
      </c>
      <c r="AX79" s="5" t="s">
        <v>3036</v>
      </c>
      <c r="AY79" s="5"/>
      <c r="AZ79" s="187" t="s">
        <v>2987</v>
      </c>
      <c r="BA79" s="10">
        <v>45769</v>
      </c>
      <c r="BB79" s="10"/>
      <c r="BC79" s="10">
        <f>EDATE(BA79,12)</f>
        <v>46134</v>
      </c>
      <c r="BD79" s="10">
        <v>45776</v>
      </c>
      <c r="BE79" s="10">
        <v>45786</v>
      </c>
      <c r="BF79" s="5"/>
      <c r="BG79" s="5" t="s">
        <v>3119</v>
      </c>
      <c r="BH79" s="5" t="s">
        <v>3085</v>
      </c>
      <c r="BI79" s="196">
        <v>45926</v>
      </c>
      <c r="BJ79" s="193">
        <f t="shared" si="5"/>
        <v>174</v>
      </c>
      <c r="BK79" s="11" t="s">
        <v>3166</v>
      </c>
    </row>
    <row r="80" spans="2:64" s="114" customFormat="1" ht="76.5" x14ac:dyDescent="0.25">
      <c r="B80" s="5">
        <v>586</v>
      </c>
      <c r="C80" s="5" t="s">
        <v>2797</v>
      </c>
      <c r="D80" s="5" t="s">
        <v>33</v>
      </c>
      <c r="E80" s="187" t="s">
        <v>2798</v>
      </c>
      <c r="F80" s="187" t="s">
        <v>2799</v>
      </c>
      <c r="G80" s="5" t="s">
        <v>107</v>
      </c>
      <c r="H80" s="161">
        <v>343320</v>
      </c>
      <c r="I80" s="17">
        <f>H80-J80</f>
        <v>337820</v>
      </c>
      <c r="J80" s="17">
        <f>5500</f>
        <v>5500</v>
      </c>
      <c r="K80" s="116">
        <v>60</v>
      </c>
      <c r="L80" s="5" t="s">
        <v>3655</v>
      </c>
      <c r="M80" s="5" t="s">
        <v>3656</v>
      </c>
      <c r="N80" s="5" t="s">
        <v>3657</v>
      </c>
      <c r="O80" s="5" t="s">
        <v>3658</v>
      </c>
      <c r="P80" s="5" t="s">
        <v>3353</v>
      </c>
      <c r="Q80" s="5">
        <v>3550308</v>
      </c>
      <c r="R80" s="5" t="s">
        <v>3659</v>
      </c>
      <c r="S80" s="5" t="s">
        <v>74</v>
      </c>
      <c r="T80" s="11">
        <v>1</v>
      </c>
      <c r="U80" s="5" t="s">
        <v>2800</v>
      </c>
      <c r="V80" s="31" t="s">
        <v>2801</v>
      </c>
      <c r="W80" s="10">
        <v>45322</v>
      </c>
      <c r="X80" s="5" t="s">
        <v>67</v>
      </c>
      <c r="Y80" s="5" t="s">
        <v>68</v>
      </c>
      <c r="Z80" s="9"/>
      <c r="AA80" s="5">
        <v>264</v>
      </c>
      <c r="AB80" s="9"/>
      <c r="AC80" s="9"/>
      <c r="AD80" s="9"/>
      <c r="AE80" s="9"/>
      <c r="AF80" s="9"/>
      <c r="AG80" s="9">
        <v>333</v>
      </c>
      <c r="AH80" s="9"/>
      <c r="AI80" s="9">
        <v>340</v>
      </c>
      <c r="AJ80" s="9"/>
      <c r="AK80" s="9"/>
      <c r="AL80" s="9"/>
      <c r="AM80" s="9"/>
      <c r="AN80" s="9"/>
      <c r="AO80" s="9">
        <v>3</v>
      </c>
      <c r="AP80" s="62">
        <v>312.33333333333331</v>
      </c>
      <c r="AQ80" s="11" t="s">
        <v>2965</v>
      </c>
      <c r="AR80" s="5" t="s">
        <v>3660</v>
      </c>
      <c r="AS80" s="5" t="s">
        <v>3661</v>
      </c>
      <c r="AT80" s="187" t="s">
        <v>3662</v>
      </c>
      <c r="AU80" s="5"/>
      <c r="AV80" s="5" t="s">
        <v>3519</v>
      </c>
      <c r="AW80" s="187" t="s">
        <v>3387</v>
      </c>
      <c r="AX80" s="5"/>
      <c r="AY80" s="5"/>
      <c r="AZ80" s="187" t="s">
        <v>3663</v>
      </c>
      <c r="BA80" s="5"/>
      <c r="BB80" s="5"/>
      <c r="BC80" s="10"/>
      <c r="BD80" s="5"/>
      <c r="BE80" s="5"/>
      <c r="BF80" s="5"/>
      <c r="BG80" s="5"/>
      <c r="BH80" s="5"/>
      <c r="BI80" s="196">
        <v>45653</v>
      </c>
      <c r="BJ80" s="190">
        <f t="shared" si="5"/>
        <v>447</v>
      </c>
      <c r="BK80" s="11"/>
    </row>
    <row r="81" spans="1:63" s="114" customFormat="1" ht="51" x14ac:dyDescent="0.25">
      <c r="B81" s="5">
        <v>2</v>
      </c>
      <c r="C81" s="5" t="s">
        <v>42</v>
      </c>
      <c r="D81" s="5" t="s">
        <v>33</v>
      </c>
      <c r="E81" s="187" t="s">
        <v>43</v>
      </c>
      <c r="F81" s="187" t="s">
        <v>44</v>
      </c>
      <c r="G81" s="5" t="s">
        <v>36</v>
      </c>
      <c r="H81" s="161">
        <v>45000</v>
      </c>
      <c r="I81" s="17">
        <v>45000</v>
      </c>
      <c r="J81" s="17">
        <v>0</v>
      </c>
      <c r="K81" s="116">
        <v>19</v>
      </c>
      <c r="L81" s="5" t="s">
        <v>3664</v>
      </c>
      <c r="M81" s="5" t="s">
        <v>3665</v>
      </c>
      <c r="N81" s="5" t="s">
        <v>3666</v>
      </c>
      <c r="O81" s="5" t="s">
        <v>3667</v>
      </c>
      <c r="P81" s="5" t="s">
        <v>3668</v>
      </c>
      <c r="Q81" s="5">
        <v>3535200</v>
      </c>
      <c r="R81" s="5" t="s">
        <v>3669</v>
      </c>
      <c r="S81" s="5" t="s">
        <v>47</v>
      </c>
      <c r="T81" s="11">
        <v>1</v>
      </c>
      <c r="U81" s="5" t="s">
        <v>48</v>
      </c>
      <c r="V81" s="31" t="s">
        <v>3670</v>
      </c>
      <c r="W81" s="10">
        <v>45313</v>
      </c>
      <c r="X81" s="5" t="s">
        <v>41</v>
      </c>
      <c r="Y81" s="9"/>
      <c r="Z81" s="5"/>
      <c r="AA81" s="9">
        <v>297</v>
      </c>
      <c r="AB81" s="9"/>
      <c r="AC81" s="9"/>
      <c r="AD81" s="9"/>
      <c r="AE81" s="9"/>
      <c r="AF81" s="9"/>
      <c r="AG81" s="9"/>
      <c r="AH81" s="9"/>
      <c r="AI81" s="9"/>
      <c r="AJ81" s="9">
        <v>310</v>
      </c>
      <c r="AK81" s="9"/>
      <c r="AL81" s="9"/>
      <c r="AM81" s="9">
        <v>327</v>
      </c>
      <c r="AN81" s="9"/>
      <c r="AO81" s="9">
        <v>3</v>
      </c>
      <c r="AP81" s="62">
        <v>311.33333333333331</v>
      </c>
      <c r="AQ81" s="11" t="s">
        <v>2965</v>
      </c>
      <c r="AR81" s="5" t="s">
        <v>3005</v>
      </c>
      <c r="AS81" s="5" t="s">
        <v>3017</v>
      </c>
      <c r="AT81" s="187" t="s">
        <v>3671</v>
      </c>
      <c r="AU81" s="5"/>
      <c r="AV81" s="5" t="s">
        <v>3008</v>
      </c>
      <c r="AW81" s="187" t="s">
        <v>2986</v>
      </c>
      <c r="AX81" s="5"/>
      <c r="AY81" s="5"/>
      <c r="AZ81" s="187" t="s">
        <v>3288</v>
      </c>
      <c r="BA81" s="10">
        <v>45643</v>
      </c>
      <c r="BB81" s="10"/>
      <c r="BC81" s="165">
        <f t="shared" ref="BC81:BC87" si="6">EDATE(BA81,12)</f>
        <v>46008</v>
      </c>
      <c r="BD81" s="10">
        <v>45646</v>
      </c>
      <c r="BE81" s="10">
        <v>45674</v>
      </c>
      <c r="BF81" s="10">
        <v>45938</v>
      </c>
      <c r="BG81" s="5" t="s">
        <v>3672</v>
      </c>
      <c r="BH81" s="5" t="s">
        <v>2997</v>
      </c>
      <c r="BI81" s="196">
        <v>45971</v>
      </c>
      <c r="BJ81" s="190">
        <f>'Aprovados Recursos do Fundo'!BE160</f>
        <v>0</v>
      </c>
      <c r="BK81" s="167" t="s">
        <v>3340</v>
      </c>
    </row>
    <row r="82" spans="1:63" s="114" customFormat="1" ht="38.25" x14ac:dyDescent="0.25">
      <c r="B82" s="5">
        <v>26</v>
      </c>
      <c r="C82" s="5" t="s">
        <v>205</v>
      </c>
      <c r="D82" s="5" t="s">
        <v>33</v>
      </c>
      <c r="E82" s="187" t="s">
        <v>199</v>
      </c>
      <c r="F82" s="187" t="s">
        <v>206</v>
      </c>
      <c r="G82" s="5" t="s">
        <v>107</v>
      </c>
      <c r="H82" s="161">
        <v>207810</v>
      </c>
      <c r="I82" s="17">
        <v>185190</v>
      </c>
      <c r="J82" s="17">
        <v>22620</v>
      </c>
      <c r="K82" s="116">
        <v>85</v>
      </c>
      <c r="L82" s="5" t="s">
        <v>3673</v>
      </c>
      <c r="M82" s="5" t="s">
        <v>3674</v>
      </c>
      <c r="N82" s="5" t="s">
        <v>3675</v>
      </c>
      <c r="O82" s="5" t="s">
        <v>3676</v>
      </c>
      <c r="P82" s="5" t="s">
        <v>3677</v>
      </c>
      <c r="Q82" s="5">
        <v>3518800</v>
      </c>
      <c r="R82" s="5" t="s">
        <v>3678</v>
      </c>
      <c r="S82" s="5" t="s">
        <v>202</v>
      </c>
      <c r="T82" s="11">
        <v>1</v>
      </c>
      <c r="U82" s="5" t="s">
        <v>207</v>
      </c>
      <c r="V82" s="31" t="s">
        <v>208</v>
      </c>
      <c r="W82" s="10">
        <v>45321</v>
      </c>
      <c r="X82" s="5" t="s">
        <v>67</v>
      </c>
      <c r="Y82" s="5" t="s">
        <v>68</v>
      </c>
      <c r="Z82" s="5"/>
      <c r="AA82" s="9">
        <v>340</v>
      </c>
      <c r="AB82" s="9">
        <v>254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>
        <v>340</v>
      </c>
      <c r="AO82" s="9">
        <v>3</v>
      </c>
      <c r="AP82" s="62">
        <v>311.33333333333331</v>
      </c>
      <c r="AQ82" s="11" t="s">
        <v>2965</v>
      </c>
      <c r="AR82" s="5" t="s">
        <v>3679</v>
      </c>
      <c r="AS82" s="5" t="s">
        <v>3680</v>
      </c>
      <c r="AT82" s="187" t="s">
        <v>3681</v>
      </c>
      <c r="AU82" s="5"/>
      <c r="AV82" s="5" t="s">
        <v>3008</v>
      </c>
      <c r="AW82" s="187" t="s">
        <v>2986</v>
      </c>
      <c r="AX82" s="5"/>
      <c r="AY82" s="5"/>
      <c r="AZ82" s="187" t="s">
        <v>2987</v>
      </c>
      <c r="BA82" s="10">
        <v>45840</v>
      </c>
      <c r="BB82" s="10"/>
      <c r="BC82" s="10">
        <f t="shared" si="6"/>
        <v>46205</v>
      </c>
      <c r="BD82" s="10">
        <v>45841</v>
      </c>
      <c r="BE82" s="10">
        <v>45846</v>
      </c>
      <c r="BF82" s="5"/>
      <c r="BG82" s="5" t="s">
        <v>3119</v>
      </c>
      <c r="BH82" s="5" t="s">
        <v>3039</v>
      </c>
      <c r="BI82" s="196">
        <v>45975</v>
      </c>
      <c r="BJ82" s="190">
        <f t="shared" ref="BJ82:BJ107" si="7">_xlfn.DAYS($BJ$2,BI82)</f>
        <v>125</v>
      </c>
      <c r="BK82" s="11" t="s">
        <v>3682</v>
      </c>
    </row>
    <row r="83" spans="1:63" s="114" customFormat="1" ht="51" x14ac:dyDescent="0.25">
      <c r="B83" s="5">
        <v>126</v>
      </c>
      <c r="C83" s="170" t="s">
        <v>685</v>
      </c>
      <c r="D83" s="5" t="s">
        <v>33</v>
      </c>
      <c r="E83" s="187" t="s">
        <v>686</v>
      </c>
      <c r="F83" s="187" t="s">
        <v>687</v>
      </c>
      <c r="G83" s="5" t="s">
        <v>36</v>
      </c>
      <c r="H83" s="161">
        <v>78244</v>
      </c>
      <c r="I83" s="17">
        <v>57726</v>
      </c>
      <c r="J83" s="17">
        <v>20518</v>
      </c>
      <c r="K83" s="116"/>
      <c r="L83" s="5" t="s">
        <v>3683</v>
      </c>
      <c r="M83" s="5" t="s">
        <v>3684</v>
      </c>
      <c r="N83" s="5" t="s">
        <v>2977</v>
      </c>
      <c r="O83" s="5" t="s">
        <v>3685</v>
      </c>
      <c r="P83" s="5" t="s">
        <v>3686</v>
      </c>
      <c r="Q83" s="5">
        <v>3556008</v>
      </c>
      <c r="R83" s="5" t="s">
        <v>3687</v>
      </c>
      <c r="S83" s="5" t="s">
        <v>445</v>
      </c>
      <c r="T83" s="11">
        <v>1</v>
      </c>
      <c r="U83" s="5" t="s">
        <v>689</v>
      </c>
      <c r="V83" s="31" t="s">
        <v>690</v>
      </c>
      <c r="W83" s="10">
        <v>45308</v>
      </c>
      <c r="X83" s="5" t="s">
        <v>67</v>
      </c>
      <c r="Y83" s="5" t="s">
        <v>89</v>
      </c>
      <c r="Z83" s="5"/>
      <c r="AA83" s="9">
        <v>340</v>
      </c>
      <c r="AB83" s="9">
        <v>284</v>
      </c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>
        <v>310</v>
      </c>
      <c r="AO83" s="9">
        <v>3</v>
      </c>
      <c r="AP83" s="62">
        <v>311.33333333333331</v>
      </c>
      <c r="AQ83" s="11" t="s">
        <v>2965</v>
      </c>
      <c r="AR83" s="5" t="s">
        <v>3005</v>
      </c>
      <c r="AS83" s="5" t="s">
        <v>3688</v>
      </c>
      <c r="AT83" s="187" t="s">
        <v>3689</v>
      </c>
      <c r="AU83" s="5"/>
      <c r="AV83" s="5" t="s">
        <v>3008</v>
      </c>
      <c r="AW83" s="187" t="s">
        <v>3131</v>
      </c>
      <c r="AX83" s="5"/>
      <c r="AY83" s="5"/>
      <c r="AZ83" s="187" t="s">
        <v>3097</v>
      </c>
      <c r="BA83" s="10">
        <v>45643</v>
      </c>
      <c r="BB83" s="10"/>
      <c r="BC83" s="165">
        <f t="shared" si="6"/>
        <v>46008</v>
      </c>
      <c r="BD83" s="10">
        <v>45646</v>
      </c>
      <c r="BE83" s="10">
        <v>45674</v>
      </c>
      <c r="BF83" s="5"/>
      <c r="BG83" s="5" t="s">
        <v>3142</v>
      </c>
      <c r="BH83" s="5" t="s">
        <v>2997</v>
      </c>
      <c r="BI83" s="196">
        <v>46059</v>
      </c>
      <c r="BJ83" s="190">
        <f t="shared" si="7"/>
        <v>41</v>
      </c>
      <c r="BK83" s="11" t="s">
        <v>3690</v>
      </c>
    </row>
    <row r="84" spans="1:63" s="114" customFormat="1" ht="38.25" x14ac:dyDescent="0.25">
      <c r="A84" s="114" t="s">
        <v>2904</v>
      </c>
      <c r="B84" s="5">
        <v>173</v>
      </c>
      <c r="C84" s="5" t="s">
        <v>913</v>
      </c>
      <c r="D84" s="5" t="s">
        <v>33</v>
      </c>
      <c r="E84" s="187" t="s">
        <v>914</v>
      </c>
      <c r="F84" s="187" t="s">
        <v>915</v>
      </c>
      <c r="G84" s="5" t="s">
        <v>62</v>
      </c>
      <c r="H84" s="161">
        <v>25860.29</v>
      </c>
      <c r="I84" s="17">
        <v>0</v>
      </c>
      <c r="J84" s="17">
        <v>25860.29</v>
      </c>
      <c r="K84" s="116">
        <v>31</v>
      </c>
      <c r="L84" s="5" t="s">
        <v>3691</v>
      </c>
      <c r="M84" s="5" t="s">
        <v>3692</v>
      </c>
      <c r="N84" s="5" t="s">
        <v>2977</v>
      </c>
      <c r="O84" s="5" t="s">
        <v>3693</v>
      </c>
      <c r="P84" s="5" t="s">
        <v>3694</v>
      </c>
      <c r="Q84" s="5">
        <v>3511409</v>
      </c>
      <c r="R84" s="5" t="s">
        <v>3695</v>
      </c>
      <c r="S84" s="5" t="s">
        <v>123</v>
      </c>
      <c r="T84" s="11">
        <v>1</v>
      </c>
      <c r="U84" s="5" t="s">
        <v>916</v>
      </c>
      <c r="V84" s="31" t="s">
        <v>917</v>
      </c>
      <c r="W84" s="10">
        <v>45310</v>
      </c>
      <c r="X84" s="5" t="s">
        <v>67</v>
      </c>
      <c r="Y84" s="5"/>
      <c r="Z84" s="65"/>
      <c r="AA84" s="9">
        <v>340</v>
      </c>
      <c r="AB84" s="9">
        <v>254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>
        <v>340</v>
      </c>
      <c r="AO84" s="9">
        <v>3</v>
      </c>
      <c r="AP84" s="62">
        <v>311.33333333333331</v>
      </c>
      <c r="AQ84" s="11" t="s">
        <v>2965</v>
      </c>
      <c r="AR84" s="5" t="s">
        <v>3005</v>
      </c>
      <c r="AS84" s="5" t="s">
        <v>3696</v>
      </c>
      <c r="AT84" s="187" t="s">
        <v>3697</v>
      </c>
      <c r="AU84" s="5"/>
      <c r="AV84" s="5" t="s">
        <v>3008</v>
      </c>
      <c r="AW84" s="187" t="s">
        <v>3083</v>
      </c>
      <c r="AX84" s="5" t="s">
        <v>2971</v>
      </c>
      <c r="AY84" s="5" t="s">
        <v>2972</v>
      </c>
      <c r="AZ84" s="187" t="s">
        <v>3084</v>
      </c>
      <c r="BA84" s="10">
        <v>45776</v>
      </c>
      <c r="BB84" s="10"/>
      <c r="BC84" s="10">
        <f t="shared" si="6"/>
        <v>46141</v>
      </c>
      <c r="BD84" s="10">
        <v>45785</v>
      </c>
      <c r="BE84" s="10">
        <v>45800</v>
      </c>
      <c r="BF84" s="5"/>
      <c r="BG84" s="5" t="s">
        <v>3119</v>
      </c>
      <c r="BH84" s="5" t="s">
        <v>3085</v>
      </c>
      <c r="BI84" s="196">
        <v>46078</v>
      </c>
      <c r="BJ84" s="190">
        <f t="shared" si="7"/>
        <v>22</v>
      </c>
      <c r="BK84" s="11" t="s">
        <v>3121</v>
      </c>
    </row>
    <row r="85" spans="1:63" s="114" customFormat="1" ht="51" x14ac:dyDescent="0.25">
      <c r="B85" s="5">
        <v>425</v>
      </c>
      <c r="C85" s="5" t="s">
        <v>2095</v>
      </c>
      <c r="D85" s="5" t="s">
        <v>51</v>
      </c>
      <c r="E85" s="187" t="s">
        <v>2096</v>
      </c>
      <c r="F85" s="187" t="s">
        <v>2097</v>
      </c>
      <c r="G85" s="5" t="s">
        <v>36</v>
      </c>
      <c r="H85" s="160">
        <v>145000</v>
      </c>
      <c r="I85" s="38">
        <v>145000</v>
      </c>
      <c r="J85" s="38">
        <v>0</v>
      </c>
      <c r="K85" s="115">
        <v>150</v>
      </c>
      <c r="L85" s="5" t="s">
        <v>3698</v>
      </c>
      <c r="M85" s="5" t="s">
        <v>3699</v>
      </c>
      <c r="N85" s="5" t="s">
        <v>3700</v>
      </c>
      <c r="O85" s="5" t="s">
        <v>3701</v>
      </c>
      <c r="P85" s="9" t="s">
        <v>3702</v>
      </c>
      <c r="Q85" s="5">
        <v>3524303</v>
      </c>
      <c r="R85" s="5" t="s">
        <v>3703</v>
      </c>
      <c r="S85" s="11" t="s">
        <v>154</v>
      </c>
      <c r="T85" s="11">
        <v>1</v>
      </c>
      <c r="U85" s="9" t="s">
        <v>2098</v>
      </c>
      <c r="V85" s="31" t="s">
        <v>2099</v>
      </c>
      <c r="W85" s="34">
        <v>45322</v>
      </c>
      <c r="X85" s="9" t="s">
        <v>57</v>
      </c>
      <c r="Y85" s="9"/>
      <c r="Z85" s="65"/>
      <c r="AA85" s="9">
        <v>264</v>
      </c>
      <c r="AB85" s="9"/>
      <c r="AC85" s="9"/>
      <c r="AD85" s="9"/>
      <c r="AE85" s="9"/>
      <c r="AF85" s="9"/>
      <c r="AG85" s="9"/>
      <c r="AH85" s="9">
        <v>330</v>
      </c>
      <c r="AI85" s="9">
        <v>340</v>
      </c>
      <c r="AJ85" s="9"/>
      <c r="AK85" s="9"/>
      <c r="AL85" s="9"/>
      <c r="AM85" s="65"/>
      <c r="AN85" s="65"/>
      <c r="AO85" s="9">
        <v>3</v>
      </c>
      <c r="AP85" s="62">
        <v>311.33333333333331</v>
      </c>
      <c r="AQ85" s="11" t="s">
        <v>2965</v>
      </c>
      <c r="AR85" s="11" t="s">
        <v>3704</v>
      </c>
      <c r="AS85" s="11" t="s">
        <v>3705</v>
      </c>
      <c r="AT85" s="187" t="s">
        <v>3706</v>
      </c>
      <c r="AU85" s="5"/>
      <c r="AV85" s="5" t="s">
        <v>3316</v>
      </c>
      <c r="AW85" s="187" t="s">
        <v>3035</v>
      </c>
      <c r="AX85" s="11"/>
      <c r="AY85" s="11"/>
      <c r="AZ85" s="187" t="s">
        <v>3037</v>
      </c>
      <c r="BA85" s="10">
        <v>45643</v>
      </c>
      <c r="BB85" s="10">
        <v>46165</v>
      </c>
      <c r="BC85" s="165">
        <f t="shared" si="6"/>
        <v>46008</v>
      </c>
      <c r="BD85" s="10">
        <v>45646</v>
      </c>
      <c r="BE85" s="10">
        <v>45800</v>
      </c>
      <c r="BF85" s="5"/>
      <c r="BG85" s="5" t="s">
        <v>3154</v>
      </c>
      <c r="BH85" s="5" t="s">
        <v>2997</v>
      </c>
      <c r="BI85" s="196">
        <v>46091</v>
      </c>
      <c r="BJ85" s="190">
        <f t="shared" si="7"/>
        <v>9</v>
      </c>
      <c r="BK85" s="176" t="s">
        <v>3707</v>
      </c>
    </row>
    <row r="86" spans="1:63" s="114" customFormat="1" ht="38.25" x14ac:dyDescent="0.25">
      <c r="B86" s="5">
        <v>488</v>
      </c>
      <c r="C86" s="5" t="s">
        <v>2382</v>
      </c>
      <c r="D86" s="5" t="s">
        <v>33</v>
      </c>
      <c r="E86" s="187" t="s">
        <v>2383</v>
      </c>
      <c r="F86" s="187" t="s">
        <v>2384</v>
      </c>
      <c r="G86" s="5" t="s">
        <v>107</v>
      </c>
      <c r="H86" s="161">
        <f>SUM(I86+J86)</f>
        <v>402657.98000000004</v>
      </c>
      <c r="I86" s="17">
        <v>371986.4</v>
      </c>
      <c r="J86" s="17">
        <v>30671.58</v>
      </c>
      <c r="K86" s="116">
        <v>80</v>
      </c>
      <c r="L86" s="5" t="s">
        <v>3708</v>
      </c>
      <c r="M86" s="5" t="s">
        <v>3709</v>
      </c>
      <c r="N86" s="5" t="s">
        <v>3482</v>
      </c>
      <c r="O86" s="5" t="s">
        <v>3710</v>
      </c>
      <c r="P86" s="5" t="s">
        <v>3353</v>
      </c>
      <c r="Q86" s="5">
        <v>3550308</v>
      </c>
      <c r="R86" s="5" t="s">
        <v>3711</v>
      </c>
      <c r="S86" s="5" t="s">
        <v>74</v>
      </c>
      <c r="T86" s="11">
        <v>1</v>
      </c>
      <c r="U86" s="5" t="s">
        <v>2385</v>
      </c>
      <c r="V86" s="31" t="s">
        <v>2386</v>
      </c>
      <c r="W86" s="10">
        <v>45322</v>
      </c>
      <c r="X86" s="5" t="s">
        <v>67</v>
      </c>
      <c r="Y86" s="5"/>
      <c r="Z86" s="65"/>
      <c r="AA86" s="5">
        <v>320</v>
      </c>
      <c r="AB86" s="9"/>
      <c r="AC86" s="9"/>
      <c r="AD86" s="9"/>
      <c r="AE86" s="9"/>
      <c r="AF86" s="9"/>
      <c r="AG86" s="9"/>
      <c r="AH86" s="9">
        <v>305</v>
      </c>
      <c r="AI86" s="9">
        <v>308</v>
      </c>
      <c r="AJ86" s="9"/>
      <c r="AK86" s="9"/>
      <c r="AL86" s="9"/>
      <c r="AM86" s="9"/>
      <c r="AN86" s="9"/>
      <c r="AO86" s="9">
        <v>3</v>
      </c>
      <c r="AP86" s="62">
        <v>311</v>
      </c>
      <c r="AQ86" s="11" t="s">
        <v>2965</v>
      </c>
      <c r="AR86" s="5" t="s">
        <v>3116</v>
      </c>
      <c r="AS86" s="5" t="s">
        <v>3057</v>
      </c>
      <c r="AT86" s="187" t="s">
        <v>3712</v>
      </c>
      <c r="AU86" s="5"/>
      <c r="AV86" s="5" t="s">
        <v>3118</v>
      </c>
      <c r="AW86" s="187" t="s">
        <v>3083</v>
      </c>
      <c r="AX86" s="5" t="s">
        <v>3036</v>
      </c>
      <c r="AY86" s="5"/>
      <c r="AZ86" s="187" t="s">
        <v>3084</v>
      </c>
      <c r="BA86" s="10">
        <v>45791</v>
      </c>
      <c r="BB86" s="10"/>
      <c r="BC86" s="10">
        <f t="shared" si="6"/>
        <v>46156</v>
      </c>
      <c r="BD86" s="10">
        <v>45796</v>
      </c>
      <c r="BE86" s="10">
        <v>45800</v>
      </c>
      <c r="BF86" s="5"/>
      <c r="BG86" s="5" t="s">
        <v>3119</v>
      </c>
      <c r="BH86" s="5" t="s">
        <v>3039</v>
      </c>
      <c r="BI86" s="196">
        <v>46086</v>
      </c>
      <c r="BJ86" s="190">
        <f t="shared" si="7"/>
        <v>14</v>
      </c>
      <c r="BK86" s="11"/>
    </row>
    <row r="87" spans="1:63" s="114" customFormat="1" ht="51" x14ac:dyDescent="0.25">
      <c r="B87" s="5">
        <v>309</v>
      </c>
      <c r="C87" s="5" t="s">
        <v>1590</v>
      </c>
      <c r="D87" s="5" t="s">
        <v>33</v>
      </c>
      <c r="E87" s="187" t="s">
        <v>1591</v>
      </c>
      <c r="F87" s="187" t="s">
        <v>1592</v>
      </c>
      <c r="G87" s="5" t="s">
        <v>36</v>
      </c>
      <c r="H87" s="161">
        <v>250000</v>
      </c>
      <c r="I87" s="17">
        <v>250000</v>
      </c>
      <c r="J87" s="17">
        <v>0</v>
      </c>
      <c r="K87" s="116">
        <v>28</v>
      </c>
      <c r="L87" s="5" t="s">
        <v>3713</v>
      </c>
      <c r="M87" s="5" t="s">
        <v>3714</v>
      </c>
      <c r="N87" s="5" t="s">
        <v>3715</v>
      </c>
      <c r="O87" s="5" t="s">
        <v>3716</v>
      </c>
      <c r="P87" s="5" t="s">
        <v>3717</v>
      </c>
      <c r="Q87" s="5">
        <v>3505500</v>
      </c>
      <c r="R87" s="5" t="s">
        <v>3718</v>
      </c>
      <c r="S87" s="5" t="s">
        <v>181</v>
      </c>
      <c r="T87" s="11">
        <v>1</v>
      </c>
      <c r="U87" s="5" t="s">
        <v>1593</v>
      </c>
      <c r="V87" s="31" t="s">
        <v>1594</v>
      </c>
      <c r="W87" s="10">
        <v>45321</v>
      </c>
      <c r="X87" s="5" t="s">
        <v>67</v>
      </c>
      <c r="Y87" s="5"/>
      <c r="Z87" s="65"/>
      <c r="AA87" s="5">
        <v>277</v>
      </c>
      <c r="AB87" s="9"/>
      <c r="AC87" s="9"/>
      <c r="AD87" s="9"/>
      <c r="AE87" s="9"/>
      <c r="AF87" s="9"/>
      <c r="AG87" s="9"/>
      <c r="AH87" s="9">
        <v>312</v>
      </c>
      <c r="AI87" s="9">
        <v>340</v>
      </c>
      <c r="AJ87" s="9"/>
      <c r="AK87" s="9"/>
      <c r="AL87" s="9"/>
      <c r="AM87" s="9"/>
      <c r="AN87" s="9"/>
      <c r="AO87" s="9">
        <v>3</v>
      </c>
      <c r="AP87" s="62">
        <v>309.66666666666669</v>
      </c>
      <c r="AQ87" s="11" t="s">
        <v>2965</v>
      </c>
      <c r="AR87" s="5" t="s">
        <v>3093</v>
      </c>
      <c r="AS87" s="11" t="s">
        <v>3719</v>
      </c>
      <c r="AT87" s="187" t="s">
        <v>3720</v>
      </c>
      <c r="AU87" s="5"/>
      <c r="AV87" s="5" t="s">
        <v>3020</v>
      </c>
      <c r="AW87" s="187" t="s">
        <v>2986</v>
      </c>
      <c r="AX87" s="5"/>
      <c r="AY87" s="5"/>
      <c r="AZ87" s="187" t="s">
        <v>3288</v>
      </c>
      <c r="BA87" s="10">
        <v>45663</v>
      </c>
      <c r="BB87" s="10"/>
      <c r="BC87" s="165">
        <f t="shared" si="6"/>
        <v>46028</v>
      </c>
      <c r="BD87" s="10">
        <v>45667</v>
      </c>
      <c r="BE87" s="10">
        <v>45740</v>
      </c>
      <c r="BF87" s="10">
        <v>45947</v>
      </c>
      <c r="BG87" s="5" t="s">
        <v>3378</v>
      </c>
      <c r="BH87" s="5" t="s">
        <v>3085</v>
      </c>
      <c r="BI87" s="196">
        <v>45971</v>
      </c>
      <c r="BJ87" s="190">
        <f t="shared" si="7"/>
        <v>129</v>
      </c>
      <c r="BK87" s="167" t="s">
        <v>3340</v>
      </c>
    </row>
    <row r="88" spans="1:63" s="114" customFormat="1" ht="127.5" x14ac:dyDescent="0.25">
      <c r="B88" s="5">
        <v>438</v>
      </c>
      <c r="C88" s="5" t="s">
        <v>2150</v>
      </c>
      <c r="D88" s="5" t="s">
        <v>33</v>
      </c>
      <c r="E88" s="187" t="s">
        <v>2146</v>
      </c>
      <c r="F88" s="187" t="s">
        <v>2151</v>
      </c>
      <c r="G88" s="5" t="s">
        <v>107</v>
      </c>
      <c r="H88" s="161">
        <v>378300</v>
      </c>
      <c r="I88" s="17">
        <v>363600</v>
      </c>
      <c r="J88" s="17">
        <v>14700</v>
      </c>
      <c r="K88" s="116">
        <v>90</v>
      </c>
      <c r="L88" s="5" t="s">
        <v>3721</v>
      </c>
      <c r="M88" s="5" t="s">
        <v>3722</v>
      </c>
      <c r="N88" s="5" t="s">
        <v>3723</v>
      </c>
      <c r="O88" s="5" t="s">
        <v>3724</v>
      </c>
      <c r="P88" s="5" t="s">
        <v>3353</v>
      </c>
      <c r="Q88" s="5">
        <v>3550308</v>
      </c>
      <c r="R88" s="5" t="s">
        <v>3725</v>
      </c>
      <c r="S88" s="5" t="s">
        <v>74</v>
      </c>
      <c r="T88" s="11">
        <v>1</v>
      </c>
      <c r="U88" s="5" t="s">
        <v>2148</v>
      </c>
      <c r="V88" s="31" t="s">
        <v>2149</v>
      </c>
      <c r="W88" s="10">
        <v>45322</v>
      </c>
      <c r="X88" s="5" t="s">
        <v>67</v>
      </c>
      <c r="Y88" s="9"/>
      <c r="Z88" s="65"/>
      <c r="AA88" s="5">
        <v>279</v>
      </c>
      <c r="AB88" s="9"/>
      <c r="AC88" s="9"/>
      <c r="AD88" s="9"/>
      <c r="AE88" s="9"/>
      <c r="AF88" s="9">
        <v>331</v>
      </c>
      <c r="AG88" s="9">
        <v>317</v>
      </c>
      <c r="AH88" s="9"/>
      <c r="AI88" s="9"/>
      <c r="AJ88" s="9"/>
      <c r="AK88" s="9"/>
      <c r="AL88" s="9"/>
      <c r="AM88" s="9"/>
      <c r="AN88" s="9"/>
      <c r="AO88" s="9">
        <v>3</v>
      </c>
      <c r="AP88" s="62">
        <v>309</v>
      </c>
      <c r="AQ88" s="11" t="s">
        <v>2965</v>
      </c>
      <c r="AR88" s="5" t="s">
        <v>3726</v>
      </c>
      <c r="AS88" s="5" t="s">
        <v>3727</v>
      </c>
      <c r="AT88" s="187" t="s">
        <v>3728</v>
      </c>
      <c r="AU88" s="58"/>
      <c r="AV88" s="5" t="s">
        <v>3519</v>
      </c>
      <c r="AW88" s="187" t="s">
        <v>3729</v>
      </c>
      <c r="AX88" s="5" t="s">
        <v>3036</v>
      </c>
      <c r="AY88" s="5"/>
      <c r="AZ88" s="187" t="s">
        <v>2973</v>
      </c>
      <c r="BA88" s="5"/>
      <c r="BB88" s="5"/>
      <c r="BC88" s="10"/>
      <c r="BD88" s="5"/>
      <c r="BE88" s="5"/>
      <c r="BF88" s="5"/>
      <c r="BG88" s="5"/>
      <c r="BH88" s="5"/>
      <c r="BI88" s="196">
        <v>45873</v>
      </c>
      <c r="BJ88" s="190">
        <f t="shared" si="7"/>
        <v>227</v>
      </c>
      <c r="BK88" s="11"/>
    </row>
    <row r="89" spans="1:63" s="114" customFormat="1" ht="51" x14ac:dyDescent="0.25">
      <c r="B89" s="5">
        <v>569</v>
      </c>
      <c r="C89" s="5" t="s">
        <v>2720</v>
      </c>
      <c r="D89" s="5" t="s">
        <v>51</v>
      </c>
      <c r="E89" s="187" t="s">
        <v>2721</v>
      </c>
      <c r="F89" s="187" t="s">
        <v>2727</v>
      </c>
      <c r="G89" s="5" t="s">
        <v>36</v>
      </c>
      <c r="H89" s="160">
        <v>393000.48</v>
      </c>
      <c r="I89" s="38">
        <v>348714.48</v>
      </c>
      <c r="J89" s="38">
        <f>H89-I89</f>
        <v>44286</v>
      </c>
      <c r="K89" s="115">
        <v>180</v>
      </c>
      <c r="L89" s="5" t="s">
        <v>3730</v>
      </c>
      <c r="M89" s="5" t="s">
        <v>3731</v>
      </c>
      <c r="N89" s="122" t="s">
        <v>2977</v>
      </c>
      <c r="O89" s="5" t="s">
        <v>3732</v>
      </c>
      <c r="P89" s="9" t="s">
        <v>3733</v>
      </c>
      <c r="Q89" s="5">
        <v>3516408</v>
      </c>
      <c r="R89" s="5" t="s">
        <v>3734</v>
      </c>
      <c r="S89" s="11" t="s">
        <v>202</v>
      </c>
      <c r="T89" s="11">
        <v>1</v>
      </c>
      <c r="U89" s="5" t="s">
        <v>2724</v>
      </c>
      <c r="V89" s="52" t="s">
        <v>2725</v>
      </c>
      <c r="W89" s="34">
        <v>45322</v>
      </c>
      <c r="X89" s="9" t="s">
        <v>57</v>
      </c>
      <c r="Y89" s="11" t="s">
        <v>2726</v>
      </c>
      <c r="Z89" s="9"/>
      <c r="AA89" s="9">
        <v>311</v>
      </c>
      <c r="AB89" s="9"/>
      <c r="AC89" s="9"/>
      <c r="AD89" s="9"/>
      <c r="AE89" s="9"/>
      <c r="AF89" s="9"/>
      <c r="AG89" s="9"/>
      <c r="AH89" s="9">
        <v>304</v>
      </c>
      <c r="AI89" s="9">
        <v>311</v>
      </c>
      <c r="AJ89" s="9"/>
      <c r="AK89" s="9"/>
      <c r="AL89" s="9"/>
      <c r="AM89" s="65"/>
      <c r="AN89" s="65"/>
      <c r="AO89" s="9">
        <v>3</v>
      </c>
      <c r="AP89" s="62">
        <v>308.66666666666669</v>
      </c>
      <c r="AQ89" s="11" t="s">
        <v>2965</v>
      </c>
      <c r="AR89" s="11" t="s">
        <v>3735</v>
      </c>
      <c r="AS89" s="11" t="s">
        <v>3736</v>
      </c>
      <c r="AT89" s="187" t="s">
        <v>3737</v>
      </c>
      <c r="AU89" s="5"/>
      <c r="AV89" s="5" t="s">
        <v>2985</v>
      </c>
      <c r="AW89" s="187" t="s">
        <v>2986</v>
      </c>
      <c r="AX89" s="5"/>
      <c r="AY89" s="5"/>
      <c r="AZ89" s="187" t="s">
        <v>2987</v>
      </c>
      <c r="BA89" s="10">
        <v>45841</v>
      </c>
      <c r="BB89" s="10"/>
      <c r="BC89" s="10">
        <f>EDATE(BA89,12)</f>
        <v>46206</v>
      </c>
      <c r="BD89" s="10">
        <v>45846</v>
      </c>
      <c r="BE89" s="10">
        <v>45849</v>
      </c>
      <c r="BF89" s="5"/>
      <c r="BG89" s="5" t="s">
        <v>3154</v>
      </c>
      <c r="BH89" s="5" t="s">
        <v>3039</v>
      </c>
      <c r="BI89" s="196">
        <v>45852</v>
      </c>
      <c r="BJ89" s="190">
        <f t="shared" si="7"/>
        <v>248</v>
      </c>
      <c r="BK89" s="11" t="s">
        <v>3166</v>
      </c>
    </row>
    <row r="90" spans="1:63" s="114" customFormat="1" ht="51" x14ac:dyDescent="0.25">
      <c r="B90" s="5">
        <v>15</v>
      </c>
      <c r="C90" s="5" t="s">
        <v>131</v>
      </c>
      <c r="D90" s="5" t="s">
        <v>33</v>
      </c>
      <c r="E90" s="187" t="s">
        <v>132</v>
      </c>
      <c r="F90" s="187" t="s">
        <v>133</v>
      </c>
      <c r="G90" s="5" t="s">
        <v>36</v>
      </c>
      <c r="H90" s="161">
        <v>40000</v>
      </c>
      <c r="I90" s="17">
        <v>0</v>
      </c>
      <c r="J90" s="17">
        <v>40000</v>
      </c>
      <c r="K90" s="116">
        <v>20</v>
      </c>
      <c r="L90" s="5" t="s">
        <v>3738</v>
      </c>
      <c r="M90" s="5" t="s">
        <v>3739</v>
      </c>
      <c r="N90" s="65" t="s">
        <v>2977</v>
      </c>
      <c r="O90" s="5" t="s">
        <v>3206</v>
      </c>
      <c r="P90" s="5" t="s">
        <v>3207</v>
      </c>
      <c r="Q90" s="5">
        <v>3501301</v>
      </c>
      <c r="R90" s="5" t="s">
        <v>3740</v>
      </c>
      <c r="S90" s="5" t="s">
        <v>64</v>
      </c>
      <c r="T90" s="11">
        <v>1</v>
      </c>
      <c r="U90" s="5" t="s">
        <v>135</v>
      </c>
      <c r="V90" s="31" t="s">
        <v>136</v>
      </c>
      <c r="W90" s="10">
        <v>45300</v>
      </c>
      <c r="X90" s="5" t="s">
        <v>41</v>
      </c>
      <c r="Y90" s="5"/>
      <c r="Z90" s="5"/>
      <c r="AA90" s="9">
        <v>340</v>
      </c>
      <c r="AB90" s="9"/>
      <c r="AC90" s="9">
        <v>285</v>
      </c>
      <c r="AD90" s="9">
        <v>300</v>
      </c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>
        <v>3</v>
      </c>
      <c r="AP90" s="62">
        <v>308.33333333333331</v>
      </c>
      <c r="AQ90" s="11" t="s">
        <v>2965</v>
      </c>
      <c r="AR90" s="9" t="s">
        <v>3181</v>
      </c>
      <c r="AS90" s="9" t="s">
        <v>3741</v>
      </c>
      <c r="AT90" s="187" t="s">
        <v>3742</v>
      </c>
      <c r="AU90" s="5"/>
      <c r="AV90" s="5"/>
      <c r="AW90" s="197" t="s">
        <v>3083</v>
      </c>
      <c r="AX90" s="5"/>
      <c r="AY90" s="5"/>
      <c r="AZ90" s="187" t="s">
        <v>3084</v>
      </c>
      <c r="BA90" s="10">
        <v>45663</v>
      </c>
      <c r="BB90" s="10"/>
      <c r="BC90" s="165">
        <f>EDATE(BA90,12)</f>
        <v>46028</v>
      </c>
      <c r="BD90" s="10">
        <v>45667</v>
      </c>
      <c r="BE90" s="10">
        <v>45800</v>
      </c>
      <c r="BF90" s="5"/>
      <c r="BG90" s="11" t="s">
        <v>3743</v>
      </c>
      <c r="BH90" s="5" t="s">
        <v>3085</v>
      </c>
      <c r="BI90" s="196">
        <v>46084</v>
      </c>
      <c r="BJ90" s="190">
        <f t="shared" si="7"/>
        <v>16</v>
      </c>
      <c r="BK90" s="11" t="s">
        <v>3744</v>
      </c>
    </row>
    <row r="91" spans="1:63" s="114" customFormat="1" ht="51" x14ac:dyDescent="0.25">
      <c r="B91" s="5">
        <v>76</v>
      </c>
      <c r="C91" s="5" t="s">
        <v>449</v>
      </c>
      <c r="D91" s="5" t="s">
        <v>33</v>
      </c>
      <c r="E91" s="187" t="s">
        <v>450</v>
      </c>
      <c r="F91" s="187" t="s">
        <v>451</v>
      </c>
      <c r="G91" s="5" t="s">
        <v>36</v>
      </c>
      <c r="H91" s="161">
        <v>14757</v>
      </c>
      <c r="I91" s="17">
        <v>0</v>
      </c>
      <c r="J91" s="17">
        <v>14757</v>
      </c>
      <c r="K91" s="116"/>
      <c r="L91" s="5" t="s">
        <v>3745</v>
      </c>
      <c r="M91" s="5" t="s">
        <v>3746</v>
      </c>
      <c r="N91" s="5" t="s">
        <v>3747</v>
      </c>
      <c r="O91" s="5" t="s">
        <v>3748</v>
      </c>
      <c r="P91" s="5" t="s">
        <v>3749</v>
      </c>
      <c r="Q91" s="5">
        <v>3553302</v>
      </c>
      <c r="R91" s="5" t="s">
        <v>3750</v>
      </c>
      <c r="S91" s="5" t="s">
        <v>453</v>
      </c>
      <c r="T91" s="11">
        <v>1</v>
      </c>
      <c r="U91" s="5" t="s">
        <v>454</v>
      </c>
      <c r="V91" s="31" t="s">
        <v>455</v>
      </c>
      <c r="W91" s="10">
        <v>45307</v>
      </c>
      <c r="X91" s="5" t="s">
        <v>67</v>
      </c>
      <c r="Y91" s="5" t="s">
        <v>184</v>
      </c>
      <c r="Z91" s="65"/>
      <c r="AA91" s="9">
        <v>340</v>
      </c>
      <c r="AB91" s="9">
        <v>245</v>
      </c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>
        <v>340</v>
      </c>
      <c r="AO91" s="9">
        <v>3</v>
      </c>
      <c r="AP91" s="62">
        <v>308.33333333333331</v>
      </c>
      <c r="AQ91" s="11" t="s">
        <v>2965</v>
      </c>
      <c r="AR91" s="5" t="s">
        <v>3679</v>
      </c>
      <c r="AS91" s="5" t="s">
        <v>3200</v>
      </c>
      <c r="AT91" s="187" t="s">
        <v>3751</v>
      </c>
      <c r="AU91" s="5"/>
      <c r="AV91" s="5" t="s">
        <v>3008</v>
      </c>
      <c r="AW91" s="187" t="s">
        <v>3752</v>
      </c>
      <c r="AX91" s="5" t="s">
        <v>3753</v>
      </c>
      <c r="AY91" s="5"/>
      <c r="AZ91" s="187" t="s">
        <v>3022</v>
      </c>
      <c r="BA91" s="10">
        <v>45643</v>
      </c>
      <c r="BB91" s="10"/>
      <c r="BC91" s="165">
        <f>EDATE(BA91,12)</f>
        <v>46008</v>
      </c>
      <c r="BD91" s="10">
        <v>45646</v>
      </c>
      <c r="BE91" s="10">
        <v>45674</v>
      </c>
      <c r="BF91" s="5"/>
      <c r="BG91" s="5" t="s">
        <v>3754</v>
      </c>
      <c r="BH91" s="5" t="s">
        <v>2997</v>
      </c>
      <c r="BI91" s="196">
        <v>46100</v>
      </c>
      <c r="BJ91" s="190">
        <f t="shared" si="7"/>
        <v>0</v>
      </c>
      <c r="BK91" s="11" t="s">
        <v>3755</v>
      </c>
    </row>
    <row r="92" spans="1:63" s="114" customFormat="1" ht="38.25" x14ac:dyDescent="0.25">
      <c r="B92" s="5">
        <v>432</v>
      </c>
      <c r="C92" s="5" t="s">
        <v>2129</v>
      </c>
      <c r="D92" s="5" t="s">
        <v>51</v>
      </c>
      <c r="E92" s="187" t="s">
        <v>2123</v>
      </c>
      <c r="F92" s="187" t="s">
        <v>2124</v>
      </c>
      <c r="G92" s="5" t="s">
        <v>107</v>
      </c>
      <c r="H92" s="160">
        <v>98000</v>
      </c>
      <c r="I92" s="38">
        <v>98000</v>
      </c>
      <c r="J92" s="38">
        <v>0</v>
      </c>
      <c r="K92" s="115">
        <v>90</v>
      </c>
      <c r="L92" s="5" t="s">
        <v>3756</v>
      </c>
      <c r="M92" s="5" t="s">
        <v>3757</v>
      </c>
      <c r="N92" s="168" t="s">
        <v>2977</v>
      </c>
      <c r="O92" s="5" t="s">
        <v>3758</v>
      </c>
      <c r="P92" s="9" t="s">
        <v>3759</v>
      </c>
      <c r="Q92" s="5">
        <v>3515194</v>
      </c>
      <c r="R92" s="5" t="s">
        <v>3760</v>
      </c>
      <c r="S92" s="11" t="s">
        <v>123</v>
      </c>
      <c r="T92" s="11">
        <v>1</v>
      </c>
      <c r="U92" s="5" t="s">
        <v>2126</v>
      </c>
      <c r="V92" s="52" t="s">
        <v>2127</v>
      </c>
      <c r="W92" s="34">
        <v>45322</v>
      </c>
      <c r="X92" s="9" t="s">
        <v>57</v>
      </c>
      <c r="Y92" s="11" t="s">
        <v>2130</v>
      </c>
      <c r="Z92" s="65"/>
      <c r="AA92" s="9">
        <v>315</v>
      </c>
      <c r="AB92" s="9"/>
      <c r="AC92" s="9"/>
      <c r="AD92" s="9"/>
      <c r="AE92" s="9"/>
      <c r="AF92" s="9">
        <v>311</v>
      </c>
      <c r="AG92" s="9">
        <v>298</v>
      </c>
      <c r="AH92" s="9"/>
      <c r="AI92" s="9"/>
      <c r="AJ92" s="9"/>
      <c r="AK92" s="9"/>
      <c r="AL92" s="9"/>
      <c r="AM92" s="65"/>
      <c r="AN92" s="65"/>
      <c r="AO92" s="9">
        <v>3</v>
      </c>
      <c r="AP92" s="62">
        <v>308</v>
      </c>
      <c r="AQ92" s="11" t="s">
        <v>2965</v>
      </c>
      <c r="AR92" s="9" t="s">
        <v>3761</v>
      </c>
      <c r="AS92" s="9" t="s">
        <v>3762</v>
      </c>
      <c r="AT92" s="187" t="s">
        <v>3763</v>
      </c>
      <c r="AU92" s="5"/>
      <c r="AV92" s="5" t="s">
        <v>45</v>
      </c>
      <c r="AW92" s="187" t="s">
        <v>2986</v>
      </c>
      <c r="AX92" s="5" t="s">
        <v>3764</v>
      </c>
      <c r="AY92" s="5"/>
      <c r="AZ92" s="187" t="s">
        <v>3288</v>
      </c>
      <c r="BA92" s="10">
        <v>45643</v>
      </c>
      <c r="BB92" s="10"/>
      <c r="BC92" s="165">
        <f>EDATE(BA92,12)</f>
        <v>46008</v>
      </c>
      <c r="BD92" s="10">
        <v>45646</v>
      </c>
      <c r="BE92" s="10">
        <v>45680</v>
      </c>
      <c r="BF92" s="10">
        <v>45994</v>
      </c>
      <c r="BG92" s="5" t="s">
        <v>2996</v>
      </c>
      <c r="BH92" s="5" t="s">
        <v>2997</v>
      </c>
      <c r="BI92" s="196">
        <v>45996</v>
      </c>
      <c r="BJ92" s="193">
        <f t="shared" si="7"/>
        <v>104</v>
      </c>
      <c r="BK92" s="167" t="s">
        <v>3340</v>
      </c>
    </row>
    <row r="93" spans="1:63" s="114" customFormat="1" ht="89.25" hidden="1" x14ac:dyDescent="0.25">
      <c r="B93" s="5">
        <v>202</v>
      </c>
      <c r="C93" s="5" t="s">
        <v>1070</v>
      </c>
      <c r="D93" s="5" t="s">
        <v>33</v>
      </c>
      <c r="E93" s="5" t="s">
        <v>1071</v>
      </c>
      <c r="F93" s="5" t="s">
        <v>1072</v>
      </c>
      <c r="G93" s="5" t="s">
        <v>107</v>
      </c>
      <c r="H93" s="17">
        <v>39554</v>
      </c>
      <c r="I93" s="17">
        <v>3500</v>
      </c>
      <c r="J93" s="17">
        <f>H93-I93</f>
        <v>36054</v>
      </c>
      <c r="K93" s="116">
        <v>30</v>
      </c>
      <c r="L93" s="5" t="s">
        <v>3765</v>
      </c>
      <c r="M93" s="5" t="s">
        <v>3766</v>
      </c>
      <c r="N93" s="48" t="s">
        <v>3767</v>
      </c>
      <c r="O93" s="5" t="s">
        <v>3768</v>
      </c>
      <c r="P93" s="5" t="s">
        <v>3439</v>
      </c>
      <c r="Q93" s="5">
        <v>3541406</v>
      </c>
      <c r="R93" s="5" t="s">
        <v>3769</v>
      </c>
      <c r="S93" s="5" t="s">
        <v>64</v>
      </c>
      <c r="T93" s="11">
        <v>1</v>
      </c>
      <c r="U93" s="5" t="s">
        <v>1073</v>
      </c>
      <c r="V93" s="31" t="s">
        <v>1074</v>
      </c>
      <c r="W93" s="10">
        <v>45320</v>
      </c>
      <c r="X93" s="5" t="s">
        <v>41</v>
      </c>
      <c r="Y93" s="5"/>
      <c r="Z93" s="65"/>
      <c r="AA93" s="5">
        <v>340</v>
      </c>
      <c r="AB93" s="9">
        <v>243</v>
      </c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>
        <v>340</v>
      </c>
      <c r="AN93" s="9"/>
      <c r="AO93" s="9">
        <v>3</v>
      </c>
      <c r="AP93" s="62">
        <v>307.66666666666669</v>
      </c>
      <c r="AQ93" s="11" t="s">
        <v>3004</v>
      </c>
      <c r="AR93" s="5" t="s">
        <v>3770</v>
      </c>
      <c r="AS93" s="5" t="s">
        <v>3771</v>
      </c>
      <c r="AT93" s="5" t="s">
        <v>3772</v>
      </c>
      <c r="AU93" s="5"/>
      <c r="AV93" s="5" t="s">
        <v>3008</v>
      </c>
      <c r="AW93" s="5" t="s">
        <v>3009</v>
      </c>
      <c r="AX93" s="5"/>
      <c r="AY93" s="5"/>
      <c r="AZ93" s="5" t="s">
        <v>3773</v>
      </c>
      <c r="BA93" s="5"/>
      <c r="BB93" s="5"/>
      <c r="BC93" s="5"/>
      <c r="BD93" s="5"/>
      <c r="BE93" s="5"/>
      <c r="BF93" s="5"/>
      <c r="BG93" s="5"/>
      <c r="BH93" s="5"/>
      <c r="BI93" s="34">
        <v>45579</v>
      </c>
      <c r="BJ93" s="113">
        <f t="shared" si="7"/>
        <v>521</v>
      </c>
      <c r="BK93" s="11" t="s">
        <v>3774</v>
      </c>
    </row>
    <row r="94" spans="1:63" s="114" customFormat="1" ht="51" x14ac:dyDescent="0.25">
      <c r="B94" s="5">
        <v>547</v>
      </c>
      <c r="C94" s="5" t="s">
        <v>2649</v>
      </c>
      <c r="D94" s="5" t="s">
        <v>33</v>
      </c>
      <c r="E94" s="187" t="s">
        <v>2650</v>
      </c>
      <c r="F94" s="187" t="s">
        <v>2651</v>
      </c>
      <c r="G94" s="5" t="s">
        <v>107</v>
      </c>
      <c r="H94" s="161">
        <v>1308000</v>
      </c>
      <c r="I94" s="17">
        <v>1308000</v>
      </c>
      <c r="J94" s="17">
        <v>0</v>
      </c>
      <c r="K94" s="116">
        <v>100</v>
      </c>
      <c r="L94" s="5" t="s">
        <v>3775</v>
      </c>
      <c r="M94" s="5" t="s">
        <v>3776</v>
      </c>
      <c r="N94" s="5" t="s">
        <v>3777</v>
      </c>
      <c r="O94" s="5" t="s">
        <v>3778</v>
      </c>
      <c r="P94" s="5" t="s">
        <v>3353</v>
      </c>
      <c r="Q94" s="5">
        <v>3550308</v>
      </c>
      <c r="R94" s="5" t="s">
        <v>3779</v>
      </c>
      <c r="S94" s="5" t="s">
        <v>74</v>
      </c>
      <c r="T94" s="11">
        <v>1</v>
      </c>
      <c r="U94" s="5" t="s">
        <v>2652</v>
      </c>
      <c r="V94" s="31" t="s">
        <v>2653</v>
      </c>
      <c r="W94" s="10">
        <v>45322</v>
      </c>
      <c r="X94" s="5" t="s">
        <v>67</v>
      </c>
      <c r="Y94" s="5" t="s">
        <v>89</v>
      </c>
      <c r="Z94" s="5" t="s">
        <v>68</v>
      </c>
      <c r="AA94" s="5">
        <v>296</v>
      </c>
      <c r="AB94" s="9"/>
      <c r="AC94" s="9"/>
      <c r="AD94" s="9"/>
      <c r="AE94" s="9"/>
      <c r="AF94" s="9"/>
      <c r="AG94" s="9"/>
      <c r="AH94" s="9">
        <v>314</v>
      </c>
      <c r="AI94" s="9">
        <v>313</v>
      </c>
      <c r="AJ94" s="9"/>
      <c r="AK94" s="9"/>
      <c r="AL94" s="9"/>
      <c r="AM94" s="9"/>
      <c r="AN94" s="9"/>
      <c r="AO94" s="9">
        <v>3</v>
      </c>
      <c r="AP94" s="62">
        <v>307.66666666666669</v>
      </c>
      <c r="AQ94" s="11" t="s">
        <v>2965</v>
      </c>
      <c r="AR94" s="5" t="s">
        <v>3116</v>
      </c>
      <c r="AS94" s="5" t="s">
        <v>3780</v>
      </c>
      <c r="AT94" s="187" t="s">
        <v>3781</v>
      </c>
      <c r="AU94" s="5"/>
      <c r="AV94" s="5" t="s">
        <v>3118</v>
      </c>
      <c r="AW94" s="187" t="s">
        <v>2986</v>
      </c>
      <c r="AX94" s="5" t="s">
        <v>3036</v>
      </c>
      <c r="AY94" s="5"/>
      <c r="AZ94" s="187" t="s">
        <v>3288</v>
      </c>
      <c r="BA94" s="10">
        <v>45819</v>
      </c>
      <c r="BB94" s="10"/>
      <c r="BC94" s="10">
        <f>EDATE(BA94,12)</f>
        <v>46184</v>
      </c>
      <c r="BD94" s="10">
        <v>45825</v>
      </c>
      <c r="BE94" s="10">
        <v>45832</v>
      </c>
      <c r="BF94" s="10">
        <v>46064</v>
      </c>
      <c r="BG94" s="5" t="s">
        <v>3119</v>
      </c>
      <c r="BH94" s="5" t="s">
        <v>3039</v>
      </c>
      <c r="BI94" s="196">
        <v>46065</v>
      </c>
      <c r="BJ94" s="193">
        <f t="shared" si="7"/>
        <v>35</v>
      </c>
      <c r="BK94" s="9"/>
    </row>
    <row r="95" spans="1:63" s="114" customFormat="1" ht="51" hidden="1" x14ac:dyDescent="0.25">
      <c r="B95" s="5">
        <v>358</v>
      </c>
      <c r="C95" s="5" t="s">
        <v>1813</v>
      </c>
      <c r="D95" s="5" t="s">
        <v>51</v>
      </c>
      <c r="E95" s="9" t="s">
        <v>1814</v>
      </c>
      <c r="F95" s="9" t="s">
        <v>1815</v>
      </c>
      <c r="G95" s="11" t="s">
        <v>36</v>
      </c>
      <c r="H95" s="38">
        <v>629640</v>
      </c>
      <c r="I95" s="38">
        <v>629640</v>
      </c>
      <c r="J95" s="38"/>
      <c r="K95" s="115"/>
      <c r="L95" s="9" t="s">
        <v>3782</v>
      </c>
      <c r="M95" s="9" t="s">
        <v>3783</v>
      </c>
      <c r="N95" s="9" t="s">
        <v>2977</v>
      </c>
      <c r="O95" s="9" t="s">
        <v>3784</v>
      </c>
      <c r="P95" s="9" t="s">
        <v>3717</v>
      </c>
      <c r="Q95" s="5">
        <v>3505500</v>
      </c>
      <c r="R95" s="9" t="s">
        <v>3785</v>
      </c>
      <c r="S95" s="11" t="s">
        <v>181</v>
      </c>
      <c r="T95" s="11">
        <v>1</v>
      </c>
      <c r="U95" s="11" t="s">
        <v>1816</v>
      </c>
      <c r="V95" s="52" t="s">
        <v>1817</v>
      </c>
      <c r="W95" s="34">
        <v>45321</v>
      </c>
      <c r="X95" s="9" t="s">
        <v>41</v>
      </c>
      <c r="Y95" s="9"/>
      <c r="Z95" s="65"/>
      <c r="AA95" s="1">
        <v>289</v>
      </c>
      <c r="AB95" s="1"/>
      <c r="AC95" s="1"/>
      <c r="AD95" s="1"/>
      <c r="AE95" s="1"/>
      <c r="AF95" s="1"/>
      <c r="AG95" s="1"/>
      <c r="AH95" s="1"/>
      <c r="AI95" s="1"/>
      <c r="AJ95" s="1">
        <v>328</v>
      </c>
      <c r="AK95" s="1"/>
      <c r="AL95" s="1"/>
      <c r="AM95" s="1">
        <v>304</v>
      </c>
      <c r="AN95" s="1"/>
      <c r="AO95" s="9">
        <v>3</v>
      </c>
      <c r="AP95" s="62">
        <v>307</v>
      </c>
      <c r="AQ95" s="11" t="s">
        <v>3004</v>
      </c>
      <c r="AR95" s="9" t="s">
        <v>3786</v>
      </c>
      <c r="AS95" s="9" t="s">
        <v>3787</v>
      </c>
      <c r="AT95" s="5" t="s">
        <v>3788</v>
      </c>
      <c r="AU95" s="5"/>
      <c r="AV95" s="5" t="s">
        <v>45</v>
      </c>
      <c r="AW95" s="5" t="s">
        <v>3061</v>
      </c>
      <c r="AX95" s="5" t="s">
        <v>2971</v>
      </c>
      <c r="AY95" s="5"/>
      <c r="AZ95" s="5" t="s">
        <v>2973</v>
      </c>
      <c r="BA95" s="5"/>
      <c r="BB95" s="5"/>
      <c r="BC95" s="5"/>
      <c r="BD95" s="5"/>
      <c r="BE95" s="5"/>
      <c r="BF95" s="5"/>
      <c r="BG95" s="5"/>
      <c r="BH95" s="5"/>
      <c r="BI95" s="34">
        <v>45940</v>
      </c>
      <c r="BJ95" s="113">
        <f t="shared" si="7"/>
        <v>160</v>
      </c>
      <c r="BK95" s="11" t="s">
        <v>82</v>
      </c>
    </row>
    <row r="96" spans="1:63" s="114" customFormat="1" ht="38.25" x14ac:dyDescent="0.25">
      <c r="B96" s="5">
        <v>78</v>
      </c>
      <c r="C96" s="5" t="s">
        <v>461</v>
      </c>
      <c r="D96" s="5" t="s">
        <v>33</v>
      </c>
      <c r="E96" s="187" t="s">
        <v>462</v>
      </c>
      <c r="F96" s="187" t="s">
        <v>463</v>
      </c>
      <c r="G96" s="5" t="s">
        <v>107</v>
      </c>
      <c r="H96" s="161">
        <v>695426.07</v>
      </c>
      <c r="I96" s="17">
        <f>H96</f>
        <v>695426.07</v>
      </c>
      <c r="J96" s="17">
        <v>0</v>
      </c>
      <c r="K96" s="116">
        <v>200</v>
      </c>
      <c r="L96" s="5" t="s">
        <v>3789</v>
      </c>
      <c r="M96" s="5" t="s">
        <v>3790</v>
      </c>
      <c r="N96" s="9" t="s">
        <v>3791</v>
      </c>
      <c r="O96" s="5" t="s">
        <v>3792</v>
      </c>
      <c r="P96" s="5" t="s">
        <v>3353</v>
      </c>
      <c r="Q96" s="5">
        <v>3550308</v>
      </c>
      <c r="R96" s="5" t="s">
        <v>3793</v>
      </c>
      <c r="S96" s="5" t="s">
        <v>74</v>
      </c>
      <c r="T96" s="11">
        <v>1</v>
      </c>
      <c r="U96" s="5" t="s">
        <v>464</v>
      </c>
      <c r="V96" s="31" t="s">
        <v>3794</v>
      </c>
      <c r="W96" s="10">
        <v>45307</v>
      </c>
      <c r="X96" s="5" t="s">
        <v>67</v>
      </c>
      <c r="Y96" s="5" t="s">
        <v>466</v>
      </c>
      <c r="Z96" s="5"/>
      <c r="AA96" s="9">
        <v>324</v>
      </c>
      <c r="AB96" s="9">
        <v>256</v>
      </c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>
        <v>340</v>
      </c>
      <c r="AO96" s="9">
        <v>3</v>
      </c>
      <c r="AP96" s="62">
        <v>306.66666666666669</v>
      </c>
      <c r="AQ96" s="11" t="s">
        <v>2965</v>
      </c>
      <c r="AR96" s="5" t="s">
        <v>3005</v>
      </c>
      <c r="AS96" s="5" t="s">
        <v>3200</v>
      </c>
      <c r="AT96" s="187" t="s">
        <v>3795</v>
      </c>
      <c r="AU96" s="5"/>
      <c r="AV96" s="5" t="s">
        <v>3008</v>
      </c>
      <c r="AW96" s="187" t="s">
        <v>3131</v>
      </c>
      <c r="AX96" s="5" t="s">
        <v>3036</v>
      </c>
      <c r="AY96" s="5" t="s">
        <v>3530</v>
      </c>
      <c r="AZ96" s="187" t="s">
        <v>2987</v>
      </c>
      <c r="BA96" s="10">
        <v>45783</v>
      </c>
      <c r="BB96" s="10"/>
      <c r="BC96" s="10">
        <f>EDATE(BA96,12)</f>
        <v>46148</v>
      </c>
      <c r="BD96" s="10">
        <v>45790</v>
      </c>
      <c r="BE96" s="10">
        <v>45800</v>
      </c>
      <c r="BF96" s="5"/>
      <c r="BG96" s="5" t="s">
        <v>3119</v>
      </c>
      <c r="BH96" s="5" t="s">
        <v>3039</v>
      </c>
      <c r="BI96" s="196">
        <v>46099</v>
      </c>
      <c r="BJ96" s="190">
        <f t="shared" si="7"/>
        <v>1</v>
      </c>
      <c r="BK96" s="11" t="s">
        <v>3796</v>
      </c>
    </row>
    <row r="97" spans="2:63" s="64" customFormat="1" ht="51" hidden="1" x14ac:dyDescent="0.25">
      <c r="B97" s="5">
        <v>481</v>
      </c>
      <c r="C97" s="97" t="s">
        <v>2348</v>
      </c>
      <c r="D97" s="45" t="s">
        <v>33</v>
      </c>
      <c r="E97" s="45" t="s">
        <v>2342</v>
      </c>
      <c r="F97" s="46" t="s">
        <v>2343</v>
      </c>
      <c r="G97" s="45" t="s">
        <v>36</v>
      </c>
      <c r="H97" s="92">
        <v>568400</v>
      </c>
      <c r="I97" s="92"/>
      <c r="J97" s="92"/>
      <c r="K97" s="92"/>
      <c r="L97" s="45"/>
      <c r="M97" s="45"/>
      <c r="N97" s="45"/>
      <c r="O97" s="45"/>
      <c r="P97" s="45" t="s">
        <v>73</v>
      </c>
      <c r="Q97" s="5"/>
      <c r="R97" s="45"/>
      <c r="S97" s="45" t="s">
        <v>74</v>
      </c>
      <c r="T97" s="45"/>
      <c r="U97" s="45" t="s">
        <v>2344</v>
      </c>
      <c r="V97" s="88" t="s">
        <v>3797</v>
      </c>
      <c r="W97" s="10">
        <v>45322</v>
      </c>
      <c r="X97" s="46" t="s">
        <v>226</v>
      </c>
      <c r="Y97" s="45" t="s">
        <v>3798</v>
      </c>
      <c r="Z97" s="90"/>
      <c r="AA97" s="45">
        <v>250</v>
      </c>
      <c r="AB97" s="46"/>
      <c r="AC97" s="46"/>
      <c r="AD97" s="46"/>
      <c r="AE97" s="46"/>
      <c r="AF97" s="46"/>
      <c r="AG97" s="46">
        <v>330</v>
      </c>
      <c r="AH97" s="46"/>
      <c r="AI97" s="46">
        <v>340</v>
      </c>
      <c r="AJ97" s="46"/>
      <c r="AK97" s="46"/>
      <c r="AL97" s="46"/>
      <c r="AM97" s="46"/>
      <c r="AN97" s="46"/>
      <c r="AO97" s="46">
        <v>3</v>
      </c>
      <c r="AP97" s="91">
        <v>306.66666666666669</v>
      </c>
      <c r="AQ97" s="86" t="s">
        <v>2965</v>
      </c>
      <c r="AR97" s="45" t="s">
        <v>3116</v>
      </c>
      <c r="AS97" s="5" t="s">
        <v>3799</v>
      </c>
      <c r="AT97" s="5"/>
      <c r="AU97" s="5"/>
      <c r="AV97" s="5" t="s">
        <v>3118</v>
      </c>
      <c r="AW97" s="5"/>
      <c r="AX97" s="5"/>
      <c r="AY97" s="5"/>
      <c r="AZ97" s="11"/>
      <c r="BA97" s="11"/>
      <c r="BB97" s="11"/>
      <c r="BC97" s="11"/>
      <c r="BD97" s="11"/>
      <c r="BE97" s="11"/>
      <c r="BF97" s="11"/>
      <c r="BG97" s="11"/>
      <c r="BH97" s="11"/>
      <c r="BI97" s="9"/>
      <c r="BJ97" s="110">
        <f t="shared" si="7"/>
        <v>46100</v>
      </c>
      <c r="BK97" s="65"/>
    </row>
    <row r="98" spans="2:63" s="114" customFormat="1" ht="63.75" x14ac:dyDescent="0.25">
      <c r="B98" s="5">
        <v>142</v>
      </c>
      <c r="C98" s="5" t="s">
        <v>758</v>
      </c>
      <c r="D98" s="5" t="s">
        <v>33</v>
      </c>
      <c r="E98" s="187" t="s">
        <v>3800</v>
      </c>
      <c r="F98" s="187" t="s">
        <v>760</v>
      </c>
      <c r="G98" s="5" t="s">
        <v>62</v>
      </c>
      <c r="H98" s="161">
        <v>442329.56</v>
      </c>
      <c r="I98" s="17">
        <v>392912.69</v>
      </c>
      <c r="J98" s="17">
        <v>49416.87</v>
      </c>
      <c r="K98" s="116">
        <v>180</v>
      </c>
      <c r="L98" s="5" t="s">
        <v>3801</v>
      </c>
      <c r="M98" s="5" t="s">
        <v>3802</v>
      </c>
      <c r="N98" s="5" t="s">
        <v>3803</v>
      </c>
      <c r="O98" s="5" t="s">
        <v>3804</v>
      </c>
      <c r="P98" s="5" t="s">
        <v>3353</v>
      </c>
      <c r="Q98" s="5">
        <v>3550308</v>
      </c>
      <c r="R98" s="5" t="s">
        <v>3805</v>
      </c>
      <c r="S98" s="5" t="s">
        <v>74</v>
      </c>
      <c r="T98" s="11">
        <v>1</v>
      </c>
      <c r="U98" s="5" t="s">
        <v>761</v>
      </c>
      <c r="V98" s="31" t="s">
        <v>762</v>
      </c>
      <c r="W98" s="10">
        <v>45308</v>
      </c>
      <c r="X98" s="5" t="s">
        <v>41</v>
      </c>
      <c r="Y98" s="5"/>
      <c r="Z98" s="5"/>
      <c r="AA98" s="9">
        <v>340</v>
      </c>
      <c r="AB98" s="9">
        <v>252</v>
      </c>
      <c r="AC98" s="9"/>
      <c r="AD98" s="9"/>
      <c r="AE98" s="9"/>
      <c r="AF98" s="9"/>
      <c r="AG98" s="9"/>
      <c r="AH98" s="9"/>
      <c r="AI98" s="9"/>
      <c r="AJ98" s="9"/>
      <c r="AK98" s="9"/>
      <c r="AL98" s="9">
        <v>324</v>
      </c>
      <c r="AM98" s="9"/>
      <c r="AN98" s="9"/>
      <c r="AO98" s="9">
        <v>3</v>
      </c>
      <c r="AP98" s="62">
        <v>305.33333333333331</v>
      </c>
      <c r="AQ98" s="11" t="s">
        <v>2965</v>
      </c>
      <c r="AR98" s="5" t="s">
        <v>3005</v>
      </c>
      <c r="AS98" s="5" t="s">
        <v>3806</v>
      </c>
      <c r="AT98" s="187" t="s">
        <v>3807</v>
      </c>
      <c r="AU98" s="5"/>
      <c r="AV98" s="5" t="s">
        <v>3008</v>
      </c>
      <c r="AW98" s="187" t="s">
        <v>3083</v>
      </c>
      <c r="AX98" s="5" t="s">
        <v>2971</v>
      </c>
      <c r="AY98" s="5"/>
      <c r="AZ98" s="187" t="s">
        <v>3084</v>
      </c>
      <c r="BA98" s="10">
        <v>45785</v>
      </c>
      <c r="BB98" s="10"/>
      <c r="BC98" s="10">
        <f>EDATE(BA98,12)</f>
        <v>46150</v>
      </c>
      <c r="BD98" s="10">
        <v>45790</v>
      </c>
      <c r="BE98" s="10">
        <v>45800</v>
      </c>
      <c r="BF98" s="5"/>
      <c r="BG98" s="5" t="s">
        <v>3119</v>
      </c>
      <c r="BH98" s="5" t="s">
        <v>3039</v>
      </c>
      <c r="BI98" s="196">
        <v>46084</v>
      </c>
      <c r="BJ98" s="190">
        <f t="shared" si="7"/>
        <v>16</v>
      </c>
      <c r="BK98" s="11" t="s">
        <v>3808</v>
      </c>
    </row>
    <row r="99" spans="2:63" s="114" customFormat="1" ht="31.5" customHeight="1" x14ac:dyDescent="0.25">
      <c r="B99" s="5">
        <v>324</v>
      </c>
      <c r="C99" s="5" t="s">
        <v>1666</v>
      </c>
      <c r="D99" s="5" t="s">
        <v>33</v>
      </c>
      <c r="E99" s="187" t="s">
        <v>1667</v>
      </c>
      <c r="F99" s="187" t="s">
        <v>1668</v>
      </c>
      <c r="G99" s="5" t="s">
        <v>62</v>
      </c>
      <c r="H99" s="161">
        <v>166668.42000000001</v>
      </c>
      <c r="I99" s="17">
        <f>H99</f>
        <v>166668.42000000001</v>
      </c>
      <c r="J99" s="17">
        <v>0</v>
      </c>
      <c r="K99" s="116">
        <v>80</v>
      </c>
      <c r="L99" s="5" t="s">
        <v>3809</v>
      </c>
      <c r="M99" s="5" t="s">
        <v>3810</v>
      </c>
      <c r="N99" s="5" t="s">
        <v>3811</v>
      </c>
      <c r="O99" s="5" t="s">
        <v>3812</v>
      </c>
      <c r="P99" s="5" t="s">
        <v>3813</v>
      </c>
      <c r="Q99" s="5">
        <v>3506003</v>
      </c>
      <c r="R99" s="5" t="s">
        <v>3814</v>
      </c>
      <c r="S99" s="5" t="s">
        <v>115</v>
      </c>
      <c r="T99" s="11">
        <v>1</v>
      </c>
      <c r="U99" s="5" t="s">
        <v>1669</v>
      </c>
      <c r="V99" s="31" t="s">
        <v>1670</v>
      </c>
      <c r="W99" s="10">
        <v>45321</v>
      </c>
      <c r="X99" s="5" t="s">
        <v>41</v>
      </c>
      <c r="Y99" s="5"/>
      <c r="Z99" s="65"/>
      <c r="AA99" s="5">
        <v>314</v>
      </c>
      <c r="AB99" s="9">
        <v>269</v>
      </c>
      <c r="AC99" s="9"/>
      <c r="AD99" s="9"/>
      <c r="AE99" s="9"/>
      <c r="AF99" s="9"/>
      <c r="AG99" s="9"/>
      <c r="AH99" s="9"/>
      <c r="AI99" s="9"/>
      <c r="AJ99" s="9"/>
      <c r="AK99" s="9"/>
      <c r="AL99" s="9">
        <v>333</v>
      </c>
      <c r="AM99" s="9"/>
      <c r="AN99" s="9"/>
      <c r="AO99" s="9">
        <v>3</v>
      </c>
      <c r="AP99" s="62">
        <v>305.33333333333331</v>
      </c>
      <c r="AQ99" s="11" t="s">
        <v>2965</v>
      </c>
      <c r="AR99" s="5" t="s">
        <v>3093</v>
      </c>
      <c r="AS99" s="5" t="s">
        <v>3815</v>
      </c>
      <c r="AT99" s="187" t="s">
        <v>3816</v>
      </c>
      <c r="AU99" s="5"/>
      <c r="AV99" s="5" t="s">
        <v>3020</v>
      </c>
      <c r="AW99" s="187" t="s">
        <v>2986</v>
      </c>
      <c r="AX99" s="5" t="s">
        <v>2971</v>
      </c>
      <c r="AY99" s="5"/>
      <c r="AZ99" s="187" t="s">
        <v>2987</v>
      </c>
      <c r="BA99" s="10">
        <v>45817</v>
      </c>
      <c r="BB99" s="10"/>
      <c r="BC99" s="10">
        <f>EDATE(BA99,12)</f>
        <v>46182</v>
      </c>
      <c r="BD99" s="10">
        <v>45820</v>
      </c>
      <c r="BE99" s="10">
        <v>45816</v>
      </c>
      <c r="BF99" s="5"/>
      <c r="BG99" s="5" t="s">
        <v>3119</v>
      </c>
      <c r="BH99" s="5" t="s">
        <v>3039</v>
      </c>
      <c r="BI99" s="196">
        <v>45945</v>
      </c>
      <c r="BJ99" s="190">
        <f t="shared" si="7"/>
        <v>155</v>
      </c>
      <c r="BK99" s="11" t="s">
        <v>3817</v>
      </c>
    </row>
    <row r="100" spans="2:63" s="114" customFormat="1" ht="38.25" x14ac:dyDescent="0.25">
      <c r="B100" s="5">
        <v>523</v>
      </c>
      <c r="C100" s="5" t="s">
        <v>2553</v>
      </c>
      <c r="D100" s="5" t="s">
        <v>51</v>
      </c>
      <c r="E100" s="187" t="s">
        <v>2554</v>
      </c>
      <c r="F100" s="187" t="s">
        <v>2555</v>
      </c>
      <c r="G100" s="5" t="s">
        <v>107</v>
      </c>
      <c r="H100" s="160">
        <v>80058.679999999993</v>
      </c>
      <c r="I100" s="38">
        <v>69931.92</v>
      </c>
      <c r="J100" s="38">
        <f>H100-I100</f>
        <v>10126.759999999995</v>
      </c>
      <c r="K100" s="115"/>
      <c r="L100" s="5" t="s">
        <v>3818</v>
      </c>
      <c r="M100" s="5" t="s">
        <v>3819</v>
      </c>
      <c r="N100" s="11" t="s">
        <v>2977</v>
      </c>
      <c r="O100" s="5" t="s">
        <v>3820</v>
      </c>
      <c r="P100" s="9" t="s">
        <v>3821</v>
      </c>
      <c r="Q100" s="5">
        <v>3508306</v>
      </c>
      <c r="R100" s="5" t="s">
        <v>3822</v>
      </c>
      <c r="S100" s="11" t="s">
        <v>115</v>
      </c>
      <c r="T100" s="11">
        <v>1</v>
      </c>
      <c r="U100" s="9" t="s">
        <v>2557</v>
      </c>
      <c r="V100" s="52" t="s">
        <v>3823</v>
      </c>
      <c r="W100" s="34">
        <v>45322</v>
      </c>
      <c r="X100" s="9" t="s">
        <v>57</v>
      </c>
      <c r="Y100" s="5" t="s">
        <v>2559</v>
      </c>
      <c r="Z100" s="65"/>
      <c r="AA100" s="9">
        <v>306</v>
      </c>
      <c r="AB100" s="9"/>
      <c r="AC100" s="9"/>
      <c r="AD100" s="9"/>
      <c r="AE100" s="9"/>
      <c r="AF100" s="9">
        <v>310</v>
      </c>
      <c r="AG100" s="9">
        <v>299</v>
      </c>
      <c r="AH100" s="9"/>
      <c r="AI100" s="9"/>
      <c r="AJ100" s="9"/>
      <c r="AK100" s="9"/>
      <c r="AL100" s="9"/>
      <c r="AM100" s="65"/>
      <c r="AN100" s="65"/>
      <c r="AO100" s="9">
        <v>3</v>
      </c>
      <c r="AP100" s="62">
        <v>305</v>
      </c>
      <c r="AQ100" s="11" t="s">
        <v>2965</v>
      </c>
      <c r="AR100" s="11" t="s">
        <v>3824</v>
      </c>
      <c r="AS100" s="11" t="s">
        <v>3825</v>
      </c>
      <c r="AT100" s="187" t="s">
        <v>3826</v>
      </c>
      <c r="AU100" s="5"/>
      <c r="AV100" s="5" t="s">
        <v>3316</v>
      </c>
      <c r="AW100" s="187" t="s">
        <v>2986</v>
      </c>
      <c r="AX100" s="5"/>
      <c r="AY100" s="5"/>
      <c r="AZ100" s="187" t="s">
        <v>3037</v>
      </c>
      <c r="BA100" s="10">
        <v>45638</v>
      </c>
      <c r="BB100" s="10">
        <v>46014</v>
      </c>
      <c r="BC100" s="10">
        <v>46265</v>
      </c>
      <c r="BD100" s="10">
        <v>45642</v>
      </c>
      <c r="BE100" s="10">
        <v>45677</v>
      </c>
      <c r="BF100" s="10"/>
      <c r="BG100" s="5" t="s">
        <v>2996</v>
      </c>
      <c r="BH100" s="5" t="s">
        <v>2997</v>
      </c>
      <c r="BI100" s="189">
        <v>46083</v>
      </c>
      <c r="BJ100" s="190">
        <f t="shared" si="7"/>
        <v>17</v>
      </c>
      <c r="BK100" s="11" t="s">
        <v>3827</v>
      </c>
    </row>
    <row r="101" spans="2:63" s="114" customFormat="1" ht="45" x14ac:dyDescent="0.25">
      <c r="B101" s="5">
        <v>281</v>
      </c>
      <c r="C101" s="5" t="s">
        <v>1445</v>
      </c>
      <c r="D101" s="5" t="s">
        <v>51</v>
      </c>
      <c r="E101" s="191" t="s">
        <v>1446</v>
      </c>
      <c r="F101" s="191" t="s">
        <v>1447</v>
      </c>
      <c r="G101" s="11" t="s">
        <v>107</v>
      </c>
      <c r="H101" s="160">
        <v>921684</v>
      </c>
      <c r="I101" s="38">
        <v>848050</v>
      </c>
      <c r="J101" s="38">
        <v>73634</v>
      </c>
      <c r="K101" s="115"/>
      <c r="L101" s="11" t="s">
        <v>3828</v>
      </c>
      <c r="M101" s="11" t="s">
        <v>3829</v>
      </c>
      <c r="N101" s="11" t="s">
        <v>2977</v>
      </c>
      <c r="O101" s="11" t="s">
        <v>3830</v>
      </c>
      <c r="P101" s="9" t="s">
        <v>3831</v>
      </c>
      <c r="Q101" s="5">
        <v>3543303</v>
      </c>
      <c r="R101" s="11" t="s">
        <v>3832</v>
      </c>
      <c r="S101" s="11" t="s">
        <v>235</v>
      </c>
      <c r="T101" s="11">
        <v>1</v>
      </c>
      <c r="U101" s="11" t="s">
        <v>1449</v>
      </c>
      <c r="V101" s="52" t="s">
        <v>3833</v>
      </c>
      <c r="W101" s="34">
        <v>45320</v>
      </c>
      <c r="X101" s="9" t="s">
        <v>57</v>
      </c>
      <c r="Y101" s="9"/>
      <c r="Z101" s="65"/>
      <c r="AA101" s="9">
        <v>264</v>
      </c>
      <c r="AB101" s="9"/>
      <c r="AC101" s="9"/>
      <c r="AD101" s="9"/>
      <c r="AE101" s="9"/>
      <c r="AF101" s="9"/>
      <c r="AG101" s="9"/>
      <c r="AH101" s="9">
        <v>310</v>
      </c>
      <c r="AI101" s="9">
        <v>340</v>
      </c>
      <c r="AJ101" s="9"/>
      <c r="AK101" s="9"/>
      <c r="AL101" s="9"/>
      <c r="AM101" s="65"/>
      <c r="AN101" s="65"/>
      <c r="AO101" s="9">
        <v>3</v>
      </c>
      <c r="AP101" s="62">
        <v>304.66666666666669</v>
      </c>
      <c r="AQ101" s="11" t="s">
        <v>2965</v>
      </c>
      <c r="AR101" s="9" t="s">
        <v>3834</v>
      </c>
      <c r="AS101" s="11" t="s">
        <v>3835</v>
      </c>
      <c r="AT101" s="187" t="s">
        <v>3836</v>
      </c>
      <c r="AU101" s="5"/>
      <c r="AV101" s="5" t="s">
        <v>3316</v>
      </c>
      <c r="AW101" s="187" t="s">
        <v>2986</v>
      </c>
      <c r="AX101" s="5" t="s">
        <v>3764</v>
      </c>
      <c r="AY101" s="5"/>
      <c r="AZ101" s="187" t="s">
        <v>2987</v>
      </c>
      <c r="BA101" s="10">
        <v>45643</v>
      </c>
      <c r="BB101" s="10">
        <v>46031</v>
      </c>
      <c r="BC101" s="165">
        <f>EDATE(BA101,12)</f>
        <v>46008</v>
      </c>
      <c r="BD101" s="10">
        <v>45646</v>
      </c>
      <c r="BE101" s="10">
        <v>45706</v>
      </c>
      <c r="BF101" s="5"/>
      <c r="BG101" s="5" t="s">
        <v>2996</v>
      </c>
      <c r="BH101" s="5" t="s">
        <v>2997</v>
      </c>
      <c r="BI101" s="196">
        <v>46037</v>
      </c>
      <c r="BJ101" s="193">
        <f t="shared" si="7"/>
        <v>63</v>
      </c>
      <c r="BK101" s="86" t="s">
        <v>3837</v>
      </c>
    </row>
    <row r="102" spans="2:63" s="114" customFormat="1" ht="51" x14ac:dyDescent="0.25">
      <c r="B102" s="5">
        <v>64</v>
      </c>
      <c r="C102" s="5" t="s">
        <v>381</v>
      </c>
      <c r="D102" s="5" t="s">
        <v>33</v>
      </c>
      <c r="E102" s="187" t="s">
        <v>382</v>
      </c>
      <c r="F102" s="187" t="s">
        <v>383</v>
      </c>
      <c r="G102" s="7" t="s">
        <v>36</v>
      </c>
      <c r="H102" s="161">
        <v>100000</v>
      </c>
      <c r="I102" s="84">
        <v>0</v>
      </c>
      <c r="J102" s="84">
        <v>100000</v>
      </c>
      <c r="K102" s="118">
        <v>54</v>
      </c>
      <c r="L102" s="5" t="s">
        <v>3838</v>
      </c>
      <c r="M102" s="5" t="s">
        <v>3839</v>
      </c>
      <c r="N102" s="5" t="s">
        <v>3534</v>
      </c>
      <c r="O102" s="5" t="s">
        <v>3840</v>
      </c>
      <c r="P102" s="5" t="s">
        <v>3841</v>
      </c>
      <c r="Q102" s="5">
        <v>3529302</v>
      </c>
      <c r="R102" s="5" t="s">
        <v>3842</v>
      </c>
      <c r="S102" s="5" t="s">
        <v>348</v>
      </c>
      <c r="T102" s="11">
        <v>1</v>
      </c>
      <c r="U102" s="5" t="s">
        <v>385</v>
      </c>
      <c r="V102" s="31" t="s">
        <v>386</v>
      </c>
      <c r="W102" s="10">
        <v>45306</v>
      </c>
      <c r="X102" s="5" t="s">
        <v>41</v>
      </c>
      <c r="Y102" s="5"/>
      <c r="Z102" s="5"/>
      <c r="AA102" s="9">
        <v>340</v>
      </c>
      <c r="AB102" s="9">
        <v>272</v>
      </c>
      <c r="AC102" s="9"/>
      <c r="AD102" s="9">
        <v>301</v>
      </c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>
        <f>COUNT(AA102:AN102)</f>
        <v>3</v>
      </c>
      <c r="AP102" s="62">
        <f>AVERAGE(AA102:AN102)</f>
        <v>304.33333333333331</v>
      </c>
      <c r="AQ102" s="11" t="str">
        <f>IF(AP102&gt;=$AS$1,"APROVADO","REPROVADO")</f>
        <v>APROVADO</v>
      </c>
      <c r="AR102" s="11" t="s">
        <v>3843</v>
      </c>
      <c r="AS102" s="65"/>
      <c r="AT102" s="187" t="s">
        <v>3844</v>
      </c>
      <c r="AU102" s="5"/>
      <c r="AV102" s="5" t="s">
        <v>3329</v>
      </c>
      <c r="AW102" s="187" t="s">
        <v>3131</v>
      </c>
      <c r="AX102" s="5" t="s">
        <v>3845</v>
      </c>
      <c r="AY102" s="5"/>
      <c r="AZ102" s="187" t="s">
        <v>3084</v>
      </c>
      <c r="BA102" s="10">
        <v>45791</v>
      </c>
      <c r="BB102" s="10"/>
      <c r="BC102" s="10">
        <f>EDATE(BA102,12)</f>
        <v>46156</v>
      </c>
      <c r="BD102" s="10">
        <v>45796</v>
      </c>
      <c r="BE102" s="10">
        <v>45800</v>
      </c>
      <c r="BF102" s="5"/>
      <c r="BG102" s="5" t="s">
        <v>3119</v>
      </c>
      <c r="BH102" s="5" t="s">
        <v>3039</v>
      </c>
      <c r="BI102" s="196">
        <v>46097</v>
      </c>
      <c r="BJ102" s="190">
        <f t="shared" si="7"/>
        <v>3</v>
      </c>
      <c r="BK102" s="11" t="s">
        <v>3846</v>
      </c>
    </row>
    <row r="103" spans="2:63" s="114" customFormat="1" ht="51" x14ac:dyDescent="0.25">
      <c r="B103" s="5">
        <v>308</v>
      </c>
      <c r="C103" s="170" t="s">
        <v>1585</v>
      </c>
      <c r="D103" s="5" t="s">
        <v>33</v>
      </c>
      <c r="E103" s="187" t="s">
        <v>1586</v>
      </c>
      <c r="F103" s="187" t="s">
        <v>1587</v>
      </c>
      <c r="G103" s="7" t="s">
        <v>36</v>
      </c>
      <c r="H103" s="161">
        <v>257372.04</v>
      </c>
      <c r="I103" s="84">
        <f>H103</f>
        <v>257372.04</v>
      </c>
      <c r="J103" s="84">
        <v>0</v>
      </c>
      <c r="K103" s="118">
        <v>38</v>
      </c>
      <c r="L103" s="5" t="s">
        <v>3847</v>
      </c>
      <c r="M103" s="5" t="s">
        <v>3848</v>
      </c>
      <c r="N103" s="5" t="s">
        <v>3849</v>
      </c>
      <c r="O103" s="5" t="s">
        <v>3850</v>
      </c>
      <c r="P103" s="5" t="s">
        <v>3353</v>
      </c>
      <c r="Q103" s="5">
        <v>3550308</v>
      </c>
      <c r="R103" s="5" t="s">
        <v>3851</v>
      </c>
      <c r="S103" s="5" t="s">
        <v>74</v>
      </c>
      <c r="T103" s="11">
        <v>1</v>
      </c>
      <c r="U103" s="5" t="s">
        <v>1588</v>
      </c>
      <c r="V103" s="31" t="s">
        <v>3852</v>
      </c>
      <c r="W103" s="10">
        <v>45321</v>
      </c>
      <c r="X103" s="5" t="s">
        <v>67</v>
      </c>
      <c r="Y103" s="5"/>
      <c r="Z103" s="65"/>
      <c r="AA103" s="5">
        <v>340</v>
      </c>
      <c r="AB103" s="9">
        <v>232</v>
      </c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>
        <v>340</v>
      </c>
      <c r="AO103" s="9">
        <v>3</v>
      </c>
      <c r="AP103" s="62">
        <v>304</v>
      </c>
      <c r="AQ103" s="11" t="s">
        <v>2965</v>
      </c>
      <c r="AR103" s="11" t="s">
        <v>3843</v>
      </c>
      <c r="AS103" s="65"/>
      <c r="AT103" s="187" t="s">
        <v>3853</v>
      </c>
      <c r="AU103" s="5"/>
      <c r="AV103" s="5" t="s">
        <v>3329</v>
      </c>
      <c r="AW103" s="187" t="s">
        <v>3096</v>
      </c>
      <c r="AX103" s="5" t="s">
        <v>3854</v>
      </c>
      <c r="AY103" s="5"/>
      <c r="AZ103" s="187" t="s">
        <v>3097</v>
      </c>
      <c r="BA103" s="10">
        <v>45695</v>
      </c>
      <c r="BB103" s="10"/>
      <c r="BC103" s="165">
        <f>EDATE(BA103,12)</f>
        <v>46060</v>
      </c>
      <c r="BD103" s="10">
        <v>45701</v>
      </c>
      <c r="BE103" s="10">
        <v>45742</v>
      </c>
      <c r="BF103" s="5"/>
      <c r="BG103" s="5" t="s">
        <v>3754</v>
      </c>
      <c r="BH103" s="5" t="s">
        <v>3085</v>
      </c>
      <c r="BI103" s="196">
        <v>46062</v>
      </c>
      <c r="BJ103" s="190">
        <f t="shared" si="7"/>
        <v>38</v>
      </c>
      <c r="BK103" s="11" t="s">
        <v>3855</v>
      </c>
    </row>
    <row r="104" spans="2:63" s="114" customFormat="1" ht="51" x14ac:dyDescent="0.25">
      <c r="B104" s="5">
        <v>473</v>
      </c>
      <c r="C104" s="5" t="s">
        <v>2310</v>
      </c>
      <c r="D104" s="5" t="s">
        <v>33</v>
      </c>
      <c r="E104" s="187" t="s">
        <v>2311</v>
      </c>
      <c r="F104" s="187" t="s">
        <v>2312</v>
      </c>
      <c r="G104" s="7" t="s">
        <v>36</v>
      </c>
      <c r="H104" s="161">
        <v>46658.11</v>
      </c>
      <c r="I104" s="84">
        <v>15114.71</v>
      </c>
      <c r="J104" s="84">
        <v>31543.4</v>
      </c>
      <c r="K104" s="118">
        <v>31</v>
      </c>
      <c r="L104" s="5" t="s">
        <v>3856</v>
      </c>
      <c r="M104" s="5" t="s">
        <v>3857</v>
      </c>
      <c r="N104" s="5" t="s">
        <v>2977</v>
      </c>
      <c r="O104" s="5" t="s">
        <v>3372</v>
      </c>
      <c r="P104" s="5" t="s">
        <v>3373</v>
      </c>
      <c r="Q104" s="5">
        <v>3556800</v>
      </c>
      <c r="R104" s="5" t="s">
        <v>3858</v>
      </c>
      <c r="S104" s="5" t="s">
        <v>181</v>
      </c>
      <c r="T104" s="11">
        <v>1</v>
      </c>
      <c r="U104" s="5" t="s">
        <v>2313</v>
      </c>
      <c r="V104" s="31" t="s">
        <v>2314</v>
      </c>
      <c r="W104" s="10">
        <v>45322</v>
      </c>
      <c r="X104" s="5" t="s">
        <v>67</v>
      </c>
      <c r="Y104" s="5" t="s">
        <v>2111</v>
      </c>
      <c r="Z104" s="65"/>
      <c r="AA104" s="5">
        <v>340</v>
      </c>
      <c r="AB104" s="9">
        <v>232</v>
      </c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>
        <v>340</v>
      </c>
      <c r="AO104" s="9">
        <v>3</v>
      </c>
      <c r="AP104" s="62">
        <v>304</v>
      </c>
      <c r="AQ104" s="11" t="s">
        <v>2965</v>
      </c>
      <c r="AR104" s="11" t="s">
        <v>3843</v>
      </c>
      <c r="AS104" s="65"/>
      <c r="AT104" s="187" t="s">
        <v>3859</v>
      </c>
      <c r="AU104" s="5"/>
      <c r="AV104" s="5" t="s">
        <v>3329</v>
      </c>
      <c r="AW104" s="187" t="s">
        <v>2986</v>
      </c>
      <c r="AX104" s="5"/>
      <c r="AY104" s="5"/>
      <c r="AZ104" s="191" t="s">
        <v>2987</v>
      </c>
      <c r="BA104" s="147">
        <v>45800</v>
      </c>
      <c r="BB104" s="147"/>
      <c r="BC104" s="10">
        <f>EDATE(BA104,12)</f>
        <v>46165</v>
      </c>
      <c r="BD104" s="147">
        <v>45805</v>
      </c>
      <c r="BE104" s="147">
        <v>45807</v>
      </c>
      <c r="BF104" s="11"/>
      <c r="BG104" s="11" t="s">
        <v>3378</v>
      </c>
      <c r="BH104" s="5" t="s">
        <v>3039</v>
      </c>
      <c r="BI104" s="196">
        <v>45810</v>
      </c>
      <c r="BJ104" s="190">
        <f t="shared" si="7"/>
        <v>290</v>
      </c>
      <c r="BK104" s="11" t="s">
        <v>3860</v>
      </c>
    </row>
    <row r="105" spans="2:63" s="114" customFormat="1" ht="51" hidden="1" x14ac:dyDescent="0.25">
      <c r="B105" s="5">
        <v>266</v>
      </c>
      <c r="C105" s="5" t="s">
        <v>1374</v>
      </c>
      <c r="D105" s="5" t="s">
        <v>33</v>
      </c>
      <c r="E105" s="5" t="s">
        <v>1375</v>
      </c>
      <c r="F105" s="7" t="s">
        <v>1376</v>
      </c>
      <c r="G105" s="7" t="s">
        <v>36</v>
      </c>
      <c r="H105" s="84">
        <v>295091.13</v>
      </c>
      <c r="I105" s="84">
        <f>H105-J105</f>
        <v>294501.13</v>
      </c>
      <c r="J105" s="84">
        <v>590</v>
      </c>
      <c r="K105" s="118">
        <v>100</v>
      </c>
      <c r="L105" s="5" t="s">
        <v>3861</v>
      </c>
      <c r="M105" s="5" t="s">
        <v>3862</v>
      </c>
      <c r="N105" s="5" t="s">
        <v>2977</v>
      </c>
      <c r="O105" s="5" t="s">
        <v>3863</v>
      </c>
      <c r="P105" s="7" t="s">
        <v>3002</v>
      </c>
      <c r="Q105" s="5">
        <v>3530508</v>
      </c>
      <c r="R105" s="5" t="s">
        <v>3864</v>
      </c>
      <c r="S105" s="7" t="s">
        <v>453</v>
      </c>
      <c r="T105" s="11">
        <v>1</v>
      </c>
      <c r="U105" s="5" t="s">
        <v>1377</v>
      </c>
      <c r="V105" s="31" t="s">
        <v>1378</v>
      </c>
      <c r="W105" s="10">
        <v>45320</v>
      </c>
      <c r="X105" s="7" t="s">
        <v>67</v>
      </c>
      <c r="Y105" s="7"/>
      <c r="Z105" s="65"/>
      <c r="AA105" s="7">
        <v>229</v>
      </c>
      <c r="AB105" s="9"/>
      <c r="AC105" s="9"/>
      <c r="AD105" s="9"/>
      <c r="AE105" s="9"/>
      <c r="AF105" s="9"/>
      <c r="AG105" s="9"/>
      <c r="AH105" s="9">
        <v>340</v>
      </c>
      <c r="AI105" s="9">
        <v>340</v>
      </c>
      <c r="AJ105" s="9"/>
      <c r="AK105" s="9"/>
      <c r="AL105" s="9"/>
      <c r="AM105" s="9"/>
      <c r="AN105" s="9"/>
      <c r="AO105" s="9">
        <v>3</v>
      </c>
      <c r="AP105" s="62">
        <v>303</v>
      </c>
      <c r="AQ105" s="11" t="s">
        <v>3004</v>
      </c>
      <c r="AR105" s="11" t="s">
        <v>3843</v>
      </c>
      <c r="AS105" s="65"/>
      <c r="AT105" s="5" t="s">
        <v>3865</v>
      </c>
      <c r="AU105" s="5"/>
      <c r="AV105" s="5" t="s">
        <v>3329</v>
      </c>
      <c r="AW105" s="5" t="s">
        <v>3009</v>
      </c>
      <c r="AX105" s="5"/>
      <c r="AY105" s="5"/>
      <c r="AZ105" s="5" t="s">
        <v>3773</v>
      </c>
      <c r="BA105" s="5"/>
      <c r="BB105" s="5"/>
      <c r="BC105" s="5"/>
      <c r="BD105" s="5"/>
      <c r="BE105" s="5"/>
      <c r="BF105" s="5"/>
      <c r="BG105" s="5"/>
      <c r="BH105" s="5"/>
      <c r="BI105" s="34">
        <v>45567</v>
      </c>
      <c r="BJ105" s="113">
        <f t="shared" si="7"/>
        <v>533</v>
      </c>
      <c r="BK105" s="11" t="s">
        <v>3866</v>
      </c>
    </row>
    <row r="106" spans="2:63" s="114" customFormat="1" ht="38.25" x14ac:dyDescent="0.25">
      <c r="B106" s="5">
        <v>513</v>
      </c>
      <c r="C106" s="9" t="s">
        <v>2508</v>
      </c>
      <c r="D106" s="5" t="s">
        <v>51</v>
      </c>
      <c r="E106" s="188" t="s">
        <v>2509</v>
      </c>
      <c r="F106" s="188" t="s">
        <v>2510</v>
      </c>
      <c r="G106" s="11" t="s">
        <v>107</v>
      </c>
      <c r="H106" s="160">
        <v>34165</v>
      </c>
      <c r="I106" s="85">
        <f>H106</f>
        <v>34165</v>
      </c>
      <c r="J106" s="85">
        <v>0</v>
      </c>
      <c r="K106" s="119">
        <v>30</v>
      </c>
      <c r="L106" s="9" t="s">
        <v>3867</v>
      </c>
      <c r="M106" s="11" t="s">
        <v>3868</v>
      </c>
      <c r="N106" s="9" t="s">
        <v>2977</v>
      </c>
      <c r="O106" s="9" t="s">
        <v>3869</v>
      </c>
      <c r="P106" s="9" t="s">
        <v>3870</v>
      </c>
      <c r="Q106" s="5">
        <v>3520707</v>
      </c>
      <c r="R106" s="9" t="s">
        <v>3871</v>
      </c>
      <c r="S106" s="11" t="s">
        <v>47</v>
      </c>
      <c r="T106" s="11">
        <v>1</v>
      </c>
      <c r="U106" s="9" t="s">
        <v>2512</v>
      </c>
      <c r="V106" s="52" t="s">
        <v>3872</v>
      </c>
      <c r="W106" s="34">
        <v>45322</v>
      </c>
      <c r="X106" s="9" t="s">
        <v>57</v>
      </c>
      <c r="Y106" s="11" t="s">
        <v>2514</v>
      </c>
      <c r="Z106" s="9"/>
      <c r="AA106" s="9">
        <v>265</v>
      </c>
      <c r="AB106" s="9"/>
      <c r="AC106" s="9"/>
      <c r="AD106" s="9"/>
      <c r="AE106" s="9"/>
      <c r="AF106" s="9"/>
      <c r="AG106" s="9"/>
      <c r="AH106" s="9">
        <v>324</v>
      </c>
      <c r="AI106" s="9">
        <v>324</v>
      </c>
      <c r="AJ106" s="9"/>
      <c r="AK106" s="9"/>
      <c r="AL106" s="9"/>
      <c r="AM106" s="65"/>
      <c r="AN106" s="65"/>
      <c r="AO106" s="9">
        <v>3</v>
      </c>
      <c r="AP106" s="62">
        <v>304.33333333333331</v>
      </c>
      <c r="AQ106" s="11" t="s">
        <v>2965</v>
      </c>
      <c r="AR106" s="11" t="s">
        <v>3843</v>
      </c>
      <c r="AS106" s="11" t="s">
        <v>3873</v>
      </c>
      <c r="AT106" s="187" t="s">
        <v>3874</v>
      </c>
      <c r="AU106" s="58"/>
      <c r="AV106" s="5" t="s">
        <v>3875</v>
      </c>
      <c r="AW106" s="187" t="s">
        <v>2986</v>
      </c>
      <c r="AX106" s="5" t="s">
        <v>3036</v>
      </c>
      <c r="AY106" s="5"/>
      <c r="AZ106" s="191" t="s">
        <v>2987</v>
      </c>
      <c r="BA106" s="10">
        <v>45817</v>
      </c>
      <c r="BB106" s="10"/>
      <c r="BC106" s="10">
        <f>EDATE(BA106,12)</f>
        <v>46182</v>
      </c>
      <c r="BD106" s="10">
        <v>45819</v>
      </c>
      <c r="BE106" s="10">
        <v>45821</v>
      </c>
      <c r="BF106" s="5"/>
      <c r="BG106" s="5" t="s">
        <v>3154</v>
      </c>
      <c r="BH106" s="5" t="s">
        <v>3039</v>
      </c>
      <c r="BI106" s="196">
        <v>45826</v>
      </c>
      <c r="BJ106" s="190">
        <f t="shared" si="7"/>
        <v>274</v>
      </c>
      <c r="BK106" s="11" t="s">
        <v>3166</v>
      </c>
    </row>
    <row r="107" spans="2:63" s="114" customFormat="1" ht="51" x14ac:dyDescent="0.25">
      <c r="B107" s="5">
        <v>535</v>
      </c>
      <c r="C107" s="170" t="s">
        <v>2604</v>
      </c>
      <c r="D107" s="5" t="s">
        <v>51</v>
      </c>
      <c r="E107" s="187" t="s">
        <v>2914</v>
      </c>
      <c r="F107" s="187" t="s">
        <v>2605</v>
      </c>
      <c r="G107" s="7" t="s">
        <v>36</v>
      </c>
      <c r="H107" s="160">
        <v>125000</v>
      </c>
      <c r="I107" s="85">
        <v>125000</v>
      </c>
      <c r="J107" s="85">
        <v>0</v>
      </c>
      <c r="K107" s="119">
        <v>50</v>
      </c>
      <c r="L107" s="7" t="s">
        <v>3876</v>
      </c>
      <c r="M107" s="7" t="s">
        <v>3877</v>
      </c>
      <c r="N107" s="7" t="s">
        <v>2977</v>
      </c>
      <c r="O107" s="7" t="s">
        <v>3878</v>
      </c>
      <c r="P107" s="11" t="s">
        <v>3879</v>
      </c>
      <c r="Q107" s="5">
        <v>3515350</v>
      </c>
      <c r="R107" s="7" t="s">
        <v>3880</v>
      </c>
      <c r="S107" s="11" t="s">
        <v>64</v>
      </c>
      <c r="T107" s="11">
        <v>1</v>
      </c>
      <c r="U107" s="5" t="s">
        <v>2607</v>
      </c>
      <c r="V107" s="7" t="s">
        <v>3881</v>
      </c>
      <c r="W107" s="34">
        <v>45322</v>
      </c>
      <c r="X107" s="9" t="s">
        <v>57</v>
      </c>
      <c r="Y107" s="11" t="s">
        <v>2609</v>
      </c>
      <c r="Z107" s="9"/>
      <c r="AA107" s="9">
        <v>281</v>
      </c>
      <c r="AB107" s="9"/>
      <c r="AC107" s="9"/>
      <c r="AD107" s="9"/>
      <c r="AE107" s="9"/>
      <c r="AF107" s="9"/>
      <c r="AG107" s="9"/>
      <c r="AH107" s="9">
        <v>313</v>
      </c>
      <c r="AI107" s="9">
        <v>313</v>
      </c>
      <c r="AJ107" s="9"/>
      <c r="AK107" s="9"/>
      <c r="AL107" s="9"/>
      <c r="AM107" s="65"/>
      <c r="AN107" s="65"/>
      <c r="AO107" s="9">
        <v>3</v>
      </c>
      <c r="AP107" s="62">
        <v>302.33333333333331</v>
      </c>
      <c r="AQ107" s="11" t="s">
        <v>2965</v>
      </c>
      <c r="AR107" s="11" t="s">
        <v>3843</v>
      </c>
      <c r="AS107" s="65"/>
      <c r="AT107" s="187" t="s">
        <v>3882</v>
      </c>
      <c r="AU107" s="5"/>
      <c r="AV107" s="5" t="s">
        <v>3875</v>
      </c>
      <c r="AW107" s="187" t="s">
        <v>3883</v>
      </c>
      <c r="AX107" s="5"/>
      <c r="AY107" s="5"/>
      <c r="AZ107" s="187" t="s">
        <v>3097</v>
      </c>
      <c r="BA107" s="10">
        <v>45643</v>
      </c>
      <c r="BB107" s="10"/>
      <c r="BC107" s="165">
        <f>EDATE(BA107,12)</f>
        <v>46008</v>
      </c>
      <c r="BD107" s="10">
        <v>45646</v>
      </c>
      <c r="BE107" s="10">
        <v>45681</v>
      </c>
      <c r="BF107" s="5"/>
      <c r="BG107" s="5" t="s">
        <v>2996</v>
      </c>
      <c r="BH107" s="5" t="s">
        <v>2997</v>
      </c>
      <c r="BI107" s="196">
        <v>46090</v>
      </c>
      <c r="BJ107" s="190">
        <f t="shared" si="7"/>
        <v>10</v>
      </c>
      <c r="BK107" s="11" t="s">
        <v>3884</v>
      </c>
    </row>
    <row r="108" spans="2:63" s="114" customFormat="1" ht="45" hidden="1" x14ac:dyDescent="0.25">
      <c r="B108" s="5">
        <v>572</v>
      </c>
      <c r="C108" s="5" t="s">
        <v>2735</v>
      </c>
      <c r="D108" s="5" t="s">
        <v>33</v>
      </c>
      <c r="E108" s="103" t="s">
        <v>2736</v>
      </c>
      <c r="F108" s="7" t="s">
        <v>2737</v>
      </c>
      <c r="G108" s="7" t="s">
        <v>107</v>
      </c>
      <c r="H108" s="102">
        <v>987125</v>
      </c>
      <c r="I108" s="102">
        <f>H108</f>
        <v>987125</v>
      </c>
      <c r="J108" s="102"/>
      <c r="K108" s="120">
        <v>30</v>
      </c>
      <c r="L108" s="5" t="s">
        <v>3885</v>
      </c>
      <c r="M108" s="5" t="s">
        <v>3886</v>
      </c>
      <c r="N108" s="5" t="s">
        <v>3887</v>
      </c>
      <c r="O108" s="5" t="s">
        <v>3888</v>
      </c>
      <c r="P108" s="7" t="s">
        <v>3353</v>
      </c>
      <c r="Q108" s="5">
        <v>3550308</v>
      </c>
      <c r="R108" s="5" t="s">
        <v>3889</v>
      </c>
      <c r="S108" s="5" t="s">
        <v>74</v>
      </c>
      <c r="T108" s="11">
        <v>1</v>
      </c>
      <c r="U108" s="7" t="s">
        <v>2738</v>
      </c>
      <c r="V108" s="52" t="s">
        <v>3890</v>
      </c>
      <c r="W108" s="10">
        <v>45322</v>
      </c>
      <c r="X108" s="7" t="s">
        <v>67</v>
      </c>
      <c r="Y108" s="7" t="s">
        <v>68</v>
      </c>
      <c r="Z108" s="7"/>
      <c r="AA108" s="7">
        <v>231</v>
      </c>
      <c r="AB108" s="9"/>
      <c r="AC108" s="9"/>
      <c r="AD108" s="9"/>
      <c r="AE108" s="9"/>
      <c r="AF108" s="9"/>
      <c r="AG108" s="9">
        <v>335</v>
      </c>
      <c r="AH108" s="9"/>
      <c r="AI108" s="9">
        <v>340</v>
      </c>
      <c r="AJ108" s="9"/>
      <c r="AK108" s="9"/>
      <c r="AL108" s="9"/>
      <c r="AM108" s="9"/>
      <c r="AN108" s="20"/>
      <c r="AO108" s="20"/>
      <c r="AP108" s="62">
        <v>302</v>
      </c>
      <c r="AQ108" s="11" t="s">
        <v>3004</v>
      </c>
      <c r="AR108" s="11" t="s">
        <v>3891</v>
      </c>
      <c r="AS108" s="65"/>
      <c r="AT108" s="9"/>
      <c r="AU108" s="9"/>
      <c r="AV108" s="65"/>
      <c r="AW108" s="9"/>
      <c r="AX108" s="9"/>
      <c r="AY108" s="9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2"/>
      <c r="BJ108" s="110"/>
      <c r="BK108" s="11" t="s">
        <v>3892</v>
      </c>
    </row>
    <row r="109" spans="2:63" s="114" customFormat="1" ht="51" x14ac:dyDescent="0.25">
      <c r="B109" s="5">
        <v>287</v>
      </c>
      <c r="C109" s="5" t="s">
        <v>1472</v>
      </c>
      <c r="D109" s="5" t="s">
        <v>33</v>
      </c>
      <c r="E109" s="187" t="s">
        <v>1473</v>
      </c>
      <c r="F109" s="187" t="s">
        <v>1474</v>
      </c>
      <c r="G109" s="7" t="s">
        <v>36</v>
      </c>
      <c r="H109" s="161">
        <v>302200</v>
      </c>
      <c r="I109" s="102">
        <f>H109</f>
        <v>302200</v>
      </c>
      <c r="J109" s="102"/>
      <c r="K109" s="120">
        <v>66</v>
      </c>
      <c r="L109" s="5" t="s">
        <v>3893</v>
      </c>
      <c r="M109" s="5" t="s">
        <v>3894</v>
      </c>
      <c r="N109" s="5" t="s">
        <v>3895</v>
      </c>
      <c r="O109" s="5" t="s">
        <v>3896</v>
      </c>
      <c r="P109" s="7" t="s">
        <v>3897</v>
      </c>
      <c r="Q109" s="5">
        <v>3541505</v>
      </c>
      <c r="R109" s="5" t="s">
        <v>3898</v>
      </c>
      <c r="S109" s="7" t="s">
        <v>64</v>
      </c>
      <c r="T109" s="11">
        <v>1</v>
      </c>
      <c r="U109" s="7" t="s">
        <v>1476</v>
      </c>
      <c r="V109" s="31" t="s">
        <v>1477</v>
      </c>
      <c r="W109" s="10">
        <v>45321</v>
      </c>
      <c r="X109" s="7" t="s">
        <v>67</v>
      </c>
      <c r="Y109" s="7"/>
      <c r="Z109" s="65"/>
      <c r="AA109" s="7">
        <v>340</v>
      </c>
      <c r="AB109" s="9">
        <v>223</v>
      </c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20"/>
      <c r="AO109" s="20"/>
      <c r="AP109" s="62">
        <v>301</v>
      </c>
      <c r="AQ109" s="11" t="s">
        <v>2965</v>
      </c>
      <c r="AR109" s="11" t="s">
        <v>3891</v>
      </c>
      <c r="AS109" s="65"/>
      <c r="AT109" s="188" t="s">
        <v>3899</v>
      </c>
      <c r="AU109" s="9"/>
      <c r="AV109" s="65"/>
      <c r="AW109" s="187" t="s">
        <v>3631</v>
      </c>
      <c r="AX109" s="9"/>
      <c r="AY109" s="9"/>
      <c r="AZ109" s="191" t="s">
        <v>3632</v>
      </c>
      <c r="BA109" s="147">
        <v>46028</v>
      </c>
      <c r="BB109" s="147"/>
      <c r="BC109" s="10">
        <f>EDATE(BA109,12)</f>
        <v>46393</v>
      </c>
      <c r="BD109" s="147">
        <v>46030</v>
      </c>
      <c r="BE109" s="11"/>
      <c r="BF109" s="11"/>
      <c r="BG109" s="11" t="s">
        <v>3743</v>
      </c>
      <c r="BH109" s="11"/>
      <c r="BI109" s="196">
        <v>46037</v>
      </c>
      <c r="BJ109" s="190">
        <f>_xlfn.DAYS($BJ$2,BI109)</f>
        <v>63</v>
      </c>
      <c r="BK109" s="11" t="s">
        <v>3633</v>
      </c>
    </row>
    <row r="110" spans="2:63" s="114" customFormat="1" ht="51" hidden="1" x14ac:dyDescent="0.25">
      <c r="B110" s="5">
        <v>381</v>
      </c>
      <c r="C110" s="5" t="s">
        <v>1915</v>
      </c>
      <c r="D110" s="5" t="s">
        <v>33</v>
      </c>
      <c r="E110" s="5" t="s">
        <v>1916</v>
      </c>
      <c r="F110" s="5" t="s">
        <v>1917</v>
      </c>
      <c r="G110" s="7" t="s">
        <v>36</v>
      </c>
      <c r="H110" s="102">
        <v>64900</v>
      </c>
      <c r="I110" s="102"/>
      <c r="J110" s="102">
        <f>H110</f>
        <v>64900</v>
      </c>
      <c r="K110" s="120">
        <v>26</v>
      </c>
      <c r="L110" s="5" t="s">
        <v>3900</v>
      </c>
      <c r="M110" s="5" t="s">
        <v>3901</v>
      </c>
      <c r="N110" s="5" t="s">
        <v>3902</v>
      </c>
      <c r="O110" s="5"/>
      <c r="P110" s="7" t="s">
        <v>3077</v>
      </c>
      <c r="Q110" s="5">
        <v>3552700</v>
      </c>
      <c r="R110" s="5" t="s">
        <v>3903</v>
      </c>
      <c r="S110" s="7" t="s">
        <v>348</v>
      </c>
      <c r="T110" s="11">
        <v>1</v>
      </c>
      <c r="U110" s="7" t="s">
        <v>1918</v>
      </c>
      <c r="V110" s="31" t="s">
        <v>1919</v>
      </c>
      <c r="W110" s="10">
        <v>45322</v>
      </c>
      <c r="X110" s="5" t="s">
        <v>67</v>
      </c>
      <c r="Y110" s="7"/>
      <c r="Z110" s="65"/>
      <c r="AA110" s="5">
        <v>340</v>
      </c>
      <c r="AB110" s="9">
        <v>222</v>
      </c>
      <c r="AC110" s="9"/>
      <c r="AD110" s="9"/>
      <c r="AE110" s="9"/>
      <c r="AF110" s="9"/>
      <c r="AG110" s="9">
        <v>340</v>
      </c>
      <c r="AH110" s="9"/>
      <c r="AI110" s="9"/>
      <c r="AJ110" s="9"/>
      <c r="AK110" s="9"/>
      <c r="AL110" s="9"/>
      <c r="AM110" s="9"/>
      <c r="AN110" s="20"/>
      <c r="AO110" s="20"/>
      <c r="AP110" s="62">
        <v>300.66666666666669</v>
      </c>
      <c r="AQ110" s="11" t="s">
        <v>3004</v>
      </c>
      <c r="AR110" s="11" t="s">
        <v>3891</v>
      </c>
      <c r="AS110" s="65"/>
      <c r="AT110" s="9" t="s">
        <v>3904</v>
      </c>
      <c r="AU110" s="9"/>
      <c r="AV110" s="65"/>
      <c r="AW110" s="9" t="s">
        <v>3061</v>
      </c>
      <c r="AX110" s="9"/>
      <c r="AY110" s="9"/>
      <c r="AZ110" s="11" t="s">
        <v>2973</v>
      </c>
      <c r="BA110" s="11"/>
      <c r="BB110" s="11"/>
      <c r="BC110" s="11"/>
      <c r="BD110" s="11"/>
      <c r="BE110" s="11"/>
      <c r="BF110" s="11"/>
      <c r="BG110" s="11"/>
      <c r="BH110" s="11"/>
      <c r="BI110" s="34">
        <v>45755</v>
      </c>
      <c r="BJ110" s="113">
        <f>_xlfn.DAYS($BJ$2,BI110)</f>
        <v>345</v>
      </c>
      <c r="BK110" s="11" t="s">
        <v>3905</v>
      </c>
    </row>
    <row r="111" spans="2:63" s="114" customFormat="1" ht="51" x14ac:dyDescent="0.25">
      <c r="B111" s="5">
        <v>81</v>
      </c>
      <c r="C111" s="60" t="s">
        <v>472</v>
      </c>
      <c r="D111" s="5" t="s">
        <v>33</v>
      </c>
      <c r="E111" s="187" t="s">
        <v>473</v>
      </c>
      <c r="F111" s="187" t="s">
        <v>474</v>
      </c>
      <c r="G111" s="7" t="s">
        <v>36</v>
      </c>
      <c r="H111" s="161">
        <v>10000</v>
      </c>
      <c r="I111" s="102">
        <v>0</v>
      </c>
      <c r="J111" s="102">
        <f>H111</f>
        <v>10000</v>
      </c>
      <c r="K111" s="120">
        <v>48</v>
      </c>
      <c r="L111" s="5" t="s">
        <v>3906</v>
      </c>
      <c r="M111" s="5" t="s">
        <v>3907</v>
      </c>
      <c r="N111" s="5" t="s">
        <v>3908</v>
      </c>
      <c r="O111" s="5" t="s">
        <v>3888</v>
      </c>
      <c r="P111" s="7" t="s">
        <v>3909</v>
      </c>
      <c r="Q111" s="5">
        <v>3507902</v>
      </c>
      <c r="R111" s="5" t="s">
        <v>3910</v>
      </c>
      <c r="S111" s="7" t="s">
        <v>241</v>
      </c>
      <c r="T111" s="11">
        <v>1</v>
      </c>
      <c r="U111" s="7" t="s">
        <v>476</v>
      </c>
      <c r="V111" s="31" t="s">
        <v>3911</v>
      </c>
      <c r="W111" s="10">
        <v>45307</v>
      </c>
      <c r="X111" s="7" t="s">
        <v>41</v>
      </c>
      <c r="Y111" s="7"/>
      <c r="Z111" s="7" t="s">
        <v>478</v>
      </c>
      <c r="AA111" s="9">
        <v>340</v>
      </c>
      <c r="AB111" s="9"/>
      <c r="AC111" s="9">
        <v>274</v>
      </c>
      <c r="AD111" s="9">
        <v>287</v>
      </c>
      <c r="AE111" s="9"/>
      <c r="AF111" s="9"/>
      <c r="AG111" s="9"/>
      <c r="AH111" s="9"/>
      <c r="AI111" s="9"/>
      <c r="AJ111" s="9"/>
      <c r="AK111" s="9"/>
      <c r="AL111" s="9"/>
      <c r="AM111" s="9"/>
      <c r="AN111" s="20"/>
      <c r="AO111" s="20"/>
      <c r="AP111" s="62">
        <v>300.33333333333331</v>
      </c>
      <c r="AQ111" s="11" t="s">
        <v>2965</v>
      </c>
      <c r="AR111" s="11" t="s">
        <v>3891</v>
      </c>
      <c r="AS111" s="65"/>
      <c r="AT111" s="191" t="s">
        <v>3912</v>
      </c>
      <c r="AU111" s="9"/>
      <c r="AV111" s="65"/>
      <c r="AW111" s="191" t="s">
        <v>3083</v>
      </c>
      <c r="AX111" s="9"/>
      <c r="AY111" s="9"/>
      <c r="AZ111" s="191" t="s">
        <v>3084</v>
      </c>
      <c r="BA111" s="147">
        <v>45770</v>
      </c>
      <c r="BB111" s="147"/>
      <c r="BC111" s="10">
        <f>EDATE(BA111,12)</f>
        <v>46135</v>
      </c>
      <c r="BD111" s="147">
        <v>45776</v>
      </c>
      <c r="BE111" s="147">
        <v>45800</v>
      </c>
      <c r="BF111" s="11"/>
      <c r="BG111" s="11" t="s">
        <v>3913</v>
      </c>
      <c r="BH111" s="5" t="s">
        <v>3085</v>
      </c>
      <c r="BI111" s="196">
        <v>46083</v>
      </c>
      <c r="BJ111" s="190">
        <f>_xlfn.DAYS($BJ$2,BI111)</f>
        <v>17</v>
      </c>
      <c r="BK111" s="9" t="s">
        <v>3914</v>
      </c>
    </row>
    <row r="112" spans="2:63" s="114" customFormat="1" ht="51" x14ac:dyDescent="0.25">
      <c r="B112" s="5">
        <v>289</v>
      </c>
      <c r="C112" s="5" t="s">
        <v>1481</v>
      </c>
      <c r="D112" s="5" t="s">
        <v>33</v>
      </c>
      <c r="E112" s="187" t="s">
        <v>1482</v>
      </c>
      <c r="F112" s="187" t="s">
        <v>1483</v>
      </c>
      <c r="G112" s="7" t="s">
        <v>36</v>
      </c>
      <c r="H112" s="161">
        <v>160000</v>
      </c>
      <c r="I112" s="102">
        <v>160000</v>
      </c>
      <c r="J112" s="102">
        <v>0</v>
      </c>
      <c r="K112" s="120">
        <v>35</v>
      </c>
      <c r="L112" s="5" t="s">
        <v>3915</v>
      </c>
      <c r="M112" s="5" t="s">
        <v>3916</v>
      </c>
      <c r="N112" s="5" t="s">
        <v>2977</v>
      </c>
      <c r="O112" s="5" t="s">
        <v>3917</v>
      </c>
      <c r="P112" s="7" t="s">
        <v>3918</v>
      </c>
      <c r="Q112" s="5">
        <v>3512001</v>
      </c>
      <c r="R112" s="5" t="s">
        <v>3919</v>
      </c>
      <c r="S112" s="7" t="s">
        <v>181</v>
      </c>
      <c r="T112" s="11">
        <v>1</v>
      </c>
      <c r="U112" s="7" t="s">
        <v>1485</v>
      </c>
      <c r="V112" s="31" t="s">
        <v>1486</v>
      </c>
      <c r="W112" s="10">
        <v>45321</v>
      </c>
      <c r="X112" s="7" t="s">
        <v>67</v>
      </c>
      <c r="Y112" s="7"/>
      <c r="Z112" s="65"/>
      <c r="AA112" s="7">
        <v>321</v>
      </c>
      <c r="AB112" s="9"/>
      <c r="AC112" s="9"/>
      <c r="AD112" s="9"/>
      <c r="AE112" s="9"/>
      <c r="AF112" s="9"/>
      <c r="AG112" s="9"/>
      <c r="AH112" s="9">
        <v>240</v>
      </c>
      <c r="AI112" s="9">
        <v>340</v>
      </c>
      <c r="AJ112" s="9"/>
      <c r="AK112" s="9"/>
      <c r="AL112" s="9"/>
      <c r="AM112" s="9"/>
      <c r="AN112" s="20"/>
      <c r="AO112" s="20"/>
      <c r="AP112" s="62">
        <v>300.33333333333331</v>
      </c>
      <c r="AQ112" s="11" t="s">
        <v>2965</v>
      </c>
      <c r="AR112" s="11" t="s">
        <v>3891</v>
      </c>
      <c r="AS112" s="65"/>
      <c r="AT112" s="188" t="s">
        <v>3920</v>
      </c>
      <c r="AU112" s="9"/>
      <c r="AV112" s="65"/>
      <c r="AW112" s="191" t="s">
        <v>3083</v>
      </c>
      <c r="AX112" s="9"/>
      <c r="AY112" s="9"/>
      <c r="AZ112" s="191" t="s">
        <v>3084</v>
      </c>
      <c r="BA112" s="147">
        <v>45789</v>
      </c>
      <c r="BB112" s="147"/>
      <c r="BC112" s="10">
        <f>EDATE(BA112,12)</f>
        <v>46154</v>
      </c>
      <c r="BD112" s="147">
        <v>45797</v>
      </c>
      <c r="BE112" s="147">
        <v>45800</v>
      </c>
      <c r="BF112" s="11"/>
      <c r="BG112" s="11" t="s">
        <v>3119</v>
      </c>
      <c r="BH112" s="5" t="s">
        <v>3039</v>
      </c>
      <c r="BI112" s="198" t="s">
        <v>3120</v>
      </c>
      <c r="BJ112" s="195">
        <v>0</v>
      </c>
      <c r="BK112" s="11" t="s">
        <v>3921</v>
      </c>
    </row>
    <row r="113" spans="2:63" s="114" customFormat="1" ht="15" hidden="1" customHeight="1" x14ac:dyDescent="0.25">
      <c r="B113" s="76"/>
      <c r="C113" s="76"/>
      <c r="D113" s="76"/>
      <c r="E113" s="76"/>
      <c r="F113" s="126"/>
      <c r="G113" s="126"/>
      <c r="H113" s="127"/>
      <c r="I113" s="127"/>
      <c r="J113" s="127"/>
      <c r="K113" s="128"/>
      <c r="L113" s="76"/>
      <c r="M113" s="76"/>
      <c r="N113" s="76"/>
      <c r="O113" s="76"/>
      <c r="P113" s="126"/>
      <c r="Q113" s="76"/>
      <c r="R113" s="76"/>
      <c r="S113" s="126"/>
      <c r="T113" s="111"/>
      <c r="U113" s="126"/>
      <c r="V113" s="129"/>
      <c r="W113" s="130"/>
      <c r="X113" s="126"/>
      <c r="Y113" s="126"/>
      <c r="Z113" s="64"/>
      <c r="AA113" s="126"/>
      <c r="AN113"/>
      <c r="AO113"/>
      <c r="AP113" s="131"/>
      <c r="AQ113" s="111"/>
      <c r="AR113" s="111"/>
      <c r="AS113" s="64"/>
      <c r="AV113" s="64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32"/>
      <c r="BJ113" s="133"/>
      <c r="BK113" s="9" t="s">
        <v>3073</v>
      </c>
    </row>
    <row r="114" spans="2:63" ht="23.25" customHeight="1" x14ac:dyDescent="0.25">
      <c r="H114" s="95">
        <f>SUBTOTAL(9,H6:H113)</f>
        <v>24560304.059999999</v>
      </c>
      <c r="I114" s="95">
        <f>SUBTOTAL(9,I6:I113)</f>
        <v>21495808.040000003</v>
      </c>
      <c r="J114" s="95">
        <f t="shared" ref="J114" si="8">SUBTOTAL(9,J6:J113)</f>
        <v>3064496.02</v>
      </c>
      <c r="K114">
        <f>SUBTOTAL(9,K6:K112)</f>
        <v>9858</v>
      </c>
    </row>
    <row r="116" spans="2:63" x14ac:dyDescent="0.25">
      <c r="H116" s="96"/>
      <c r="I116" s="96">
        <f>I114/2</f>
        <v>10747904.020000001</v>
      </c>
      <c r="J116" s="96"/>
      <c r="K116" s="96"/>
      <c r="L116" s="96"/>
      <c r="M116" s="96"/>
      <c r="N116" s="96"/>
      <c r="O116" s="96"/>
    </row>
    <row r="117" spans="2:63" x14ac:dyDescent="0.25">
      <c r="H117" s="96"/>
      <c r="I117" s="96"/>
      <c r="J117" s="96"/>
      <c r="K117" s="96"/>
      <c r="L117" s="96"/>
      <c r="M117" s="96"/>
      <c r="N117" s="96"/>
      <c r="O117" s="96"/>
    </row>
    <row r="118" spans="2:63" x14ac:dyDescent="0.25">
      <c r="F118" s="125"/>
      <c r="H118" s="96"/>
      <c r="I118" s="96"/>
      <c r="J118" s="96"/>
      <c r="K118" s="96"/>
      <c r="L118" s="96"/>
      <c r="M118" s="96"/>
      <c r="N118" s="96"/>
      <c r="O118" s="96"/>
      <c r="AQ118"/>
    </row>
    <row r="119" spans="2:63" x14ac:dyDescent="0.25">
      <c r="F119" s="96"/>
      <c r="H119" s="96"/>
      <c r="I119" s="96">
        <v>971159.12</v>
      </c>
      <c r="J119" s="96"/>
      <c r="K119" s="96"/>
      <c r="L119" s="96"/>
      <c r="M119" s="96"/>
      <c r="N119" s="96"/>
      <c r="O119" s="96"/>
    </row>
    <row r="120" spans="2:63" x14ac:dyDescent="0.25">
      <c r="H120" s="166"/>
      <c r="I120" s="96"/>
      <c r="J120" s="96"/>
    </row>
    <row r="121" spans="2:63" x14ac:dyDescent="0.25">
      <c r="F121" s="96"/>
      <c r="H121" s="96"/>
      <c r="I121" s="96"/>
      <c r="J121" s="96"/>
    </row>
    <row r="122" spans="2:63" x14ac:dyDescent="0.25">
      <c r="H122" s="166"/>
      <c r="AW122" s="96"/>
    </row>
    <row r="123" spans="2:63" x14ac:dyDescent="0.25">
      <c r="H123" s="96"/>
    </row>
    <row r="124" spans="2:63" x14ac:dyDescent="0.25">
      <c r="H124" s="96"/>
    </row>
    <row r="126" spans="2:63" x14ac:dyDescent="0.25">
      <c r="I126" s="96"/>
      <c r="P126" s="96"/>
      <c r="AQ126"/>
    </row>
    <row r="128" spans="2:63" x14ac:dyDescent="0.25">
      <c r="G128" s="96"/>
    </row>
    <row r="132" spans="43:43" x14ac:dyDescent="0.25">
      <c r="AQ132"/>
    </row>
    <row r="137" spans="43:43" x14ac:dyDescent="0.25">
      <c r="AQ137"/>
    </row>
    <row r="148" spans="43:43" x14ac:dyDescent="0.25">
      <c r="AQ148"/>
    </row>
    <row r="152" spans="43:43" x14ac:dyDescent="0.25">
      <c r="AQ152"/>
    </row>
    <row r="157" spans="43:43" x14ac:dyDescent="0.25">
      <c r="AQ157"/>
    </row>
    <row r="160" spans="43:43" x14ac:dyDescent="0.25">
      <c r="AQ160"/>
    </row>
    <row r="164" spans="43:43" x14ac:dyDescent="0.25">
      <c r="AQ164"/>
    </row>
    <row r="168" spans="43:43" x14ac:dyDescent="0.25">
      <c r="AQ168"/>
    </row>
    <row r="169" spans="43:43" x14ac:dyDescent="0.25">
      <c r="AQ169"/>
    </row>
    <row r="177" spans="43:43" x14ac:dyDescent="0.25">
      <c r="AQ177"/>
    </row>
    <row r="178" spans="43:43" x14ac:dyDescent="0.25">
      <c r="AQ178"/>
    </row>
    <row r="179" spans="43:43" x14ac:dyDescent="0.25">
      <c r="AQ179"/>
    </row>
    <row r="183" spans="43:43" x14ac:dyDescent="0.25">
      <c r="AQ183"/>
    </row>
    <row r="194" spans="43:43" x14ac:dyDescent="0.25">
      <c r="AQ194"/>
    </row>
    <row r="203" spans="43:43" x14ac:dyDescent="0.25">
      <c r="AQ203"/>
    </row>
    <row r="211" spans="43:43" x14ac:dyDescent="0.25">
      <c r="AQ211"/>
    </row>
    <row r="217" spans="43:43" x14ac:dyDescent="0.25">
      <c r="AQ217"/>
    </row>
    <row r="218" spans="43:43" x14ac:dyDescent="0.25">
      <c r="AQ218"/>
    </row>
    <row r="229" spans="40:43" x14ac:dyDescent="0.25">
      <c r="AQ229"/>
    </row>
    <row r="235" spans="40:43" x14ac:dyDescent="0.25">
      <c r="AQ235"/>
    </row>
    <row r="236" spans="40:43" x14ac:dyDescent="0.25">
      <c r="AN236" t="s">
        <v>2904</v>
      </c>
      <c r="AQ236"/>
    </row>
  </sheetData>
  <autoFilter ref="A5:XFD113" xr:uid="{5CB7BE02-05DF-4986-BDC6-8448B937303D}">
    <filterColumn colId="23">
      <filters>
        <filter val="Classificado"/>
        <filter val="Pré-Classificado"/>
      </filters>
    </filterColumn>
    <filterColumn colId="42">
      <filters>
        <filter val="APROVADO"/>
      </filters>
    </filterColumn>
  </autoFilter>
  <mergeCells count="2">
    <mergeCell ref="B2:AP2"/>
    <mergeCell ref="B3:BJ3"/>
  </mergeCells>
  <conditionalFormatting sqref="E6:E101">
    <cfRule type="duplicateValues" dxfId="74" priority="73"/>
  </conditionalFormatting>
  <conditionalFormatting sqref="L6:O6 L7 L8:M12 M19:O19 L18:O18 O12 O8:O9 L14:M14 L15 O14:O15 M16:O16 L17 O17 L20:N20 L21:M23 O21:O23 M24:O24 O25:O26 L25:M28 O28 L29:L33 O31:O33 M34:O34 L35:M37 O35:O36 M38 L39:M40 O38:O40 L41:O42 L44:M45 L43 N43:O43 L54:O54 L46 O44:O46 L47:N47 M48 O50 L49:M52 M53:O53 L61:O62 L55:N56 N57 L58:M60 O58:O60 L64:O65 M63 O63 L68:O74 L66:M67 O66:O67 L79:O80 L75:M78 O75:O78 M81:O82 O83 O85 L83:M87 L88:O88 L89:M90 O89:O90 L91:O91 L92:M93 O92:O93 L94:O94 L95:M96 O95:O96 L97:O99 L100:M101 O100:O101">
    <cfRule type="duplicateValues" dxfId="73" priority="69"/>
  </conditionalFormatting>
  <conditionalFormatting sqref="M7">
    <cfRule type="duplicateValues" dxfId="72" priority="68"/>
  </conditionalFormatting>
  <conditionalFormatting sqref="O7">
    <cfRule type="duplicateValues" dxfId="71" priority="67"/>
  </conditionalFormatting>
  <conditionalFormatting sqref="N10">
    <cfRule type="duplicateValues" dxfId="70" priority="66"/>
  </conditionalFormatting>
  <conditionalFormatting sqref="O10">
    <cfRule type="duplicateValues" dxfId="69" priority="65"/>
  </conditionalFormatting>
  <conditionalFormatting sqref="O11">
    <cfRule type="duplicateValues" dxfId="68" priority="64"/>
  </conditionalFormatting>
  <conditionalFormatting sqref="L13">
    <cfRule type="duplicateValues" dxfId="67" priority="63"/>
  </conditionalFormatting>
  <conditionalFormatting sqref="M13">
    <cfRule type="duplicateValues" dxfId="66" priority="62"/>
  </conditionalFormatting>
  <conditionalFormatting sqref="O13">
    <cfRule type="duplicateValues" dxfId="65" priority="61"/>
  </conditionalFormatting>
  <conditionalFormatting sqref="M15">
    <cfRule type="duplicateValues" dxfId="64" priority="60"/>
  </conditionalFormatting>
  <conditionalFormatting sqref="L16">
    <cfRule type="duplicateValues" dxfId="63" priority="59"/>
  </conditionalFormatting>
  <conditionalFormatting sqref="M17">
    <cfRule type="duplicateValues" dxfId="62" priority="58"/>
  </conditionalFormatting>
  <conditionalFormatting sqref="N17">
    <cfRule type="duplicateValues" dxfId="61" priority="57"/>
  </conditionalFormatting>
  <conditionalFormatting sqref="O20">
    <cfRule type="duplicateValues" dxfId="60" priority="56"/>
  </conditionalFormatting>
  <conditionalFormatting sqref="L24">
    <cfRule type="duplicateValues" dxfId="59" priority="55"/>
  </conditionalFormatting>
  <conditionalFormatting sqref="O27">
    <cfRule type="duplicateValues" dxfId="58" priority="54"/>
  </conditionalFormatting>
  <conditionalFormatting sqref="M29">
    <cfRule type="duplicateValues" dxfId="57" priority="53"/>
  </conditionalFormatting>
  <conditionalFormatting sqref="O29">
    <cfRule type="duplicateValues" dxfId="56" priority="52"/>
  </conditionalFormatting>
  <conditionalFormatting sqref="M30">
    <cfRule type="duplicateValues" dxfId="55" priority="51"/>
  </conditionalFormatting>
  <conditionalFormatting sqref="O30">
    <cfRule type="duplicateValues" dxfId="54" priority="50"/>
  </conditionalFormatting>
  <conditionalFormatting sqref="M31">
    <cfRule type="duplicateValues" dxfId="53" priority="49"/>
  </conditionalFormatting>
  <conditionalFormatting sqref="M32">
    <cfRule type="duplicateValues" dxfId="52" priority="48"/>
  </conditionalFormatting>
  <conditionalFormatting sqref="M33">
    <cfRule type="duplicateValues" dxfId="51" priority="47"/>
  </conditionalFormatting>
  <conditionalFormatting sqref="L38">
    <cfRule type="duplicateValues" dxfId="50" priority="46"/>
  </conditionalFormatting>
  <conditionalFormatting sqref="M43">
    <cfRule type="duplicateValues" dxfId="49" priority="45"/>
  </conditionalFormatting>
  <conditionalFormatting sqref="M46">
    <cfRule type="duplicateValues" dxfId="48" priority="44"/>
  </conditionalFormatting>
  <conditionalFormatting sqref="O47">
    <cfRule type="duplicateValues" dxfId="47" priority="43"/>
  </conditionalFormatting>
  <conditionalFormatting sqref="L48">
    <cfRule type="duplicateValues" dxfId="46" priority="42"/>
  </conditionalFormatting>
  <conditionalFormatting sqref="O48">
    <cfRule type="duplicateValues" dxfId="45" priority="41"/>
  </conditionalFormatting>
  <conditionalFormatting sqref="O49">
    <cfRule type="duplicateValues" dxfId="44" priority="40"/>
  </conditionalFormatting>
  <conditionalFormatting sqref="O51">
    <cfRule type="duplicateValues" dxfId="43" priority="39"/>
  </conditionalFormatting>
  <conditionalFormatting sqref="O52">
    <cfRule type="duplicateValues" dxfId="42" priority="38"/>
  </conditionalFormatting>
  <conditionalFormatting sqref="L53">
    <cfRule type="duplicateValues" dxfId="41" priority="37"/>
  </conditionalFormatting>
  <conditionalFormatting sqref="O55">
    <cfRule type="duplicateValues" dxfId="40" priority="36"/>
  </conditionalFormatting>
  <conditionalFormatting sqref="O56">
    <cfRule type="duplicateValues" dxfId="39" priority="35"/>
  </conditionalFormatting>
  <conditionalFormatting sqref="L57">
    <cfRule type="duplicateValues" dxfId="38" priority="34"/>
  </conditionalFormatting>
  <conditionalFormatting sqref="M57">
    <cfRule type="duplicateValues" dxfId="37" priority="33"/>
  </conditionalFormatting>
  <conditionalFormatting sqref="O57">
    <cfRule type="duplicateValues" dxfId="36" priority="32"/>
  </conditionalFormatting>
  <conditionalFormatting sqref="L63">
    <cfRule type="duplicateValues" dxfId="35" priority="31"/>
  </conditionalFormatting>
  <conditionalFormatting sqref="N63">
    <cfRule type="duplicateValues" dxfId="34" priority="30"/>
  </conditionalFormatting>
  <conditionalFormatting sqref="N75">
    <cfRule type="duplicateValues" dxfId="33" priority="29"/>
  </conditionalFormatting>
  <conditionalFormatting sqref="L81">
    <cfRule type="duplicateValues" dxfId="32" priority="28"/>
  </conditionalFormatting>
  <conditionalFormatting sqref="L82">
    <cfRule type="duplicateValues" dxfId="31" priority="27"/>
  </conditionalFormatting>
  <conditionalFormatting sqref="O84">
    <cfRule type="duplicateValues" dxfId="30" priority="26"/>
  </conditionalFormatting>
  <conditionalFormatting sqref="O86">
    <cfRule type="duplicateValues" dxfId="29" priority="25"/>
  </conditionalFormatting>
  <conditionalFormatting sqref="O87">
    <cfRule type="duplicateValues" dxfId="28" priority="24"/>
  </conditionalFormatting>
  <conditionalFormatting sqref="R6:R8 R10 R13:R16 R19:R25 R32 R34:R41 R43:R45 R48 R52:R55 R57:R65 R67:R83 R86:R101">
    <cfRule type="duplicateValues" dxfId="27" priority="23"/>
  </conditionalFormatting>
  <conditionalFormatting sqref="R9">
    <cfRule type="duplicateValues" dxfId="26" priority="22"/>
  </conditionalFormatting>
  <conditionalFormatting sqref="R11">
    <cfRule type="duplicateValues" dxfId="25" priority="21"/>
  </conditionalFormatting>
  <conditionalFormatting sqref="R12">
    <cfRule type="duplicateValues" dxfId="24" priority="20"/>
  </conditionalFormatting>
  <conditionalFormatting sqref="R17">
    <cfRule type="duplicateValues" dxfId="23" priority="19"/>
  </conditionalFormatting>
  <conditionalFormatting sqref="R18">
    <cfRule type="duplicateValues" dxfId="22" priority="18"/>
  </conditionalFormatting>
  <conditionalFormatting sqref="R26">
    <cfRule type="duplicateValues" dxfId="21" priority="17"/>
  </conditionalFormatting>
  <conditionalFormatting sqref="R27">
    <cfRule type="duplicateValues" dxfId="20" priority="16"/>
  </conditionalFormatting>
  <conditionalFormatting sqref="R28">
    <cfRule type="duplicateValues" dxfId="19" priority="15"/>
  </conditionalFormatting>
  <conditionalFormatting sqref="R29">
    <cfRule type="duplicateValues" dxfId="18" priority="14"/>
  </conditionalFormatting>
  <conditionalFormatting sqref="R30">
    <cfRule type="duplicateValues" dxfId="17" priority="13"/>
  </conditionalFormatting>
  <conditionalFormatting sqref="R31">
    <cfRule type="duplicateValues" dxfId="16" priority="12"/>
  </conditionalFormatting>
  <conditionalFormatting sqref="R33">
    <cfRule type="duplicateValues" dxfId="15" priority="11"/>
  </conditionalFormatting>
  <conditionalFormatting sqref="R42">
    <cfRule type="duplicateValues" dxfId="14" priority="10"/>
  </conditionalFormatting>
  <conditionalFormatting sqref="R46">
    <cfRule type="duplicateValues" dxfId="13" priority="9"/>
  </conditionalFormatting>
  <conditionalFormatting sqref="R47">
    <cfRule type="duplicateValues" dxfId="12" priority="8"/>
  </conditionalFormatting>
  <conditionalFormatting sqref="R49">
    <cfRule type="duplicateValues" dxfId="11" priority="7"/>
  </conditionalFormatting>
  <conditionalFormatting sqref="R50">
    <cfRule type="duplicateValues" dxfId="10" priority="6"/>
  </conditionalFormatting>
  <conditionalFormatting sqref="R51">
    <cfRule type="duplicateValues" dxfId="9" priority="5"/>
  </conditionalFormatting>
  <conditionalFormatting sqref="R56">
    <cfRule type="duplicateValues" dxfId="8" priority="4"/>
  </conditionalFormatting>
  <conditionalFormatting sqref="R66">
    <cfRule type="duplicateValues" dxfId="7" priority="3"/>
  </conditionalFormatting>
  <conditionalFormatting sqref="R84">
    <cfRule type="duplicateValues" dxfId="6" priority="2"/>
  </conditionalFormatting>
  <conditionalFormatting sqref="R85">
    <cfRule type="duplicateValues" dxfId="5" priority="1"/>
  </conditionalFormatting>
  <dataValidations count="1">
    <dataValidation type="list" allowBlank="1" showInputMessage="1" showErrorMessage="1" sqref="AZ1:AZ5 AZ114:AZ1048576" xr:uid="{ECB7F27B-6FEB-4DC4-84F3-2022C50C5880}">
      <formula1>$D$3:$D$16</formula1>
    </dataValidation>
  </dataValidations>
  <hyperlinks>
    <hyperlink ref="V109" r:id="rId1" xr:uid="{3F7486A4-1B1B-4E22-AA85-5E00F0C0FFD4}"/>
    <hyperlink ref="V102" r:id="rId2" xr:uid="{3362F4F9-223A-4322-8BD0-A72291DC7156}"/>
    <hyperlink ref="V44" r:id="rId3" xr:uid="{4F75FE38-BF8D-402F-A672-ABEE04DA82B5}"/>
    <hyperlink ref="V108" r:id="rId4" display="institutosementinhaamanhecer.inst@gmail.com" xr:uid="{1027416D-AFBB-429A-BC44-D39724B0B479}"/>
    <hyperlink ref="V112" r:id="rId5" xr:uid="{B95D4F19-06DA-4DA9-B96E-AB6B02702769}"/>
    <hyperlink ref="V111" r:id="rId6" xr:uid="{BB417E96-6319-46DB-9F89-0AD92A1E03D7}"/>
    <hyperlink ref="V110" r:id="rId7" xr:uid="{7EA5EB87-71AE-4671-A89D-62F3EA02FB06}"/>
    <hyperlink ref="V105" r:id="rId8" xr:uid="{5097F23E-639B-4EFE-B486-13A947BC1639}"/>
    <hyperlink ref="V104" r:id="rId9" xr:uid="{112F284C-9949-489F-AEB0-C00EC0B363DE}"/>
    <hyperlink ref="V90" r:id="rId10" xr:uid="{F55FD3CF-2849-4DD7-9639-B9E7AA1A3CB2}"/>
    <hyperlink ref="V82" r:id="rId11" xr:uid="{2EA9F3E2-55E7-4DD0-AFFA-AD64401FEFD2}"/>
    <hyperlink ref="V41" r:id="rId12" xr:uid="{0B1FED16-FE53-4BA1-93AA-89B479153A1D}"/>
    <hyperlink ref="V71" r:id="rId13" xr:uid="{378E39DD-3878-4A46-B6CA-0CCDFC9D7A24}"/>
    <hyperlink ref="V30" r:id="rId14" xr:uid="{ABCB078F-A55E-4A13-B9E2-E48E15A21311}"/>
    <hyperlink ref="V77" r:id="rId15" xr:uid="{BDBCCEC8-B122-4A3F-A46D-5F0636A29E30}"/>
    <hyperlink ref="V93" r:id="rId16" xr:uid="{5DDDB133-A153-4E4D-9152-D6FE6AC2D010}"/>
    <hyperlink ref="V9" r:id="rId17" xr:uid="{B9495DFF-7372-4EE0-908F-B5FF5C76BBE1}"/>
    <hyperlink ref="V10" r:id="rId18" xr:uid="{F57DAEC5-1C7C-41C5-A35E-2E29FE06BEE7}"/>
    <hyperlink ref="V31" r:id="rId19" xr:uid="{9E6090F2-AD4A-476A-8327-D08AE2869233}"/>
    <hyperlink ref="V34" r:id="rId20" xr:uid="{B26DDFA9-93CB-41DF-9D2C-0B645AB92E57}"/>
    <hyperlink ref="V87" r:id="rId21" xr:uid="{30C718F0-E0D6-4C89-B52D-F6FFEFBCBB0D}"/>
    <hyperlink ref="V99" r:id="rId22" xr:uid="{4B37F2D2-F8F2-45A2-BCDF-7CF5D92318C4}"/>
    <hyperlink ref="V56" r:id="rId23" xr:uid="{DFF7F953-F43C-4BF9-BE11-3DB93AFA7552}"/>
    <hyperlink ref="V43" r:id="rId24" xr:uid="{E1D6EF66-6757-411F-A810-FA61F8755B9A}"/>
    <hyperlink ref="V65" r:id="rId25" xr:uid="{A620DC06-6762-4F9B-AF3D-9DCC21A1F1B9}"/>
    <hyperlink ref="V72" r:id="rId26" xr:uid="{006943EA-1B0E-4885-A74B-BE947A7A960D}"/>
    <hyperlink ref="V16" r:id="rId27" xr:uid="{D58629C4-B285-438B-8E85-5C05602DB8CA}"/>
    <hyperlink ref="V48" r:id="rId28" xr:uid="{127FE5B5-2A55-4C69-AB1B-239EC23AA155}"/>
    <hyperlink ref="V79" r:id="rId29" xr:uid="{DE268F3D-52CF-43F4-90D9-AF9B58503C2F}"/>
    <hyperlink ref="V62" r:id="rId30" xr:uid="{1DC73FA6-EFC2-4E8D-B07C-1570992EDB6F}"/>
    <hyperlink ref="V52" r:id="rId31" xr:uid="{9EA5792F-5188-4005-AF61-F76D2C2569C7}"/>
    <hyperlink ref="V76" r:id="rId32" xr:uid="{9E35FD49-BB2F-4DFD-8042-11C2B36DD669}"/>
    <hyperlink ref="V66" r:id="rId33" display="siomara@amorevida.org.br" xr:uid="{E1ED5BB6-A12A-4A2C-A302-AF745C577112}"/>
    <hyperlink ref="V35" r:id="rId34" xr:uid="{38192DCE-0D9D-4DDE-8D33-52DBBA54DCE8}"/>
    <hyperlink ref="V42" r:id="rId35" xr:uid="{06CA1EFD-DE8C-480F-B8D6-37C3EED3E35C}"/>
    <hyperlink ref="V20" r:id="rId36" xr:uid="{6E95597E-CA10-4148-BE79-1893A71AC421}"/>
    <hyperlink ref="V73" r:id="rId37" xr:uid="{9BBB2C8E-47F1-46BE-8DE5-8C319278FCDA}"/>
    <hyperlink ref="V26" r:id="rId38" xr:uid="{7B0025EF-8D3E-4B7C-BDF5-6B18BE61E41B}"/>
    <hyperlink ref="V19" r:id="rId39" display="mailto:abrigosaolourenco@gmail.com" xr:uid="{23A42B9D-5C04-4817-887D-D59D3E6CCCF9}"/>
    <hyperlink ref="V86" r:id="rId40" xr:uid="{E14D5966-6C6A-4B57-A806-91D81AB525EC}"/>
    <hyperlink ref="V24" r:id="rId41" xr:uid="{7A6C7131-6DE8-4C02-B5CB-FC02382C9E3F}"/>
    <hyperlink ref="V74" r:id="rId42" xr:uid="{3F2AFB3A-026E-47CF-9910-6E9341791313}"/>
    <hyperlink ref="V23" r:id="rId43" xr:uid="{2C1F2EEC-DB5E-4CC3-90A6-3F0DAF071B92}"/>
    <hyperlink ref="V68" r:id="rId44" xr:uid="{AB980CB3-D291-41F6-AF8B-EF556058F379}"/>
    <hyperlink ref="V61" r:id="rId45" xr:uid="{24A0F00F-3613-44B5-9B5B-A3B86CF13F3D}"/>
    <hyperlink ref="V69" r:id="rId46" xr:uid="{3420A507-6A4D-42E1-B5FB-ADD1B616C37A}"/>
    <hyperlink ref="V80" r:id="rId47" xr:uid="{416D47D1-26C8-4D0F-B359-1CCBA1393690}"/>
    <hyperlink ref="V106" r:id="rId48" display="municipio@indiapora.sp.gov.br" xr:uid="{5D82AA81-FD91-4F3A-9667-280492AE9CB1}"/>
    <hyperlink ref="V103" r:id="rId49" xr:uid="{6CC9F96B-E4CA-4F37-BDEB-7B2A1DCA3698}"/>
    <hyperlink ref="V96" r:id="rId50" xr:uid="{67C73E06-C739-406E-A574-C436D5EDA87A}"/>
    <hyperlink ref="V98" r:id="rId51" xr:uid="{DF97B23B-D998-41EE-9A60-54D857DB3287}"/>
    <hyperlink ref="V54" r:id="rId52" xr:uid="{5642B085-6D01-4787-91B8-1166CF30C427}"/>
    <hyperlink ref="V25" r:id="rId53" xr:uid="{65ACCC48-D9E0-449B-B415-429BA4E6CA55}"/>
    <hyperlink ref="V58" r:id="rId54" xr:uid="{B080805C-E22A-47CF-BE1B-BCE8ADDFD2D0}"/>
    <hyperlink ref="V63" r:id="rId55" xr:uid="{88E1F2D9-865A-4978-B4F9-5E75DCCE28D5}"/>
    <hyperlink ref="V40" r:id="rId56" xr:uid="{6568E82C-6C66-4A54-B7F9-11141F09234F}"/>
    <hyperlink ref="V38" r:id="rId57" display="deasoadm@estanciadepiraju.sp.gov.br" xr:uid="{FC06EF77-D5F3-4DD3-9585-EA067D2734A1}"/>
    <hyperlink ref="V28" r:id="rId58" display="tamara.vicente@saobernardodocampo.sp.gov.br" xr:uid="{1CE1B5E7-18E9-4413-B51B-935ED36072AF}"/>
    <hyperlink ref="V78" r:id="rId59" xr:uid="{179C37EA-8CF9-49AF-AE81-DDF21F7BF5B5}"/>
    <hyperlink ref="V8" r:id="rId60" xr:uid="{A9FEEC9E-73DE-455D-B643-DE4AAC58178D}"/>
    <hyperlink ref="V12" r:id="rId61" display="secretaria@itapura.sp.gov.br" xr:uid="{FA9B5314-2982-403D-BCB3-562997964352}"/>
    <hyperlink ref="V37" r:id="rId62" display="sps-secretario@mogiguacu.sp.gov.br" xr:uid="{482B8B95-6C17-467E-80E3-E84F5FBA6AB6}"/>
    <hyperlink ref="V18" r:id="rId63" xr:uid="{DD0D3840-73C7-4B5D-A82D-1354AE76DE4F}"/>
    <hyperlink ref="V50" r:id="rId64" xr:uid="{999D5FD8-9699-4DF8-AE17-CB8A9A608A61}"/>
    <hyperlink ref="V60" r:id="rId65" xr:uid="{737A1345-6A31-4041-B77E-9FF78A719D29}"/>
    <hyperlink ref="V97" r:id="rId66" xr:uid="{BFF07D6B-DC3D-4129-8FEC-84BEE7C700EF}"/>
    <hyperlink ref="V81" r:id="rId67" xr:uid="{55676E09-E7AC-4CEC-B017-FC9E0C811C57}"/>
    <hyperlink ref="V45" r:id="rId68" xr:uid="{E01027D3-9271-4549-86F2-DE3DCA4078D4}"/>
    <hyperlink ref="V70" r:id="rId69" xr:uid="{A6CF5418-A0EC-4F65-B466-5AB06B475D5F}"/>
    <hyperlink ref="V6" r:id="rId70" xr:uid="{50D79C40-BD68-4597-B905-F71A51D25BD7}"/>
    <hyperlink ref="V88" r:id="rId71" xr:uid="{C4B67F03-CDC0-4B7B-A172-511358F84E55}"/>
    <hyperlink ref="V95" r:id="rId72" xr:uid="{9FB991F8-A826-4BC0-86B6-6523DC9F3941}"/>
    <hyperlink ref="V53" r:id="rId73" xr:uid="{FD356BCB-2F64-4ECB-A5B9-692579D09E7E}"/>
    <hyperlink ref="V46" r:id="rId74" xr:uid="{98DBF2F6-A7DC-4F50-A39E-0BAC9DDFC8C2}"/>
    <hyperlink ref="V7" r:id="rId75" display="prefeitura@orindiuva.sp.gov.br" xr:uid="{E5085A94-0938-4245-A9A1-E4486FD5DD4E}"/>
    <hyperlink ref="V11" r:id="rId76" display="assistenciasocial@taiacu.sp.gov.br" xr:uid="{C1B13072-E6E7-4CC8-81C1-E29ECC4CC1E9}"/>
    <hyperlink ref="V92" r:id="rId77" xr:uid="{DB15FE38-5D80-4DB7-AC75-A2F22904D83F}"/>
    <hyperlink ref="V14" r:id="rId78" xr:uid="{2ABA12F3-168C-4E1C-AB1D-4C966247B3C9}"/>
    <hyperlink ref="V33" r:id="rId79" xr:uid="{3A966195-B9B9-4848-BB93-7432CD8048EE}"/>
    <hyperlink ref="V32" r:id="rId80" xr:uid="{CA2B7E83-2740-4994-91F4-2B3C342099AA}"/>
    <hyperlink ref="V59" r:id="rId81" display="secretaria@ariranha.sp.gov.br" xr:uid="{A9F2F0C1-9A86-40E6-AFAE-E665D9CF9576}"/>
    <hyperlink ref="V57" r:id="rId82" display="scamargo@saoroque.sp.gov.br" xr:uid="{0A83C217-0B06-4139-A600-3E6C785DAC68}"/>
    <hyperlink ref="V27" r:id="rId83" xr:uid="{CBCB5799-6D3F-4628-B438-67FE58A8D083}"/>
    <hyperlink ref="V85" r:id="rId84" xr:uid="{42401994-E7A9-454B-86CA-B440C1BF3140}"/>
    <hyperlink ref="V67" r:id="rId85" xr:uid="{5669C90A-A0B4-4AAE-AD3E-CE30186C4AE8}"/>
    <hyperlink ref="V100" r:id="rId86" display="gabinete@cabralia.sp.gov.br" xr:uid="{10A19C9E-616B-4FC0-B9A4-89EDAC69EE18}"/>
    <hyperlink ref="V15" r:id="rId87" display="gabinete@tabatinga.sp.gov.br" xr:uid="{2D39D071-D6DF-4F34-9D1F-460BA62DF643}"/>
    <hyperlink ref="V17" r:id="rId88" xr:uid="{D5559791-E4FA-4B84-929A-901837C62653}"/>
    <hyperlink ref="V89" r:id="rId89" xr:uid="{398C08BB-727B-4688-B590-41831FB2D2B0}"/>
    <hyperlink ref="V51" r:id="rId90" xr:uid="{47011C4D-55A1-4130-93D2-DE5E6A7A008B}"/>
    <hyperlink ref="V21" r:id="rId91" xr:uid="{99AE9193-1B46-4BE9-9DCF-4BA9B5FC184B}"/>
    <hyperlink ref="V36" r:id="rId92" xr:uid="{ADC8CC15-2275-4241-AE8C-0AC40FADE2B0}"/>
    <hyperlink ref="V22" r:id="rId93" xr:uid="{77B793AB-2869-428C-9848-36D5B35CCA95}"/>
    <hyperlink ref="V55" r:id="rId94" xr:uid="{B559B2EF-5506-454E-8A83-AB16D3954787}"/>
    <hyperlink ref="V101" r:id="rId95" display="pad@sertaozinho.sp.gov.br" xr:uid="{15EE925F-A7E0-4B64-93C5-41D3CE7F9374}"/>
    <hyperlink ref="V91" r:id="rId96" xr:uid="{1375CB76-EFCE-4FD9-B1B4-61EA28AAFF2A}"/>
    <hyperlink ref="V39" r:id="rId97" xr:uid="{5770A06B-E7A5-4BDC-943E-4773AC74D974}"/>
    <hyperlink ref="V64" r:id="rId98" xr:uid="{7D0405AE-9497-438B-A2D0-C5BD900409B2}"/>
    <hyperlink ref="V47" r:id="rId99" display="caminhandocomamor@gmail.com" xr:uid="{E3FAB4AC-5E82-4544-9413-6AC05D8B1294}"/>
    <hyperlink ref="V84" r:id="rId100" xr:uid="{E272703F-2CC0-405E-B1EA-C4D981BC11E8}"/>
    <hyperlink ref="V83" r:id="rId101" xr:uid="{A074C073-16D3-45EA-8052-C3D0FE49643C}"/>
    <hyperlink ref="V94" r:id="rId102" xr:uid="{D3FA28EF-0D75-44DF-B0A6-73E791178E34}"/>
  </hyperlinks>
  <pageMargins left="0.15" right="0.13" top="0.18" bottom="0.2" header="0.17" footer="0.17"/>
  <pageSetup paperSize="9" scale="56" orientation="landscape" horizontalDpi="300" verticalDpi="300" r:id="rId103"/>
  <drawing r:id="rId10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2F72AD-826B-423A-BD56-11A47950259D}">
          <x14:formula1>
            <xm:f>Planilha2!$D$6:$D$19</xm:f>
          </x14:formula1>
          <xm:sqref>AY9</xm:sqref>
        </x14:dataValidation>
        <x14:dataValidation type="list" allowBlank="1" showInputMessage="1" showErrorMessage="1" xr:uid="{988E1F2A-9760-4CF3-9612-56E062D39445}">
          <x14:formula1>
            <xm:f>Planilha2!$D$3:$D$19</xm:f>
          </x14:formula1>
          <xm:sqref>AZ6:AZ113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110F-59F6-4CFF-A840-5385F1AFC834}">
  <dimension ref="D3:D19"/>
  <sheetViews>
    <sheetView workbookViewId="0">
      <selection activeCell="G8" sqref="G8"/>
    </sheetView>
  </sheetViews>
  <sheetFormatPr defaultRowHeight="15" x14ac:dyDescent="0.25"/>
  <cols>
    <col min="4" max="4" width="34.7109375" customWidth="1"/>
  </cols>
  <sheetData>
    <row r="3" spans="4:4" x14ac:dyDescent="0.25">
      <c r="D3" t="s">
        <v>3417</v>
      </c>
    </row>
    <row r="4" spans="4:4" x14ac:dyDescent="0.25">
      <c r="D4" t="s">
        <v>3922</v>
      </c>
    </row>
    <row r="5" spans="4:4" x14ac:dyDescent="0.25">
      <c r="D5" t="s">
        <v>3923</v>
      </c>
    </row>
    <row r="6" spans="4:4" x14ac:dyDescent="0.25">
      <c r="D6" t="s">
        <v>3924</v>
      </c>
    </row>
    <row r="7" spans="4:4" x14ac:dyDescent="0.25">
      <c r="D7" t="s">
        <v>3773</v>
      </c>
    </row>
    <row r="8" spans="4:4" x14ac:dyDescent="0.25">
      <c r="D8" t="s">
        <v>2973</v>
      </c>
    </row>
    <row r="9" spans="4:4" x14ac:dyDescent="0.25">
      <c r="D9" t="s">
        <v>3925</v>
      </c>
    </row>
    <row r="10" spans="4:4" x14ac:dyDescent="0.25">
      <c r="D10" t="s">
        <v>3203</v>
      </c>
    </row>
    <row r="11" spans="4:4" x14ac:dyDescent="0.25">
      <c r="D11" t="s">
        <v>3037</v>
      </c>
    </row>
    <row r="12" spans="4:4" x14ac:dyDescent="0.25">
      <c r="D12" t="s">
        <v>3288</v>
      </c>
    </row>
    <row r="13" spans="4:4" x14ac:dyDescent="0.25">
      <c r="D13" t="s">
        <v>3926</v>
      </c>
    </row>
    <row r="14" spans="4:4" x14ac:dyDescent="0.25">
      <c r="D14" t="s">
        <v>3358</v>
      </c>
    </row>
    <row r="15" spans="4:4" x14ac:dyDescent="0.25">
      <c r="D15" t="s">
        <v>3927</v>
      </c>
    </row>
    <row r="16" spans="4:4" x14ac:dyDescent="0.25">
      <c r="D16" t="s">
        <v>3084</v>
      </c>
    </row>
    <row r="17" spans="4:4" x14ac:dyDescent="0.25">
      <c r="D17" t="s">
        <v>2987</v>
      </c>
    </row>
    <row r="18" spans="4:4" x14ac:dyDescent="0.25">
      <c r="D18" t="s">
        <v>3022</v>
      </c>
    </row>
    <row r="19" spans="4:4" x14ac:dyDescent="0.25">
      <c r="D19" t="s">
        <v>2949</v>
      </c>
    </row>
  </sheetData>
  <dataValidations count="1">
    <dataValidation type="list" allowBlank="1" showInputMessage="1" showErrorMessage="1" sqref="D1 D18:D1048576 D2:D17" xr:uid="{80A79F9A-66AA-43A8-9340-6A7597000A8D}">
      <formula1>$D$3:$D$19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973D-2E86-4BD4-B8C4-4805AAB987BE}">
  <dimension ref="B2:C97"/>
  <sheetViews>
    <sheetView showGridLines="0" workbookViewId="0">
      <selection activeCell="M23" sqref="M23"/>
    </sheetView>
  </sheetViews>
  <sheetFormatPr defaultRowHeight="15" x14ac:dyDescent="0.25"/>
  <cols>
    <col min="1" max="1" width="2.7109375" customWidth="1"/>
    <col min="2" max="2" width="52.28515625" bestFit="1" customWidth="1"/>
    <col min="3" max="3" width="14.7109375" bestFit="1" customWidth="1"/>
  </cols>
  <sheetData>
    <row r="2" spans="2:3" x14ac:dyDescent="0.25">
      <c r="B2" s="108" t="s">
        <v>3</v>
      </c>
      <c r="C2" s="108" t="s">
        <v>33</v>
      </c>
    </row>
    <row r="4" spans="2:3" ht="18.75" customHeight="1" x14ac:dyDescent="0.25">
      <c r="B4" s="108" t="s">
        <v>3928</v>
      </c>
      <c r="C4" s="108" t="s">
        <v>3929</v>
      </c>
    </row>
    <row r="5" spans="2:3" x14ac:dyDescent="0.25">
      <c r="B5" s="105" t="s">
        <v>597</v>
      </c>
      <c r="C5" s="20">
        <v>1</v>
      </c>
    </row>
    <row r="6" spans="2:3" x14ac:dyDescent="0.25">
      <c r="B6" s="105" t="s">
        <v>64</v>
      </c>
      <c r="C6" s="20">
        <v>4</v>
      </c>
    </row>
    <row r="7" spans="2:3" x14ac:dyDescent="0.25">
      <c r="B7" s="105" t="s">
        <v>348</v>
      </c>
      <c r="C7" s="20">
        <v>2</v>
      </c>
    </row>
    <row r="8" spans="2:3" x14ac:dyDescent="0.25">
      <c r="B8" s="105" t="s">
        <v>123</v>
      </c>
      <c r="C8" s="20">
        <v>2</v>
      </c>
    </row>
    <row r="9" spans="2:3" x14ac:dyDescent="0.25">
      <c r="B9" s="105" t="s">
        <v>181</v>
      </c>
      <c r="C9" s="20">
        <v>4</v>
      </c>
    </row>
    <row r="10" spans="2:3" x14ac:dyDescent="0.25">
      <c r="B10" s="105" t="s">
        <v>115</v>
      </c>
      <c r="C10" s="20">
        <v>4</v>
      </c>
    </row>
    <row r="11" spans="2:3" x14ac:dyDescent="0.25">
      <c r="B11" s="105" t="s">
        <v>254</v>
      </c>
      <c r="C11" s="20">
        <v>5</v>
      </c>
    </row>
    <row r="12" spans="2:3" x14ac:dyDescent="0.25">
      <c r="B12" s="105" t="s">
        <v>74</v>
      </c>
      <c r="C12" s="20">
        <v>18</v>
      </c>
    </row>
    <row r="13" spans="2:3" x14ac:dyDescent="0.25">
      <c r="B13" s="105" t="s">
        <v>47</v>
      </c>
      <c r="C13" s="20">
        <v>1</v>
      </c>
    </row>
    <row r="14" spans="2:3" x14ac:dyDescent="0.25">
      <c r="B14" s="105" t="s">
        <v>1414</v>
      </c>
      <c r="C14" s="20">
        <v>1</v>
      </c>
    </row>
    <row r="15" spans="2:3" x14ac:dyDescent="0.25">
      <c r="B15" s="105" t="s">
        <v>270</v>
      </c>
      <c r="C15" s="20">
        <v>1</v>
      </c>
    </row>
    <row r="16" spans="2:3" x14ac:dyDescent="0.25">
      <c r="B16" s="105" t="s">
        <v>223</v>
      </c>
      <c r="C16" s="20">
        <v>1</v>
      </c>
    </row>
    <row r="17" spans="2:3" x14ac:dyDescent="0.25">
      <c r="B17" s="105" t="s">
        <v>453</v>
      </c>
      <c r="C17" s="20">
        <v>5</v>
      </c>
    </row>
    <row r="18" spans="2:3" x14ac:dyDescent="0.25">
      <c r="B18" s="105" t="s">
        <v>241</v>
      </c>
      <c r="C18" s="20">
        <v>1</v>
      </c>
    </row>
    <row r="19" spans="2:3" x14ac:dyDescent="0.25">
      <c r="B19" s="105" t="s">
        <v>154</v>
      </c>
      <c r="C19" s="20">
        <v>5</v>
      </c>
    </row>
    <row r="20" spans="2:3" x14ac:dyDescent="0.25">
      <c r="B20" s="105" t="s">
        <v>445</v>
      </c>
      <c r="C20" s="20">
        <v>2</v>
      </c>
    </row>
    <row r="21" spans="2:3" x14ac:dyDescent="0.25">
      <c r="B21" s="105" t="s">
        <v>391</v>
      </c>
      <c r="C21" s="20"/>
    </row>
    <row r="22" spans="2:3" x14ac:dyDescent="0.25">
      <c r="B22" s="105" t="s">
        <v>202</v>
      </c>
      <c r="C22" s="20">
        <v>1</v>
      </c>
    </row>
    <row r="23" spans="2:3" x14ac:dyDescent="0.25">
      <c r="B23" s="105" t="s">
        <v>38</v>
      </c>
      <c r="C23" s="20">
        <v>1</v>
      </c>
    </row>
    <row r="24" spans="2:3" x14ac:dyDescent="0.25">
      <c r="B24" s="105" t="s">
        <v>95</v>
      </c>
      <c r="C24" s="20">
        <v>5</v>
      </c>
    </row>
    <row r="25" spans="2:3" x14ac:dyDescent="0.25">
      <c r="B25" s="105" t="s">
        <v>141</v>
      </c>
      <c r="C25" s="20">
        <v>1</v>
      </c>
    </row>
    <row r="26" spans="2:3" x14ac:dyDescent="0.25">
      <c r="B26" s="109" t="s">
        <v>3930</v>
      </c>
      <c r="C26" s="108">
        <v>65</v>
      </c>
    </row>
    <row r="97" ht="23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29F-8471-479A-A4C0-91118DA8E5B3}">
  <dimension ref="A3:XEE3"/>
  <sheetViews>
    <sheetView workbookViewId="0">
      <selection activeCell="G8" sqref="G8"/>
    </sheetView>
  </sheetViews>
  <sheetFormatPr defaultRowHeight="15" x14ac:dyDescent="0.25"/>
  <sheetData>
    <row r="3" spans="1:16359" ht="216.75" x14ac:dyDescent="0.25">
      <c r="A3" s="64"/>
      <c r="B3" s="5">
        <v>472</v>
      </c>
      <c r="C3" s="6" t="s">
        <v>2304</v>
      </c>
      <c r="D3" s="5" t="s">
        <v>33</v>
      </c>
      <c r="E3" s="5" t="s">
        <v>2305</v>
      </c>
      <c r="F3" s="5" t="s">
        <v>2306</v>
      </c>
      <c r="G3" s="5" t="s">
        <v>36</v>
      </c>
      <c r="H3" s="17">
        <v>150000</v>
      </c>
      <c r="I3" s="11" t="s">
        <v>3181</v>
      </c>
      <c r="J3" s="11" t="s">
        <v>3931</v>
      </c>
      <c r="K3" s="65"/>
      <c r="L3" s="65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  <c r="FN3" s="64"/>
      <c r="FO3" s="64"/>
      <c r="FP3" s="64"/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/>
      <c r="IP3" s="64"/>
      <c r="IQ3" s="64"/>
      <c r="IR3" s="64"/>
      <c r="IS3" s="64"/>
      <c r="IT3" s="64"/>
      <c r="IU3" s="64"/>
      <c r="IV3" s="64"/>
      <c r="IW3" s="64"/>
      <c r="IX3" s="64"/>
      <c r="IY3" s="64"/>
      <c r="IZ3" s="64"/>
      <c r="JA3" s="64"/>
      <c r="JB3" s="64"/>
      <c r="JC3" s="64"/>
      <c r="JD3" s="64"/>
      <c r="JE3" s="64"/>
      <c r="JF3" s="64"/>
      <c r="JG3" s="64"/>
      <c r="JH3" s="64"/>
      <c r="JI3" s="64"/>
      <c r="JJ3" s="64"/>
      <c r="JK3" s="64"/>
      <c r="JL3" s="64"/>
      <c r="JM3" s="64"/>
      <c r="JN3" s="64"/>
      <c r="JO3" s="64"/>
      <c r="JP3" s="64"/>
      <c r="JQ3" s="64"/>
      <c r="JR3" s="64"/>
      <c r="JS3" s="64"/>
      <c r="JT3" s="64"/>
      <c r="JU3" s="64"/>
      <c r="JV3" s="64"/>
      <c r="JW3" s="64"/>
      <c r="JX3" s="64"/>
      <c r="JY3" s="64"/>
      <c r="JZ3" s="64"/>
      <c r="KA3" s="64"/>
      <c r="KB3" s="64"/>
      <c r="KC3" s="64"/>
      <c r="KD3" s="64"/>
      <c r="KE3" s="64"/>
      <c r="KF3" s="64"/>
      <c r="KG3" s="64"/>
      <c r="KH3" s="64"/>
      <c r="KI3" s="64"/>
      <c r="KJ3" s="64"/>
      <c r="KK3" s="64"/>
      <c r="KL3" s="64"/>
      <c r="KM3" s="64"/>
      <c r="KN3" s="64"/>
      <c r="KO3" s="64"/>
      <c r="KP3" s="64"/>
      <c r="KQ3" s="64"/>
      <c r="KR3" s="64"/>
      <c r="KS3" s="64"/>
      <c r="KT3" s="64"/>
      <c r="KU3" s="64"/>
      <c r="KV3" s="64"/>
      <c r="KW3" s="64"/>
      <c r="KX3" s="64"/>
      <c r="KY3" s="64"/>
      <c r="KZ3" s="64"/>
      <c r="LA3" s="64"/>
      <c r="LB3" s="64"/>
      <c r="LC3" s="64"/>
      <c r="LD3" s="64"/>
      <c r="LE3" s="64"/>
      <c r="LF3" s="64"/>
      <c r="LG3" s="64"/>
      <c r="LH3" s="64"/>
      <c r="LI3" s="64"/>
      <c r="LJ3" s="64"/>
      <c r="LK3" s="64"/>
      <c r="LL3" s="64"/>
      <c r="LM3" s="64"/>
      <c r="LN3" s="64"/>
      <c r="LO3" s="64"/>
      <c r="LP3" s="64"/>
      <c r="LQ3" s="64"/>
      <c r="LR3" s="64"/>
      <c r="LS3" s="64"/>
      <c r="LT3" s="64"/>
      <c r="LU3" s="64"/>
      <c r="LV3" s="64"/>
      <c r="LW3" s="64"/>
      <c r="LX3" s="64"/>
      <c r="LY3" s="64"/>
      <c r="LZ3" s="64"/>
      <c r="MA3" s="64"/>
      <c r="MB3" s="64"/>
      <c r="MC3" s="64"/>
      <c r="MD3" s="64"/>
      <c r="ME3" s="64"/>
      <c r="MF3" s="64"/>
      <c r="MG3" s="64"/>
      <c r="MH3" s="64"/>
      <c r="MI3" s="64"/>
      <c r="MJ3" s="64"/>
      <c r="MK3" s="64"/>
      <c r="ML3" s="64"/>
      <c r="MM3" s="64"/>
      <c r="MN3" s="64"/>
      <c r="MO3" s="64"/>
      <c r="MP3" s="64"/>
      <c r="MQ3" s="64"/>
      <c r="MR3" s="64"/>
      <c r="MS3" s="64"/>
      <c r="MT3" s="64"/>
      <c r="MU3" s="64"/>
      <c r="MV3" s="64"/>
      <c r="MW3" s="64"/>
      <c r="MX3" s="64"/>
      <c r="MY3" s="64"/>
      <c r="MZ3" s="64"/>
      <c r="NA3" s="64"/>
      <c r="NB3" s="64"/>
      <c r="NC3" s="64"/>
      <c r="ND3" s="64"/>
      <c r="NE3" s="64"/>
      <c r="NF3" s="64"/>
      <c r="NG3" s="64"/>
      <c r="NH3" s="64"/>
      <c r="NI3" s="64"/>
      <c r="NJ3" s="64"/>
      <c r="NK3" s="64"/>
      <c r="NL3" s="64"/>
      <c r="NM3" s="64"/>
      <c r="NN3" s="64"/>
      <c r="NO3" s="64"/>
      <c r="NP3" s="64"/>
      <c r="NQ3" s="64"/>
      <c r="NR3" s="64"/>
      <c r="NS3" s="64"/>
      <c r="NT3" s="64"/>
      <c r="NU3" s="64"/>
      <c r="NV3" s="64"/>
      <c r="NW3" s="64"/>
      <c r="NX3" s="64"/>
      <c r="NY3" s="64"/>
      <c r="NZ3" s="64"/>
      <c r="OA3" s="64"/>
      <c r="OB3" s="64"/>
      <c r="OC3" s="64"/>
      <c r="OD3" s="64"/>
      <c r="OE3" s="64"/>
      <c r="OF3" s="64"/>
      <c r="OG3" s="64"/>
      <c r="OH3" s="64"/>
      <c r="OI3" s="64"/>
      <c r="OJ3" s="64"/>
      <c r="OK3" s="64"/>
      <c r="OL3" s="64"/>
      <c r="OM3" s="64"/>
      <c r="ON3" s="64"/>
      <c r="OO3" s="64"/>
      <c r="OP3" s="64"/>
      <c r="OQ3" s="64"/>
      <c r="OR3" s="64"/>
      <c r="OS3" s="64"/>
      <c r="OT3" s="64"/>
      <c r="OU3" s="64"/>
      <c r="OV3" s="64"/>
      <c r="OW3" s="64"/>
      <c r="OX3" s="64"/>
      <c r="OY3" s="64"/>
      <c r="OZ3" s="64"/>
      <c r="PA3" s="64"/>
      <c r="PB3" s="64"/>
      <c r="PC3" s="64"/>
      <c r="PD3" s="64"/>
      <c r="PE3" s="64"/>
      <c r="PF3" s="64"/>
      <c r="PG3" s="64"/>
      <c r="PH3" s="64"/>
      <c r="PI3" s="64"/>
      <c r="PJ3" s="64"/>
      <c r="PK3" s="64"/>
      <c r="PL3" s="64"/>
      <c r="PM3" s="64"/>
      <c r="PN3" s="64"/>
      <c r="PO3" s="64"/>
      <c r="PP3" s="64"/>
      <c r="PQ3" s="64"/>
      <c r="PR3" s="64"/>
      <c r="PS3" s="64"/>
      <c r="PT3" s="64"/>
      <c r="PU3" s="64"/>
      <c r="PV3" s="64"/>
      <c r="PW3" s="64"/>
      <c r="PX3" s="64"/>
      <c r="PY3" s="64"/>
      <c r="PZ3" s="64"/>
      <c r="QA3" s="64"/>
      <c r="QB3" s="64"/>
      <c r="QC3" s="64"/>
      <c r="QD3" s="64"/>
      <c r="QE3" s="64"/>
      <c r="QF3" s="64"/>
      <c r="QG3" s="64"/>
      <c r="QH3" s="64"/>
      <c r="QI3" s="64"/>
      <c r="QJ3" s="64"/>
      <c r="QK3" s="64"/>
      <c r="QL3" s="64"/>
      <c r="QM3" s="64"/>
      <c r="QN3" s="64"/>
      <c r="QO3" s="64"/>
      <c r="QP3" s="64"/>
      <c r="QQ3" s="64"/>
      <c r="QR3" s="64"/>
      <c r="QS3" s="64"/>
      <c r="QT3" s="64"/>
      <c r="QU3" s="64"/>
      <c r="QV3" s="64"/>
      <c r="QW3" s="64"/>
      <c r="QX3" s="64"/>
      <c r="QY3" s="64"/>
      <c r="QZ3" s="64"/>
      <c r="RA3" s="64"/>
      <c r="RB3" s="64"/>
      <c r="RC3" s="64"/>
      <c r="RD3" s="64"/>
      <c r="RE3" s="64"/>
      <c r="RF3" s="64"/>
      <c r="RG3" s="64"/>
      <c r="RH3" s="64"/>
      <c r="RI3" s="64"/>
      <c r="RJ3" s="64"/>
      <c r="RK3" s="64"/>
      <c r="RL3" s="64"/>
      <c r="RM3" s="64"/>
      <c r="RN3" s="64"/>
      <c r="RO3" s="64"/>
      <c r="RP3" s="64"/>
      <c r="RQ3" s="64"/>
      <c r="RR3" s="64"/>
      <c r="RS3" s="64"/>
      <c r="RT3" s="64"/>
      <c r="RU3" s="64"/>
      <c r="RV3" s="64"/>
      <c r="RW3" s="64"/>
      <c r="RX3" s="64"/>
      <c r="RY3" s="64"/>
      <c r="RZ3" s="64"/>
      <c r="SA3" s="64"/>
      <c r="SB3" s="64"/>
      <c r="SC3" s="64"/>
      <c r="SD3" s="64"/>
      <c r="SE3" s="64"/>
      <c r="SF3" s="64"/>
      <c r="SG3" s="64"/>
      <c r="SH3" s="64"/>
      <c r="SI3" s="64"/>
      <c r="SJ3" s="64"/>
      <c r="SK3" s="64"/>
      <c r="SL3" s="64"/>
      <c r="SM3" s="64"/>
      <c r="SN3" s="64"/>
      <c r="SO3" s="64"/>
      <c r="SP3" s="64"/>
      <c r="SQ3" s="64"/>
      <c r="SR3" s="64"/>
      <c r="SS3" s="64"/>
      <c r="ST3" s="64"/>
      <c r="SU3" s="64"/>
      <c r="SV3" s="64"/>
      <c r="SW3" s="64"/>
      <c r="SX3" s="64"/>
      <c r="SY3" s="64"/>
      <c r="SZ3" s="64"/>
      <c r="TA3" s="64"/>
      <c r="TB3" s="64"/>
      <c r="TC3" s="64"/>
      <c r="TD3" s="64"/>
      <c r="TE3" s="64"/>
      <c r="TF3" s="64"/>
      <c r="TG3" s="64"/>
      <c r="TH3" s="64"/>
      <c r="TI3" s="64"/>
      <c r="TJ3" s="64"/>
      <c r="TK3" s="64"/>
      <c r="TL3" s="64"/>
      <c r="TM3" s="64"/>
      <c r="TN3" s="64"/>
      <c r="TO3" s="64"/>
      <c r="TP3" s="64"/>
      <c r="TQ3" s="64"/>
      <c r="TR3" s="64"/>
      <c r="TS3" s="64"/>
      <c r="TT3" s="64"/>
      <c r="TU3" s="64"/>
      <c r="TV3" s="64"/>
      <c r="TW3" s="64"/>
      <c r="TX3" s="64"/>
      <c r="TY3" s="64"/>
      <c r="TZ3" s="64"/>
      <c r="UA3" s="64"/>
      <c r="UB3" s="64"/>
      <c r="UC3" s="64"/>
      <c r="UD3" s="64"/>
      <c r="UE3" s="64"/>
      <c r="UF3" s="64"/>
      <c r="UG3" s="64"/>
      <c r="UH3" s="64"/>
      <c r="UI3" s="64"/>
      <c r="UJ3" s="64"/>
      <c r="UK3" s="64"/>
      <c r="UL3" s="64"/>
      <c r="UM3" s="64"/>
      <c r="UN3" s="64"/>
      <c r="UO3" s="64"/>
      <c r="UP3" s="64"/>
      <c r="UQ3" s="64"/>
      <c r="UR3" s="64"/>
      <c r="US3" s="64"/>
      <c r="UT3" s="64"/>
      <c r="UU3" s="64"/>
      <c r="UV3" s="64"/>
      <c r="UW3" s="64"/>
      <c r="UX3" s="64"/>
      <c r="UY3" s="64"/>
      <c r="UZ3" s="64"/>
      <c r="VA3" s="64"/>
      <c r="VB3" s="64"/>
      <c r="VC3" s="64"/>
      <c r="VD3" s="64"/>
      <c r="VE3" s="64"/>
      <c r="VF3" s="64"/>
      <c r="VG3" s="64"/>
      <c r="VH3" s="64"/>
      <c r="VI3" s="64"/>
      <c r="VJ3" s="64"/>
      <c r="VK3" s="64"/>
      <c r="VL3" s="64"/>
      <c r="VM3" s="64"/>
      <c r="VN3" s="64"/>
      <c r="VO3" s="64"/>
      <c r="VP3" s="64"/>
      <c r="VQ3" s="64"/>
      <c r="VR3" s="64"/>
      <c r="VS3" s="64"/>
      <c r="VT3" s="64"/>
      <c r="VU3" s="64"/>
      <c r="VV3" s="64"/>
      <c r="VW3" s="64"/>
      <c r="VX3" s="64"/>
      <c r="VY3" s="64"/>
      <c r="VZ3" s="64"/>
      <c r="WA3" s="64"/>
      <c r="WB3" s="64"/>
      <c r="WC3" s="64"/>
      <c r="WD3" s="64"/>
      <c r="WE3" s="64"/>
      <c r="WF3" s="64"/>
      <c r="WG3" s="64"/>
      <c r="WH3" s="64"/>
      <c r="WI3" s="64"/>
      <c r="WJ3" s="64"/>
      <c r="WK3" s="64"/>
      <c r="WL3" s="64"/>
      <c r="WM3" s="64"/>
      <c r="WN3" s="64"/>
      <c r="WO3" s="64"/>
      <c r="WP3" s="64"/>
      <c r="WQ3" s="64"/>
      <c r="WR3" s="64"/>
      <c r="WS3" s="64"/>
      <c r="WT3" s="64"/>
      <c r="WU3" s="64"/>
      <c r="WV3" s="64"/>
      <c r="WW3" s="64"/>
      <c r="WX3" s="64"/>
      <c r="WY3" s="64"/>
      <c r="WZ3" s="64"/>
      <c r="XA3" s="64"/>
      <c r="XB3" s="64"/>
      <c r="XC3" s="64"/>
      <c r="XD3" s="64"/>
      <c r="XE3" s="64"/>
      <c r="XF3" s="64"/>
      <c r="XG3" s="64"/>
      <c r="XH3" s="64"/>
      <c r="XI3" s="64"/>
      <c r="XJ3" s="64"/>
      <c r="XK3" s="64"/>
      <c r="XL3" s="64"/>
      <c r="XM3" s="64"/>
      <c r="XN3" s="64"/>
      <c r="XO3" s="64"/>
      <c r="XP3" s="64"/>
      <c r="XQ3" s="64"/>
      <c r="XR3" s="64"/>
      <c r="XS3" s="64"/>
      <c r="XT3" s="64"/>
      <c r="XU3" s="64"/>
      <c r="XV3" s="64"/>
      <c r="XW3" s="64"/>
      <c r="XX3" s="64"/>
      <c r="XY3" s="64"/>
      <c r="XZ3" s="64"/>
      <c r="YA3" s="64"/>
      <c r="YB3" s="64"/>
      <c r="YC3" s="64"/>
      <c r="YD3" s="64"/>
      <c r="YE3" s="64"/>
      <c r="YF3" s="64"/>
      <c r="YG3" s="64"/>
      <c r="YH3" s="64"/>
      <c r="YI3" s="64"/>
      <c r="YJ3" s="64"/>
      <c r="YK3" s="64"/>
      <c r="YL3" s="64"/>
      <c r="YM3" s="64"/>
      <c r="YN3" s="64"/>
      <c r="YO3" s="64"/>
      <c r="YP3" s="64"/>
      <c r="YQ3" s="64"/>
      <c r="YR3" s="64"/>
      <c r="YS3" s="64"/>
      <c r="YT3" s="64"/>
      <c r="YU3" s="64"/>
      <c r="YV3" s="64"/>
      <c r="YW3" s="64"/>
      <c r="YX3" s="64"/>
      <c r="YY3" s="64"/>
      <c r="YZ3" s="64"/>
      <c r="ZA3" s="64"/>
      <c r="ZB3" s="64"/>
      <c r="ZC3" s="64"/>
      <c r="ZD3" s="64"/>
      <c r="ZE3" s="64"/>
      <c r="ZF3" s="64"/>
      <c r="ZG3" s="64"/>
      <c r="ZH3" s="64"/>
      <c r="ZI3" s="64"/>
      <c r="ZJ3" s="64"/>
      <c r="ZK3" s="64"/>
      <c r="ZL3" s="64"/>
      <c r="ZM3" s="64"/>
      <c r="ZN3" s="64"/>
      <c r="ZO3" s="64"/>
      <c r="ZP3" s="64"/>
      <c r="ZQ3" s="64"/>
      <c r="ZR3" s="64"/>
      <c r="ZS3" s="64"/>
      <c r="ZT3" s="64"/>
      <c r="ZU3" s="64"/>
      <c r="ZV3" s="64"/>
      <c r="ZW3" s="64"/>
      <c r="ZX3" s="64"/>
      <c r="ZY3" s="64"/>
      <c r="ZZ3" s="64"/>
      <c r="AAA3" s="64"/>
      <c r="AAB3" s="64"/>
      <c r="AAC3" s="64"/>
      <c r="AAD3" s="64"/>
      <c r="AAE3" s="64"/>
      <c r="AAF3" s="64"/>
      <c r="AAG3" s="64"/>
      <c r="AAH3" s="64"/>
      <c r="AAI3" s="64"/>
      <c r="AAJ3" s="64"/>
      <c r="AAK3" s="64"/>
      <c r="AAL3" s="64"/>
      <c r="AAM3" s="64"/>
      <c r="AAN3" s="64"/>
      <c r="AAO3" s="64"/>
      <c r="AAP3" s="64"/>
      <c r="AAQ3" s="64"/>
      <c r="AAR3" s="64"/>
      <c r="AAS3" s="64"/>
      <c r="AAT3" s="64"/>
      <c r="AAU3" s="64"/>
      <c r="AAV3" s="64"/>
      <c r="AAW3" s="64"/>
      <c r="AAX3" s="64"/>
      <c r="AAY3" s="64"/>
      <c r="AAZ3" s="64"/>
      <c r="ABA3" s="64"/>
      <c r="ABB3" s="64"/>
      <c r="ABC3" s="64"/>
      <c r="ABD3" s="64"/>
      <c r="ABE3" s="64"/>
      <c r="ABF3" s="64"/>
      <c r="ABG3" s="64"/>
      <c r="ABH3" s="64"/>
      <c r="ABI3" s="64"/>
      <c r="ABJ3" s="64"/>
      <c r="ABK3" s="64"/>
      <c r="ABL3" s="64"/>
      <c r="ABM3" s="64"/>
      <c r="ABN3" s="64"/>
      <c r="ABO3" s="64"/>
      <c r="ABP3" s="64"/>
      <c r="ABQ3" s="64"/>
      <c r="ABR3" s="64"/>
      <c r="ABS3" s="64"/>
      <c r="ABT3" s="64"/>
      <c r="ABU3" s="64"/>
      <c r="ABV3" s="64"/>
      <c r="ABW3" s="64"/>
      <c r="ABX3" s="64"/>
      <c r="ABY3" s="64"/>
      <c r="ABZ3" s="64"/>
      <c r="ACA3" s="64"/>
      <c r="ACB3" s="64"/>
      <c r="ACC3" s="64"/>
      <c r="ACD3" s="64"/>
      <c r="ACE3" s="64"/>
      <c r="ACF3" s="64"/>
      <c r="ACG3" s="64"/>
      <c r="ACH3" s="64"/>
      <c r="ACI3" s="64"/>
      <c r="ACJ3" s="64"/>
      <c r="ACK3" s="64"/>
      <c r="ACL3" s="64"/>
      <c r="ACM3" s="64"/>
      <c r="ACN3" s="64"/>
      <c r="ACO3" s="64"/>
      <c r="ACP3" s="64"/>
      <c r="ACQ3" s="64"/>
      <c r="ACR3" s="64"/>
      <c r="ACS3" s="64"/>
      <c r="ACT3" s="64"/>
      <c r="ACU3" s="64"/>
      <c r="ACV3" s="64"/>
      <c r="ACW3" s="64"/>
      <c r="ACX3" s="64"/>
      <c r="ACY3" s="64"/>
      <c r="ACZ3" s="64"/>
      <c r="ADA3" s="64"/>
      <c r="ADB3" s="64"/>
      <c r="ADC3" s="64"/>
      <c r="ADD3" s="64"/>
      <c r="ADE3" s="64"/>
      <c r="ADF3" s="64"/>
      <c r="ADG3" s="64"/>
      <c r="ADH3" s="64"/>
      <c r="ADI3" s="64"/>
      <c r="ADJ3" s="64"/>
      <c r="ADK3" s="64"/>
      <c r="ADL3" s="64"/>
      <c r="ADM3" s="64"/>
      <c r="ADN3" s="64"/>
      <c r="ADO3" s="64"/>
      <c r="ADP3" s="64"/>
      <c r="ADQ3" s="64"/>
      <c r="ADR3" s="64"/>
      <c r="ADS3" s="64"/>
      <c r="ADT3" s="64"/>
      <c r="ADU3" s="64"/>
      <c r="ADV3" s="64"/>
      <c r="ADW3" s="64"/>
      <c r="ADX3" s="64"/>
      <c r="ADY3" s="64"/>
      <c r="ADZ3" s="64"/>
      <c r="AEA3" s="64"/>
      <c r="AEB3" s="64"/>
      <c r="AEC3" s="64"/>
      <c r="AED3" s="64"/>
      <c r="AEE3" s="64"/>
      <c r="AEF3" s="64"/>
      <c r="AEG3" s="64"/>
      <c r="AEH3" s="64"/>
      <c r="AEI3" s="64"/>
      <c r="AEJ3" s="64"/>
      <c r="AEK3" s="64"/>
      <c r="AEL3" s="64"/>
      <c r="AEM3" s="64"/>
      <c r="AEN3" s="64"/>
      <c r="AEO3" s="64"/>
      <c r="AEP3" s="64"/>
      <c r="AEQ3" s="64"/>
      <c r="AER3" s="64"/>
      <c r="AES3" s="64"/>
      <c r="AET3" s="64"/>
      <c r="AEU3" s="64"/>
      <c r="AEV3" s="64"/>
      <c r="AEW3" s="64"/>
      <c r="AEX3" s="64"/>
      <c r="AEY3" s="64"/>
      <c r="AEZ3" s="64"/>
      <c r="AFA3" s="64"/>
      <c r="AFB3" s="64"/>
      <c r="AFC3" s="64"/>
      <c r="AFD3" s="64"/>
      <c r="AFE3" s="64"/>
      <c r="AFF3" s="64"/>
      <c r="AFG3" s="64"/>
      <c r="AFH3" s="64"/>
      <c r="AFI3" s="64"/>
      <c r="AFJ3" s="64"/>
      <c r="AFK3" s="64"/>
      <c r="AFL3" s="64"/>
      <c r="AFM3" s="64"/>
      <c r="AFN3" s="64"/>
      <c r="AFO3" s="64"/>
      <c r="AFP3" s="64"/>
      <c r="AFQ3" s="64"/>
      <c r="AFR3" s="64"/>
      <c r="AFS3" s="64"/>
      <c r="AFT3" s="64"/>
      <c r="AFU3" s="64"/>
      <c r="AFV3" s="64"/>
      <c r="AFW3" s="64"/>
      <c r="AFX3" s="64"/>
      <c r="AFY3" s="64"/>
      <c r="AFZ3" s="64"/>
      <c r="AGA3" s="64"/>
      <c r="AGB3" s="64"/>
      <c r="AGC3" s="64"/>
      <c r="AGD3" s="64"/>
      <c r="AGE3" s="64"/>
      <c r="AGF3" s="64"/>
      <c r="AGG3" s="64"/>
      <c r="AGH3" s="64"/>
      <c r="AGI3" s="64"/>
      <c r="AGJ3" s="64"/>
      <c r="AGK3" s="64"/>
      <c r="AGL3" s="64"/>
      <c r="AGM3" s="64"/>
      <c r="AGN3" s="64"/>
      <c r="AGO3" s="64"/>
      <c r="AGP3" s="64"/>
      <c r="AGQ3" s="64"/>
      <c r="AGR3" s="64"/>
      <c r="AGS3" s="64"/>
      <c r="AGT3" s="64"/>
      <c r="AGU3" s="64"/>
      <c r="AGV3" s="64"/>
      <c r="AGW3" s="64"/>
      <c r="AGX3" s="64"/>
      <c r="AGY3" s="64"/>
      <c r="AGZ3" s="64"/>
      <c r="AHA3" s="64"/>
      <c r="AHB3" s="64"/>
      <c r="AHC3" s="64"/>
      <c r="AHD3" s="64"/>
      <c r="AHE3" s="64"/>
      <c r="AHF3" s="64"/>
      <c r="AHG3" s="64"/>
      <c r="AHH3" s="64"/>
      <c r="AHI3" s="64"/>
      <c r="AHJ3" s="64"/>
      <c r="AHK3" s="64"/>
      <c r="AHL3" s="64"/>
      <c r="AHM3" s="64"/>
      <c r="AHN3" s="64"/>
      <c r="AHO3" s="64"/>
      <c r="AHP3" s="64"/>
      <c r="AHQ3" s="64"/>
      <c r="AHR3" s="64"/>
      <c r="AHS3" s="64"/>
      <c r="AHT3" s="64"/>
      <c r="AHU3" s="64"/>
      <c r="AHV3" s="64"/>
      <c r="AHW3" s="64"/>
      <c r="AHX3" s="64"/>
      <c r="AHY3" s="64"/>
      <c r="AHZ3" s="64"/>
      <c r="AIA3" s="64"/>
      <c r="AIB3" s="64"/>
      <c r="AIC3" s="64"/>
      <c r="AID3" s="64"/>
      <c r="AIE3" s="64"/>
      <c r="AIF3" s="64"/>
      <c r="AIG3" s="64"/>
      <c r="AIH3" s="64"/>
      <c r="AII3" s="64"/>
      <c r="AIJ3" s="64"/>
      <c r="AIK3" s="64"/>
      <c r="AIL3" s="64"/>
      <c r="AIM3" s="64"/>
      <c r="AIN3" s="64"/>
      <c r="AIO3" s="64"/>
      <c r="AIP3" s="64"/>
      <c r="AIQ3" s="64"/>
      <c r="AIR3" s="64"/>
      <c r="AIS3" s="64"/>
      <c r="AIT3" s="64"/>
      <c r="AIU3" s="64"/>
      <c r="AIV3" s="64"/>
      <c r="AIW3" s="64"/>
      <c r="AIX3" s="64"/>
      <c r="AIY3" s="64"/>
      <c r="AIZ3" s="64"/>
      <c r="AJA3" s="64"/>
      <c r="AJB3" s="64"/>
      <c r="AJC3" s="64"/>
      <c r="AJD3" s="64"/>
      <c r="AJE3" s="64"/>
      <c r="AJF3" s="64"/>
      <c r="AJG3" s="64"/>
      <c r="AJH3" s="64"/>
      <c r="AJI3" s="64"/>
      <c r="AJJ3" s="64"/>
      <c r="AJK3" s="64"/>
      <c r="AJL3" s="64"/>
      <c r="AJM3" s="64"/>
      <c r="AJN3" s="64"/>
      <c r="AJO3" s="64"/>
      <c r="AJP3" s="64"/>
      <c r="AJQ3" s="64"/>
      <c r="AJR3" s="64"/>
      <c r="AJS3" s="64"/>
      <c r="AJT3" s="64"/>
      <c r="AJU3" s="64"/>
      <c r="AJV3" s="64"/>
      <c r="AJW3" s="64"/>
      <c r="AJX3" s="64"/>
      <c r="AJY3" s="64"/>
      <c r="AJZ3" s="64"/>
      <c r="AKA3" s="64"/>
      <c r="AKB3" s="64"/>
      <c r="AKC3" s="64"/>
      <c r="AKD3" s="64"/>
      <c r="AKE3" s="64"/>
      <c r="AKF3" s="64"/>
      <c r="AKG3" s="64"/>
      <c r="AKH3" s="64"/>
      <c r="AKI3" s="64"/>
      <c r="AKJ3" s="64"/>
      <c r="AKK3" s="64"/>
      <c r="AKL3" s="64"/>
      <c r="AKM3" s="64"/>
      <c r="AKN3" s="64"/>
      <c r="AKO3" s="64"/>
      <c r="AKP3" s="64"/>
      <c r="AKQ3" s="64"/>
      <c r="AKR3" s="64"/>
      <c r="AKS3" s="64"/>
      <c r="AKT3" s="64"/>
      <c r="AKU3" s="64"/>
      <c r="AKV3" s="64"/>
      <c r="AKW3" s="64"/>
      <c r="AKX3" s="64"/>
      <c r="AKY3" s="64"/>
      <c r="AKZ3" s="64"/>
      <c r="ALA3" s="64"/>
      <c r="ALB3" s="64"/>
      <c r="ALC3" s="64"/>
      <c r="ALD3" s="64"/>
      <c r="ALE3" s="64"/>
      <c r="ALF3" s="64"/>
      <c r="ALG3" s="64"/>
      <c r="ALH3" s="64"/>
      <c r="ALI3" s="64"/>
      <c r="ALJ3" s="64"/>
      <c r="ALK3" s="64"/>
      <c r="ALL3" s="64"/>
      <c r="ALM3" s="64"/>
      <c r="ALN3" s="64"/>
      <c r="ALO3" s="64"/>
      <c r="ALP3" s="64"/>
      <c r="ALQ3" s="64"/>
      <c r="ALR3" s="64"/>
      <c r="ALS3" s="64"/>
      <c r="ALT3" s="64"/>
      <c r="ALU3" s="64"/>
      <c r="ALV3" s="64"/>
      <c r="ALW3" s="64"/>
      <c r="ALX3" s="64"/>
      <c r="ALY3" s="64"/>
      <c r="ALZ3" s="64"/>
      <c r="AMA3" s="64"/>
      <c r="AMB3" s="64"/>
      <c r="AMC3" s="64"/>
      <c r="AMD3" s="64"/>
      <c r="AME3" s="64"/>
      <c r="AMF3" s="64"/>
      <c r="AMG3" s="64"/>
      <c r="AMH3" s="64"/>
      <c r="AMI3" s="64"/>
      <c r="AMJ3" s="64"/>
      <c r="AMK3" s="64"/>
      <c r="AML3" s="64"/>
      <c r="AMM3" s="64"/>
      <c r="AMN3" s="64"/>
      <c r="AMO3" s="64"/>
      <c r="AMP3" s="64"/>
      <c r="AMQ3" s="64"/>
      <c r="AMR3" s="64"/>
      <c r="AMS3" s="64"/>
      <c r="AMT3" s="64"/>
      <c r="AMU3" s="64"/>
      <c r="AMV3" s="64"/>
      <c r="AMW3" s="64"/>
      <c r="AMX3" s="64"/>
      <c r="AMY3" s="64"/>
      <c r="AMZ3" s="64"/>
      <c r="ANA3" s="64"/>
      <c r="ANB3" s="64"/>
      <c r="ANC3" s="64"/>
      <c r="AND3" s="64"/>
      <c r="ANE3" s="64"/>
      <c r="ANF3" s="64"/>
      <c r="ANG3" s="64"/>
      <c r="ANH3" s="64"/>
      <c r="ANI3" s="64"/>
      <c r="ANJ3" s="64"/>
      <c r="ANK3" s="64"/>
      <c r="ANL3" s="64"/>
      <c r="ANM3" s="64"/>
      <c r="ANN3" s="64"/>
      <c r="ANO3" s="64"/>
      <c r="ANP3" s="64"/>
      <c r="ANQ3" s="64"/>
      <c r="ANR3" s="64"/>
      <c r="ANS3" s="64"/>
      <c r="ANT3" s="64"/>
      <c r="ANU3" s="64"/>
      <c r="ANV3" s="64"/>
      <c r="ANW3" s="64"/>
      <c r="ANX3" s="64"/>
      <c r="ANY3" s="64"/>
      <c r="ANZ3" s="64"/>
      <c r="AOA3" s="64"/>
      <c r="AOB3" s="64"/>
      <c r="AOC3" s="64"/>
      <c r="AOD3" s="64"/>
      <c r="AOE3" s="64"/>
      <c r="AOF3" s="64"/>
      <c r="AOG3" s="64"/>
      <c r="AOH3" s="64"/>
      <c r="AOI3" s="64"/>
      <c r="AOJ3" s="64"/>
      <c r="AOK3" s="64"/>
      <c r="AOL3" s="64"/>
      <c r="AOM3" s="64"/>
      <c r="AON3" s="64"/>
      <c r="AOO3" s="64"/>
      <c r="AOP3" s="64"/>
      <c r="AOQ3" s="64"/>
      <c r="AOR3" s="64"/>
      <c r="AOS3" s="64"/>
      <c r="AOT3" s="64"/>
      <c r="AOU3" s="64"/>
      <c r="AOV3" s="64"/>
      <c r="AOW3" s="64"/>
      <c r="AOX3" s="64"/>
      <c r="AOY3" s="64"/>
      <c r="AOZ3" s="64"/>
      <c r="APA3" s="64"/>
      <c r="APB3" s="64"/>
      <c r="APC3" s="64"/>
      <c r="APD3" s="64"/>
      <c r="APE3" s="64"/>
      <c r="APF3" s="64"/>
      <c r="APG3" s="64"/>
      <c r="APH3" s="64"/>
      <c r="API3" s="64"/>
      <c r="APJ3" s="64"/>
      <c r="APK3" s="64"/>
      <c r="APL3" s="64"/>
      <c r="APM3" s="64"/>
      <c r="APN3" s="64"/>
      <c r="APO3" s="64"/>
      <c r="APP3" s="64"/>
      <c r="APQ3" s="64"/>
      <c r="APR3" s="64"/>
      <c r="APS3" s="64"/>
      <c r="APT3" s="64"/>
      <c r="APU3" s="64"/>
      <c r="APV3" s="64"/>
      <c r="APW3" s="64"/>
      <c r="APX3" s="64"/>
      <c r="APY3" s="64"/>
      <c r="APZ3" s="64"/>
      <c r="AQA3" s="64"/>
      <c r="AQB3" s="64"/>
      <c r="AQC3" s="64"/>
      <c r="AQD3" s="64"/>
      <c r="AQE3" s="64"/>
      <c r="AQF3" s="64"/>
      <c r="AQG3" s="64"/>
      <c r="AQH3" s="64"/>
      <c r="AQI3" s="64"/>
      <c r="AQJ3" s="64"/>
      <c r="AQK3" s="64"/>
      <c r="AQL3" s="64"/>
      <c r="AQM3" s="64"/>
      <c r="AQN3" s="64"/>
      <c r="AQO3" s="64"/>
      <c r="AQP3" s="64"/>
      <c r="AQQ3" s="64"/>
      <c r="AQR3" s="64"/>
      <c r="AQS3" s="64"/>
      <c r="AQT3" s="64"/>
      <c r="AQU3" s="64"/>
      <c r="AQV3" s="64"/>
      <c r="AQW3" s="64"/>
      <c r="AQX3" s="64"/>
      <c r="AQY3" s="64"/>
      <c r="AQZ3" s="64"/>
      <c r="ARA3" s="64"/>
      <c r="ARB3" s="64"/>
      <c r="ARC3" s="64"/>
      <c r="ARD3" s="64"/>
      <c r="ARE3" s="64"/>
      <c r="ARF3" s="64"/>
      <c r="ARG3" s="64"/>
      <c r="ARH3" s="64"/>
      <c r="ARI3" s="64"/>
      <c r="ARJ3" s="64"/>
      <c r="ARK3" s="64"/>
      <c r="ARL3" s="64"/>
      <c r="ARM3" s="64"/>
      <c r="ARN3" s="64"/>
      <c r="ARO3" s="64"/>
      <c r="ARP3" s="64"/>
      <c r="ARQ3" s="64"/>
      <c r="ARR3" s="64"/>
      <c r="ARS3" s="64"/>
      <c r="ART3" s="64"/>
      <c r="ARU3" s="64"/>
      <c r="ARV3" s="64"/>
      <c r="ARW3" s="64"/>
      <c r="ARX3" s="64"/>
      <c r="ARY3" s="64"/>
      <c r="ARZ3" s="64"/>
      <c r="ASA3" s="64"/>
      <c r="ASB3" s="64"/>
      <c r="ASC3" s="64"/>
      <c r="ASD3" s="64"/>
      <c r="ASE3" s="64"/>
      <c r="ASF3" s="64"/>
      <c r="ASG3" s="64"/>
      <c r="ASH3" s="64"/>
      <c r="ASI3" s="64"/>
      <c r="ASJ3" s="64"/>
      <c r="ASK3" s="64"/>
      <c r="ASL3" s="64"/>
      <c r="ASM3" s="64"/>
      <c r="ASN3" s="64"/>
      <c r="ASO3" s="64"/>
      <c r="ASP3" s="64"/>
      <c r="ASQ3" s="64"/>
      <c r="ASR3" s="64"/>
      <c r="ASS3" s="64"/>
      <c r="AST3" s="64"/>
      <c r="ASU3" s="64"/>
      <c r="ASV3" s="64"/>
      <c r="ASW3" s="64"/>
      <c r="ASX3" s="64"/>
      <c r="ASY3" s="64"/>
      <c r="ASZ3" s="64"/>
      <c r="ATA3" s="64"/>
      <c r="ATB3" s="64"/>
      <c r="ATC3" s="64"/>
      <c r="ATD3" s="64"/>
      <c r="ATE3" s="64"/>
      <c r="ATF3" s="64"/>
      <c r="ATG3" s="64"/>
      <c r="ATH3" s="64"/>
      <c r="ATI3" s="64"/>
      <c r="ATJ3" s="64"/>
      <c r="ATK3" s="64"/>
      <c r="ATL3" s="64"/>
      <c r="ATM3" s="64"/>
      <c r="ATN3" s="64"/>
      <c r="ATO3" s="64"/>
      <c r="ATP3" s="64"/>
      <c r="ATQ3" s="64"/>
      <c r="ATR3" s="64"/>
      <c r="ATS3" s="64"/>
      <c r="ATT3" s="64"/>
      <c r="ATU3" s="64"/>
      <c r="ATV3" s="64"/>
      <c r="ATW3" s="64"/>
      <c r="ATX3" s="64"/>
      <c r="ATY3" s="64"/>
      <c r="ATZ3" s="64"/>
      <c r="AUA3" s="64"/>
      <c r="AUB3" s="64"/>
      <c r="AUC3" s="64"/>
      <c r="AUD3" s="64"/>
      <c r="AUE3" s="64"/>
      <c r="AUF3" s="64"/>
      <c r="AUG3" s="64"/>
      <c r="AUH3" s="64"/>
      <c r="AUI3" s="64"/>
      <c r="AUJ3" s="64"/>
      <c r="AUK3" s="64"/>
      <c r="AUL3" s="64"/>
      <c r="AUM3" s="64"/>
      <c r="AUN3" s="64"/>
      <c r="AUO3" s="64"/>
      <c r="AUP3" s="64"/>
      <c r="AUQ3" s="64"/>
      <c r="AUR3" s="64"/>
      <c r="AUS3" s="64"/>
      <c r="AUT3" s="64"/>
      <c r="AUU3" s="64"/>
      <c r="AUV3" s="64"/>
      <c r="AUW3" s="64"/>
      <c r="AUX3" s="64"/>
      <c r="AUY3" s="64"/>
      <c r="AUZ3" s="64"/>
      <c r="AVA3" s="64"/>
      <c r="AVB3" s="64"/>
      <c r="AVC3" s="64"/>
      <c r="AVD3" s="64"/>
      <c r="AVE3" s="64"/>
      <c r="AVF3" s="64"/>
      <c r="AVG3" s="64"/>
      <c r="AVH3" s="64"/>
      <c r="AVI3" s="64"/>
      <c r="AVJ3" s="64"/>
      <c r="AVK3" s="64"/>
      <c r="AVL3" s="64"/>
      <c r="AVM3" s="64"/>
      <c r="AVN3" s="64"/>
      <c r="AVO3" s="64"/>
      <c r="AVP3" s="64"/>
      <c r="AVQ3" s="64"/>
      <c r="AVR3" s="64"/>
      <c r="AVS3" s="64"/>
      <c r="AVT3" s="64"/>
      <c r="AVU3" s="64"/>
      <c r="AVV3" s="64"/>
      <c r="AVW3" s="64"/>
      <c r="AVX3" s="64"/>
      <c r="AVY3" s="64"/>
      <c r="AVZ3" s="64"/>
      <c r="AWA3" s="64"/>
      <c r="AWB3" s="64"/>
      <c r="AWC3" s="64"/>
      <c r="AWD3" s="64"/>
      <c r="AWE3" s="64"/>
      <c r="AWF3" s="64"/>
      <c r="AWG3" s="64"/>
      <c r="AWH3" s="64"/>
      <c r="AWI3" s="64"/>
      <c r="AWJ3" s="64"/>
      <c r="AWK3" s="64"/>
      <c r="AWL3" s="64"/>
      <c r="AWM3" s="64"/>
      <c r="AWN3" s="64"/>
      <c r="AWO3" s="64"/>
      <c r="AWP3" s="64"/>
      <c r="AWQ3" s="64"/>
      <c r="AWR3" s="64"/>
      <c r="AWS3" s="64"/>
      <c r="AWT3" s="64"/>
      <c r="AWU3" s="64"/>
      <c r="AWV3" s="64"/>
      <c r="AWW3" s="64"/>
      <c r="AWX3" s="64"/>
      <c r="AWY3" s="64"/>
      <c r="AWZ3" s="64"/>
      <c r="AXA3" s="64"/>
      <c r="AXB3" s="64"/>
      <c r="AXC3" s="64"/>
      <c r="AXD3" s="64"/>
      <c r="AXE3" s="64"/>
      <c r="AXF3" s="64"/>
      <c r="AXG3" s="64"/>
      <c r="AXH3" s="64"/>
      <c r="AXI3" s="64"/>
      <c r="AXJ3" s="64"/>
      <c r="AXK3" s="64"/>
      <c r="AXL3" s="64"/>
      <c r="AXM3" s="64"/>
      <c r="AXN3" s="64"/>
      <c r="AXO3" s="64"/>
      <c r="AXP3" s="64"/>
      <c r="AXQ3" s="64"/>
      <c r="AXR3" s="64"/>
      <c r="AXS3" s="64"/>
      <c r="AXT3" s="64"/>
      <c r="AXU3" s="64"/>
      <c r="AXV3" s="64"/>
      <c r="AXW3" s="64"/>
      <c r="AXX3" s="64"/>
      <c r="AXY3" s="64"/>
      <c r="AXZ3" s="64"/>
      <c r="AYA3" s="64"/>
      <c r="AYB3" s="64"/>
      <c r="AYC3" s="64"/>
      <c r="AYD3" s="64"/>
      <c r="AYE3" s="64"/>
      <c r="AYF3" s="64"/>
      <c r="AYG3" s="64"/>
      <c r="AYH3" s="64"/>
      <c r="AYI3" s="64"/>
      <c r="AYJ3" s="64"/>
      <c r="AYK3" s="64"/>
      <c r="AYL3" s="64"/>
      <c r="AYM3" s="64"/>
      <c r="AYN3" s="64"/>
      <c r="AYO3" s="64"/>
      <c r="AYP3" s="64"/>
      <c r="AYQ3" s="64"/>
      <c r="AYR3" s="64"/>
      <c r="AYS3" s="64"/>
      <c r="AYT3" s="64"/>
      <c r="AYU3" s="64"/>
      <c r="AYV3" s="64"/>
      <c r="AYW3" s="64"/>
      <c r="AYX3" s="64"/>
      <c r="AYY3" s="64"/>
      <c r="AYZ3" s="64"/>
      <c r="AZA3" s="64"/>
      <c r="AZB3" s="64"/>
      <c r="AZC3" s="64"/>
      <c r="AZD3" s="64"/>
      <c r="AZE3" s="64"/>
      <c r="AZF3" s="64"/>
      <c r="AZG3" s="64"/>
      <c r="AZH3" s="64"/>
      <c r="AZI3" s="64"/>
      <c r="AZJ3" s="64"/>
      <c r="AZK3" s="64"/>
      <c r="AZL3" s="64"/>
      <c r="AZM3" s="64"/>
      <c r="AZN3" s="64"/>
      <c r="AZO3" s="64"/>
      <c r="AZP3" s="64"/>
      <c r="AZQ3" s="64"/>
      <c r="AZR3" s="64"/>
      <c r="AZS3" s="64"/>
      <c r="AZT3" s="64"/>
      <c r="AZU3" s="64"/>
      <c r="AZV3" s="64"/>
      <c r="AZW3" s="64"/>
      <c r="AZX3" s="64"/>
      <c r="AZY3" s="64"/>
      <c r="AZZ3" s="64"/>
      <c r="BAA3" s="64"/>
      <c r="BAB3" s="64"/>
      <c r="BAC3" s="64"/>
      <c r="BAD3" s="64"/>
      <c r="BAE3" s="64"/>
      <c r="BAF3" s="64"/>
      <c r="BAG3" s="64"/>
      <c r="BAH3" s="64"/>
      <c r="BAI3" s="64"/>
      <c r="BAJ3" s="64"/>
      <c r="BAK3" s="64"/>
      <c r="BAL3" s="64"/>
      <c r="BAM3" s="64"/>
      <c r="BAN3" s="64"/>
      <c r="BAO3" s="64"/>
      <c r="BAP3" s="64"/>
      <c r="BAQ3" s="64"/>
      <c r="BAR3" s="64"/>
      <c r="BAS3" s="64"/>
      <c r="BAT3" s="64"/>
      <c r="BAU3" s="64"/>
      <c r="BAV3" s="64"/>
      <c r="BAW3" s="64"/>
      <c r="BAX3" s="64"/>
      <c r="BAY3" s="64"/>
      <c r="BAZ3" s="64"/>
      <c r="BBA3" s="64"/>
      <c r="BBB3" s="64"/>
      <c r="BBC3" s="64"/>
      <c r="BBD3" s="64"/>
      <c r="BBE3" s="64"/>
      <c r="BBF3" s="64"/>
      <c r="BBG3" s="64"/>
      <c r="BBH3" s="64"/>
      <c r="BBI3" s="64"/>
      <c r="BBJ3" s="64"/>
      <c r="BBK3" s="64"/>
      <c r="BBL3" s="64"/>
      <c r="BBM3" s="64"/>
      <c r="BBN3" s="64"/>
      <c r="BBO3" s="64"/>
      <c r="BBP3" s="64"/>
      <c r="BBQ3" s="64"/>
      <c r="BBR3" s="64"/>
      <c r="BBS3" s="64"/>
      <c r="BBT3" s="64"/>
      <c r="BBU3" s="64"/>
      <c r="BBV3" s="64"/>
      <c r="BBW3" s="64"/>
      <c r="BBX3" s="64"/>
      <c r="BBY3" s="64"/>
      <c r="BBZ3" s="64"/>
      <c r="BCA3" s="64"/>
      <c r="BCB3" s="64"/>
      <c r="BCC3" s="64"/>
      <c r="BCD3" s="64"/>
      <c r="BCE3" s="64"/>
      <c r="BCF3" s="64"/>
      <c r="BCG3" s="64"/>
      <c r="BCH3" s="64"/>
      <c r="BCI3" s="64"/>
      <c r="BCJ3" s="64"/>
      <c r="BCK3" s="64"/>
      <c r="BCL3" s="64"/>
      <c r="BCM3" s="64"/>
      <c r="BCN3" s="64"/>
      <c r="BCO3" s="64"/>
      <c r="BCP3" s="64"/>
      <c r="BCQ3" s="64"/>
      <c r="BCR3" s="64"/>
      <c r="BCS3" s="64"/>
      <c r="BCT3" s="64"/>
      <c r="BCU3" s="64"/>
      <c r="BCV3" s="64"/>
      <c r="BCW3" s="64"/>
      <c r="BCX3" s="64"/>
      <c r="BCY3" s="64"/>
      <c r="BCZ3" s="64"/>
      <c r="BDA3" s="64"/>
      <c r="BDB3" s="64"/>
      <c r="BDC3" s="64"/>
      <c r="BDD3" s="64"/>
      <c r="BDE3" s="64"/>
      <c r="BDF3" s="64"/>
      <c r="BDG3" s="64"/>
      <c r="BDH3" s="64"/>
      <c r="BDI3" s="64"/>
      <c r="BDJ3" s="64"/>
      <c r="BDK3" s="64"/>
      <c r="BDL3" s="64"/>
      <c r="BDM3" s="64"/>
      <c r="BDN3" s="64"/>
      <c r="BDO3" s="64"/>
      <c r="BDP3" s="64"/>
      <c r="BDQ3" s="64"/>
      <c r="BDR3" s="64"/>
      <c r="BDS3" s="64"/>
      <c r="BDT3" s="64"/>
      <c r="BDU3" s="64"/>
      <c r="BDV3" s="64"/>
      <c r="BDW3" s="64"/>
      <c r="BDX3" s="64"/>
      <c r="BDY3" s="64"/>
      <c r="BDZ3" s="64"/>
      <c r="BEA3" s="64"/>
      <c r="BEB3" s="64"/>
      <c r="BEC3" s="64"/>
      <c r="BED3" s="64"/>
      <c r="BEE3" s="64"/>
      <c r="BEF3" s="64"/>
      <c r="BEG3" s="64"/>
      <c r="BEH3" s="64"/>
      <c r="BEI3" s="64"/>
      <c r="BEJ3" s="64"/>
      <c r="BEK3" s="64"/>
      <c r="BEL3" s="64"/>
      <c r="BEM3" s="64"/>
      <c r="BEN3" s="64"/>
      <c r="BEO3" s="64"/>
      <c r="BEP3" s="64"/>
      <c r="BEQ3" s="64"/>
      <c r="BER3" s="64"/>
      <c r="BES3" s="64"/>
      <c r="BET3" s="64"/>
      <c r="BEU3" s="64"/>
      <c r="BEV3" s="64"/>
      <c r="BEW3" s="64"/>
      <c r="BEX3" s="64"/>
      <c r="BEY3" s="64"/>
      <c r="BEZ3" s="64"/>
      <c r="BFA3" s="64"/>
      <c r="BFB3" s="64"/>
      <c r="BFC3" s="64"/>
      <c r="BFD3" s="64"/>
      <c r="BFE3" s="64"/>
      <c r="BFF3" s="64"/>
      <c r="BFG3" s="64"/>
      <c r="BFH3" s="64"/>
      <c r="BFI3" s="64"/>
      <c r="BFJ3" s="64"/>
      <c r="BFK3" s="64"/>
      <c r="BFL3" s="64"/>
      <c r="BFM3" s="64"/>
      <c r="BFN3" s="64"/>
      <c r="BFO3" s="64"/>
      <c r="BFP3" s="64"/>
      <c r="BFQ3" s="64"/>
      <c r="BFR3" s="64"/>
      <c r="BFS3" s="64"/>
      <c r="BFT3" s="64"/>
      <c r="BFU3" s="64"/>
      <c r="BFV3" s="64"/>
      <c r="BFW3" s="64"/>
      <c r="BFX3" s="64"/>
      <c r="BFY3" s="64"/>
      <c r="BFZ3" s="64"/>
      <c r="BGA3" s="64"/>
      <c r="BGB3" s="64"/>
      <c r="BGC3" s="64"/>
      <c r="BGD3" s="64"/>
      <c r="BGE3" s="64"/>
      <c r="BGF3" s="64"/>
      <c r="BGG3" s="64"/>
      <c r="BGH3" s="64"/>
      <c r="BGI3" s="64"/>
      <c r="BGJ3" s="64"/>
      <c r="BGK3" s="64"/>
      <c r="BGL3" s="64"/>
      <c r="BGM3" s="64"/>
      <c r="BGN3" s="64"/>
      <c r="BGO3" s="64"/>
      <c r="BGP3" s="64"/>
      <c r="BGQ3" s="64"/>
      <c r="BGR3" s="64"/>
      <c r="BGS3" s="64"/>
      <c r="BGT3" s="64"/>
      <c r="BGU3" s="64"/>
      <c r="BGV3" s="64"/>
      <c r="BGW3" s="64"/>
      <c r="BGX3" s="64"/>
      <c r="BGY3" s="64"/>
      <c r="BGZ3" s="64"/>
      <c r="BHA3" s="64"/>
      <c r="BHB3" s="64"/>
      <c r="BHC3" s="64"/>
      <c r="BHD3" s="64"/>
      <c r="BHE3" s="64"/>
      <c r="BHF3" s="64"/>
      <c r="BHG3" s="64"/>
      <c r="BHH3" s="64"/>
      <c r="BHI3" s="64"/>
      <c r="BHJ3" s="64"/>
      <c r="BHK3" s="64"/>
      <c r="BHL3" s="64"/>
      <c r="BHM3" s="64"/>
      <c r="BHN3" s="64"/>
      <c r="BHO3" s="64"/>
      <c r="BHP3" s="64"/>
      <c r="BHQ3" s="64"/>
      <c r="BHR3" s="64"/>
      <c r="BHS3" s="64"/>
      <c r="BHT3" s="64"/>
      <c r="BHU3" s="64"/>
      <c r="BHV3" s="64"/>
      <c r="BHW3" s="64"/>
      <c r="BHX3" s="64"/>
      <c r="BHY3" s="64"/>
      <c r="BHZ3" s="64"/>
      <c r="BIA3" s="64"/>
      <c r="BIB3" s="64"/>
      <c r="BIC3" s="64"/>
      <c r="BID3" s="64"/>
      <c r="BIE3" s="64"/>
      <c r="BIF3" s="64"/>
      <c r="BIG3" s="64"/>
      <c r="BIH3" s="64"/>
      <c r="BII3" s="64"/>
      <c r="BIJ3" s="64"/>
      <c r="BIK3" s="64"/>
      <c r="BIL3" s="64"/>
      <c r="BIM3" s="64"/>
      <c r="BIN3" s="64"/>
      <c r="BIO3" s="64"/>
      <c r="BIP3" s="64"/>
      <c r="BIQ3" s="64"/>
      <c r="BIR3" s="64"/>
      <c r="BIS3" s="64"/>
      <c r="BIT3" s="64"/>
      <c r="BIU3" s="64"/>
      <c r="BIV3" s="64"/>
      <c r="BIW3" s="64"/>
      <c r="BIX3" s="64"/>
      <c r="BIY3" s="64"/>
      <c r="BIZ3" s="64"/>
      <c r="BJA3" s="64"/>
      <c r="BJB3" s="64"/>
      <c r="BJC3" s="64"/>
      <c r="BJD3" s="64"/>
      <c r="BJE3" s="64"/>
      <c r="BJF3" s="64"/>
      <c r="BJG3" s="64"/>
      <c r="BJH3" s="64"/>
      <c r="BJI3" s="64"/>
      <c r="BJJ3" s="64"/>
      <c r="BJK3" s="64"/>
      <c r="BJL3" s="64"/>
      <c r="BJM3" s="64"/>
      <c r="BJN3" s="64"/>
      <c r="BJO3" s="64"/>
      <c r="BJP3" s="64"/>
      <c r="BJQ3" s="64"/>
      <c r="BJR3" s="64"/>
      <c r="BJS3" s="64"/>
      <c r="BJT3" s="64"/>
      <c r="BJU3" s="64"/>
      <c r="BJV3" s="64"/>
      <c r="BJW3" s="64"/>
      <c r="BJX3" s="64"/>
      <c r="BJY3" s="64"/>
      <c r="BJZ3" s="64"/>
      <c r="BKA3" s="64"/>
      <c r="BKB3" s="64"/>
      <c r="BKC3" s="64"/>
      <c r="BKD3" s="64"/>
      <c r="BKE3" s="64"/>
      <c r="BKF3" s="64"/>
      <c r="BKG3" s="64"/>
      <c r="BKH3" s="64"/>
      <c r="BKI3" s="64"/>
      <c r="BKJ3" s="64"/>
      <c r="BKK3" s="64"/>
      <c r="BKL3" s="64"/>
      <c r="BKM3" s="64"/>
      <c r="BKN3" s="64"/>
      <c r="BKO3" s="64"/>
      <c r="BKP3" s="64"/>
      <c r="BKQ3" s="64"/>
      <c r="BKR3" s="64"/>
      <c r="BKS3" s="64"/>
      <c r="BKT3" s="64"/>
      <c r="BKU3" s="64"/>
      <c r="BKV3" s="64"/>
      <c r="BKW3" s="64"/>
      <c r="BKX3" s="64"/>
      <c r="BKY3" s="64"/>
      <c r="BKZ3" s="64"/>
      <c r="BLA3" s="64"/>
      <c r="BLB3" s="64"/>
      <c r="BLC3" s="64"/>
      <c r="BLD3" s="64"/>
      <c r="BLE3" s="64"/>
      <c r="BLF3" s="64"/>
      <c r="BLG3" s="64"/>
      <c r="BLH3" s="64"/>
      <c r="BLI3" s="64"/>
      <c r="BLJ3" s="64"/>
      <c r="BLK3" s="64"/>
      <c r="BLL3" s="64"/>
      <c r="BLM3" s="64"/>
      <c r="BLN3" s="64"/>
      <c r="BLO3" s="64"/>
      <c r="BLP3" s="64"/>
      <c r="BLQ3" s="64"/>
      <c r="BLR3" s="64"/>
      <c r="BLS3" s="64"/>
      <c r="BLT3" s="64"/>
      <c r="BLU3" s="64"/>
      <c r="BLV3" s="64"/>
      <c r="BLW3" s="64"/>
      <c r="BLX3" s="64"/>
      <c r="BLY3" s="64"/>
      <c r="BLZ3" s="64"/>
      <c r="BMA3" s="64"/>
      <c r="BMB3" s="64"/>
      <c r="BMC3" s="64"/>
      <c r="BMD3" s="64"/>
      <c r="BME3" s="64"/>
      <c r="BMF3" s="64"/>
      <c r="BMG3" s="64"/>
      <c r="BMH3" s="64"/>
      <c r="BMI3" s="64"/>
      <c r="BMJ3" s="64"/>
      <c r="BMK3" s="64"/>
      <c r="BML3" s="64"/>
      <c r="BMM3" s="64"/>
      <c r="BMN3" s="64"/>
      <c r="BMO3" s="64"/>
      <c r="BMP3" s="64"/>
      <c r="BMQ3" s="64"/>
      <c r="BMR3" s="64"/>
      <c r="BMS3" s="64"/>
      <c r="BMT3" s="64"/>
      <c r="BMU3" s="64"/>
      <c r="BMV3" s="64"/>
      <c r="BMW3" s="64"/>
      <c r="BMX3" s="64"/>
      <c r="BMY3" s="64"/>
      <c r="BMZ3" s="64"/>
      <c r="BNA3" s="64"/>
      <c r="BNB3" s="64"/>
      <c r="BNC3" s="64"/>
      <c r="BND3" s="64"/>
      <c r="BNE3" s="64"/>
      <c r="BNF3" s="64"/>
      <c r="BNG3" s="64"/>
      <c r="BNH3" s="64"/>
      <c r="BNI3" s="64"/>
      <c r="BNJ3" s="64"/>
      <c r="BNK3" s="64"/>
      <c r="BNL3" s="64"/>
      <c r="BNM3" s="64"/>
      <c r="BNN3" s="64"/>
      <c r="BNO3" s="64"/>
      <c r="BNP3" s="64"/>
      <c r="BNQ3" s="64"/>
      <c r="BNR3" s="64"/>
      <c r="BNS3" s="64"/>
      <c r="BNT3" s="64"/>
      <c r="BNU3" s="64"/>
      <c r="BNV3" s="64"/>
      <c r="BNW3" s="64"/>
      <c r="BNX3" s="64"/>
      <c r="BNY3" s="64"/>
      <c r="BNZ3" s="64"/>
      <c r="BOA3" s="64"/>
      <c r="BOB3" s="64"/>
      <c r="BOC3" s="64"/>
      <c r="BOD3" s="64"/>
      <c r="BOE3" s="64"/>
      <c r="BOF3" s="64"/>
      <c r="BOG3" s="64"/>
      <c r="BOH3" s="64"/>
      <c r="BOI3" s="64"/>
      <c r="BOJ3" s="64"/>
      <c r="BOK3" s="64"/>
      <c r="BOL3" s="64"/>
      <c r="BOM3" s="64"/>
      <c r="BON3" s="64"/>
      <c r="BOO3" s="64"/>
      <c r="BOP3" s="64"/>
      <c r="BOQ3" s="64"/>
      <c r="BOR3" s="64"/>
      <c r="BOS3" s="64"/>
      <c r="BOT3" s="64"/>
      <c r="BOU3" s="64"/>
      <c r="BOV3" s="64"/>
      <c r="BOW3" s="64"/>
      <c r="BOX3" s="64"/>
      <c r="BOY3" s="64"/>
      <c r="BOZ3" s="64"/>
      <c r="BPA3" s="64"/>
      <c r="BPB3" s="64"/>
      <c r="BPC3" s="64"/>
      <c r="BPD3" s="64"/>
      <c r="BPE3" s="64"/>
      <c r="BPF3" s="64"/>
      <c r="BPG3" s="64"/>
      <c r="BPH3" s="64"/>
      <c r="BPI3" s="64"/>
      <c r="BPJ3" s="64"/>
      <c r="BPK3" s="64"/>
      <c r="BPL3" s="64"/>
      <c r="BPM3" s="64"/>
      <c r="BPN3" s="64"/>
      <c r="BPO3" s="64"/>
      <c r="BPP3" s="64"/>
      <c r="BPQ3" s="64"/>
      <c r="BPR3" s="64"/>
      <c r="BPS3" s="64"/>
      <c r="BPT3" s="64"/>
      <c r="BPU3" s="64"/>
      <c r="BPV3" s="64"/>
      <c r="BPW3" s="64"/>
      <c r="BPX3" s="64"/>
      <c r="BPY3" s="64"/>
      <c r="BPZ3" s="64"/>
      <c r="BQA3" s="64"/>
      <c r="BQB3" s="64"/>
      <c r="BQC3" s="64"/>
      <c r="BQD3" s="64"/>
      <c r="BQE3" s="64"/>
      <c r="BQF3" s="64"/>
      <c r="BQG3" s="64"/>
      <c r="BQH3" s="64"/>
      <c r="BQI3" s="64"/>
      <c r="BQJ3" s="64"/>
      <c r="BQK3" s="64"/>
      <c r="BQL3" s="64"/>
      <c r="BQM3" s="64"/>
      <c r="BQN3" s="64"/>
      <c r="BQO3" s="64"/>
      <c r="BQP3" s="64"/>
      <c r="BQQ3" s="64"/>
      <c r="BQR3" s="64"/>
      <c r="BQS3" s="64"/>
      <c r="BQT3" s="64"/>
      <c r="BQU3" s="64"/>
      <c r="BQV3" s="64"/>
      <c r="BQW3" s="64"/>
      <c r="BQX3" s="64"/>
      <c r="BQY3" s="64"/>
      <c r="BQZ3" s="64"/>
      <c r="BRA3" s="64"/>
      <c r="BRB3" s="64"/>
      <c r="BRC3" s="64"/>
      <c r="BRD3" s="64"/>
      <c r="BRE3" s="64"/>
      <c r="BRF3" s="64"/>
      <c r="BRG3" s="64"/>
      <c r="BRH3" s="64"/>
      <c r="BRI3" s="64"/>
      <c r="BRJ3" s="64"/>
      <c r="BRK3" s="64"/>
      <c r="BRL3" s="64"/>
      <c r="BRM3" s="64"/>
      <c r="BRN3" s="64"/>
      <c r="BRO3" s="64"/>
      <c r="BRP3" s="64"/>
      <c r="BRQ3" s="64"/>
      <c r="BRR3" s="64"/>
      <c r="BRS3" s="64"/>
      <c r="BRT3" s="64"/>
      <c r="BRU3" s="64"/>
      <c r="BRV3" s="64"/>
      <c r="BRW3" s="64"/>
      <c r="BRX3" s="64"/>
      <c r="BRY3" s="64"/>
      <c r="BRZ3" s="64"/>
      <c r="BSA3" s="64"/>
      <c r="BSB3" s="64"/>
      <c r="BSC3" s="64"/>
      <c r="BSD3" s="64"/>
      <c r="BSE3" s="64"/>
      <c r="BSF3" s="64"/>
      <c r="BSG3" s="64"/>
      <c r="BSH3" s="64"/>
      <c r="BSI3" s="64"/>
      <c r="BSJ3" s="64"/>
      <c r="BSK3" s="64"/>
      <c r="BSL3" s="64"/>
      <c r="BSM3" s="64"/>
      <c r="BSN3" s="64"/>
      <c r="BSO3" s="64"/>
      <c r="BSP3" s="64"/>
      <c r="BSQ3" s="64"/>
      <c r="BSR3" s="64"/>
      <c r="BSS3" s="64"/>
      <c r="BST3" s="64"/>
      <c r="BSU3" s="64"/>
      <c r="BSV3" s="64"/>
      <c r="BSW3" s="64"/>
      <c r="BSX3" s="64"/>
      <c r="BSY3" s="64"/>
      <c r="BSZ3" s="64"/>
      <c r="BTA3" s="64"/>
      <c r="BTB3" s="64"/>
      <c r="BTC3" s="64"/>
      <c r="BTD3" s="64"/>
      <c r="BTE3" s="64"/>
      <c r="BTF3" s="64"/>
      <c r="BTG3" s="64"/>
      <c r="BTH3" s="64"/>
      <c r="BTI3" s="64"/>
      <c r="BTJ3" s="64"/>
      <c r="BTK3" s="64"/>
      <c r="BTL3" s="64"/>
      <c r="BTM3" s="64"/>
      <c r="BTN3" s="64"/>
      <c r="BTO3" s="64"/>
      <c r="BTP3" s="64"/>
      <c r="BTQ3" s="64"/>
      <c r="BTR3" s="64"/>
      <c r="BTS3" s="64"/>
      <c r="BTT3" s="64"/>
      <c r="BTU3" s="64"/>
      <c r="BTV3" s="64"/>
      <c r="BTW3" s="64"/>
      <c r="BTX3" s="64"/>
      <c r="BTY3" s="64"/>
      <c r="BTZ3" s="64"/>
      <c r="BUA3" s="64"/>
      <c r="BUB3" s="64"/>
      <c r="BUC3" s="64"/>
      <c r="BUD3" s="64"/>
      <c r="BUE3" s="64"/>
      <c r="BUF3" s="64"/>
      <c r="BUG3" s="64"/>
      <c r="BUH3" s="64"/>
      <c r="BUI3" s="64"/>
      <c r="BUJ3" s="64"/>
      <c r="BUK3" s="64"/>
      <c r="BUL3" s="64"/>
      <c r="BUM3" s="64"/>
      <c r="BUN3" s="64"/>
      <c r="BUO3" s="64"/>
      <c r="BUP3" s="64"/>
      <c r="BUQ3" s="64"/>
      <c r="BUR3" s="64"/>
      <c r="BUS3" s="64"/>
      <c r="BUT3" s="64"/>
      <c r="BUU3" s="64"/>
      <c r="BUV3" s="64"/>
      <c r="BUW3" s="64"/>
      <c r="BUX3" s="64"/>
      <c r="BUY3" s="64"/>
      <c r="BUZ3" s="64"/>
      <c r="BVA3" s="64"/>
      <c r="BVB3" s="64"/>
      <c r="BVC3" s="64"/>
      <c r="BVD3" s="64"/>
      <c r="BVE3" s="64"/>
      <c r="BVF3" s="64"/>
      <c r="BVG3" s="64"/>
      <c r="BVH3" s="64"/>
      <c r="BVI3" s="64"/>
      <c r="BVJ3" s="64"/>
      <c r="BVK3" s="64"/>
      <c r="BVL3" s="64"/>
      <c r="BVM3" s="64"/>
      <c r="BVN3" s="64"/>
      <c r="BVO3" s="64"/>
      <c r="BVP3" s="64"/>
      <c r="BVQ3" s="64"/>
      <c r="BVR3" s="64"/>
      <c r="BVS3" s="64"/>
      <c r="BVT3" s="64"/>
      <c r="BVU3" s="64"/>
      <c r="BVV3" s="64"/>
      <c r="BVW3" s="64"/>
      <c r="BVX3" s="64"/>
      <c r="BVY3" s="64"/>
      <c r="BVZ3" s="64"/>
      <c r="BWA3" s="64"/>
      <c r="BWB3" s="64"/>
      <c r="BWC3" s="64"/>
      <c r="BWD3" s="64"/>
      <c r="BWE3" s="64"/>
      <c r="BWF3" s="64"/>
      <c r="BWG3" s="64"/>
      <c r="BWH3" s="64"/>
      <c r="BWI3" s="64"/>
      <c r="BWJ3" s="64"/>
      <c r="BWK3" s="64"/>
      <c r="BWL3" s="64"/>
      <c r="BWM3" s="64"/>
      <c r="BWN3" s="64"/>
      <c r="BWO3" s="64"/>
      <c r="BWP3" s="64"/>
      <c r="BWQ3" s="64"/>
      <c r="BWR3" s="64"/>
      <c r="BWS3" s="64"/>
      <c r="BWT3" s="64"/>
      <c r="BWU3" s="64"/>
      <c r="BWV3" s="64"/>
      <c r="BWW3" s="64"/>
      <c r="BWX3" s="64"/>
      <c r="BWY3" s="64"/>
      <c r="BWZ3" s="64"/>
      <c r="BXA3" s="64"/>
      <c r="BXB3" s="64"/>
      <c r="BXC3" s="64"/>
      <c r="BXD3" s="64"/>
      <c r="BXE3" s="64"/>
      <c r="BXF3" s="64"/>
      <c r="BXG3" s="64"/>
      <c r="BXH3" s="64"/>
      <c r="BXI3" s="64"/>
      <c r="BXJ3" s="64"/>
      <c r="BXK3" s="64"/>
      <c r="BXL3" s="64"/>
      <c r="BXM3" s="64"/>
      <c r="BXN3" s="64"/>
      <c r="BXO3" s="64"/>
      <c r="BXP3" s="64"/>
      <c r="BXQ3" s="64"/>
      <c r="BXR3" s="64"/>
      <c r="BXS3" s="64"/>
      <c r="BXT3" s="64"/>
      <c r="BXU3" s="64"/>
      <c r="BXV3" s="64"/>
      <c r="BXW3" s="64"/>
      <c r="BXX3" s="64"/>
      <c r="BXY3" s="64"/>
      <c r="BXZ3" s="64"/>
      <c r="BYA3" s="64"/>
      <c r="BYB3" s="64"/>
      <c r="BYC3" s="64"/>
      <c r="BYD3" s="64"/>
      <c r="BYE3" s="64"/>
      <c r="BYF3" s="64"/>
      <c r="BYG3" s="64"/>
      <c r="BYH3" s="64"/>
      <c r="BYI3" s="64"/>
      <c r="BYJ3" s="64"/>
      <c r="BYK3" s="64"/>
      <c r="BYL3" s="64"/>
      <c r="BYM3" s="64"/>
      <c r="BYN3" s="64"/>
      <c r="BYO3" s="64"/>
      <c r="BYP3" s="64"/>
      <c r="BYQ3" s="64"/>
      <c r="BYR3" s="64"/>
      <c r="BYS3" s="64"/>
      <c r="BYT3" s="64"/>
      <c r="BYU3" s="64"/>
      <c r="BYV3" s="64"/>
      <c r="BYW3" s="64"/>
      <c r="BYX3" s="64"/>
      <c r="BYY3" s="64"/>
      <c r="BYZ3" s="64"/>
      <c r="BZA3" s="64"/>
      <c r="BZB3" s="64"/>
      <c r="BZC3" s="64"/>
      <c r="BZD3" s="64"/>
      <c r="BZE3" s="64"/>
      <c r="BZF3" s="64"/>
      <c r="BZG3" s="64"/>
      <c r="BZH3" s="64"/>
      <c r="BZI3" s="64"/>
      <c r="BZJ3" s="64"/>
      <c r="BZK3" s="64"/>
      <c r="BZL3" s="64"/>
      <c r="BZM3" s="64"/>
      <c r="BZN3" s="64"/>
      <c r="BZO3" s="64"/>
      <c r="BZP3" s="64"/>
      <c r="BZQ3" s="64"/>
      <c r="BZR3" s="64"/>
      <c r="BZS3" s="64"/>
      <c r="BZT3" s="64"/>
      <c r="BZU3" s="64"/>
      <c r="BZV3" s="64"/>
      <c r="BZW3" s="64"/>
      <c r="BZX3" s="64"/>
      <c r="BZY3" s="64"/>
      <c r="BZZ3" s="64"/>
      <c r="CAA3" s="64"/>
      <c r="CAB3" s="64"/>
      <c r="CAC3" s="64"/>
      <c r="CAD3" s="64"/>
      <c r="CAE3" s="64"/>
      <c r="CAF3" s="64"/>
      <c r="CAG3" s="64"/>
      <c r="CAH3" s="64"/>
      <c r="CAI3" s="64"/>
      <c r="CAJ3" s="64"/>
      <c r="CAK3" s="64"/>
      <c r="CAL3" s="64"/>
      <c r="CAM3" s="64"/>
      <c r="CAN3" s="64"/>
      <c r="CAO3" s="64"/>
      <c r="CAP3" s="64"/>
      <c r="CAQ3" s="64"/>
      <c r="CAR3" s="64"/>
      <c r="CAS3" s="64"/>
      <c r="CAT3" s="64"/>
      <c r="CAU3" s="64"/>
      <c r="CAV3" s="64"/>
      <c r="CAW3" s="64"/>
      <c r="CAX3" s="64"/>
      <c r="CAY3" s="64"/>
      <c r="CAZ3" s="64"/>
      <c r="CBA3" s="64"/>
      <c r="CBB3" s="64"/>
      <c r="CBC3" s="64"/>
      <c r="CBD3" s="64"/>
      <c r="CBE3" s="64"/>
      <c r="CBF3" s="64"/>
      <c r="CBG3" s="64"/>
      <c r="CBH3" s="64"/>
      <c r="CBI3" s="64"/>
      <c r="CBJ3" s="64"/>
      <c r="CBK3" s="64"/>
      <c r="CBL3" s="64"/>
      <c r="CBM3" s="64"/>
      <c r="CBN3" s="64"/>
      <c r="CBO3" s="64"/>
      <c r="CBP3" s="64"/>
      <c r="CBQ3" s="64"/>
      <c r="CBR3" s="64"/>
      <c r="CBS3" s="64"/>
      <c r="CBT3" s="64"/>
      <c r="CBU3" s="64"/>
      <c r="CBV3" s="64"/>
      <c r="CBW3" s="64"/>
      <c r="CBX3" s="64"/>
      <c r="CBY3" s="64"/>
      <c r="CBZ3" s="64"/>
      <c r="CCA3" s="64"/>
      <c r="CCB3" s="64"/>
      <c r="CCC3" s="64"/>
      <c r="CCD3" s="64"/>
      <c r="CCE3" s="64"/>
      <c r="CCF3" s="64"/>
      <c r="CCG3" s="64"/>
      <c r="CCH3" s="64"/>
      <c r="CCI3" s="64"/>
      <c r="CCJ3" s="64"/>
      <c r="CCK3" s="64"/>
      <c r="CCL3" s="64"/>
      <c r="CCM3" s="64"/>
      <c r="CCN3" s="64"/>
      <c r="CCO3" s="64"/>
      <c r="CCP3" s="64"/>
      <c r="CCQ3" s="64"/>
      <c r="CCR3" s="64"/>
      <c r="CCS3" s="64"/>
      <c r="CCT3" s="64"/>
      <c r="CCU3" s="64"/>
      <c r="CCV3" s="64"/>
      <c r="CCW3" s="64"/>
      <c r="CCX3" s="64"/>
      <c r="CCY3" s="64"/>
      <c r="CCZ3" s="64"/>
      <c r="CDA3" s="64"/>
      <c r="CDB3" s="64"/>
      <c r="CDC3" s="64"/>
      <c r="CDD3" s="64"/>
      <c r="CDE3" s="64"/>
      <c r="CDF3" s="64"/>
      <c r="CDG3" s="64"/>
      <c r="CDH3" s="64"/>
      <c r="CDI3" s="64"/>
      <c r="CDJ3" s="64"/>
      <c r="CDK3" s="64"/>
      <c r="CDL3" s="64"/>
      <c r="CDM3" s="64"/>
      <c r="CDN3" s="64"/>
      <c r="CDO3" s="64"/>
      <c r="CDP3" s="64"/>
      <c r="CDQ3" s="64"/>
      <c r="CDR3" s="64"/>
      <c r="CDS3" s="64"/>
      <c r="CDT3" s="64"/>
      <c r="CDU3" s="64"/>
      <c r="CDV3" s="64"/>
      <c r="CDW3" s="64"/>
      <c r="CDX3" s="64"/>
      <c r="CDY3" s="64"/>
      <c r="CDZ3" s="64"/>
      <c r="CEA3" s="64"/>
      <c r="CEB3" s="64"/>
      <c r="CEC3" s="64"/>
      <c r="CED3" s="64"/>
      <c r="CEE3" s="64"/>
      <c r="CEF3" s="64"/>
      <c r="CEG3" s="64"/>
      <c r="CEH3" s="64"/>
      <c r="CEI3" s="64"/>
      <c r="CEJ3" s="64"/>
      <c r="CEK3" s="64"/>
      <c r="CEL3" s="64"/>
      <c r="CEM3" s="64"/>
      <c r="CEN3" s="64"/>
      <c r="CEO3" s="64"/>
      <c r="CEP3" s="64"/>
      <c r="CEQ3" s="64"/>
      <c r="CER3" s="64"/>
      <c r="CES3" s="64"/>
      <c r="CET3" s="64"/>
      <c r="CEU3" s="64"/>
      <c r="CEV3" s="64"/>
      <c r="CEW3" s="64"/>
      <c r="CEX3" s="64"/>
      <c r="CEY3" s="64"/>
      <c r="CEZ3" s="64"/>
      <c r="CFA3" s="64"/>
      <c r="CFB3" s="64"/>
      <c r="CFC3" s="64"/>
      <c r="CFD3" s="64"/>
      <c r="CFE3" s="64"/>
      <c r="CFF3" s="64"/>
      <c r="CFG3" s="64"/>
      <c r="CFH3" s="64"/>
      <c r="CFI3" s="64"/>
      <c r="CFJ3" s="64"/>
      <c r="CFK3" s="64"/>
      <c r="CFL3" s="64"/>
      <c r="CFM3" s="64"/>
      <c r="CFN3" s="64"/>
      <c r="CFO3" s="64"/>
      <c r="CFP3" s="64"/>
      <c r="CFQ3" s="64"/>
      <c r="CFR3" s="64"/>
      <c r="CFS3" s="64"/>
      <c r="CFT3" s="64"/>
      <c r="CFU3" s="64"/>
      <c r="CFV3" s="64"/>
      <c r="CFW3" s="64"/>
      <c r="CFX3" s="64"/>
      <c r="CFY3" s="64"/>
      <c r="CFZ3" s="64"/>
      <c r="CGA3" s="64"/>
      <c r="CGB3" s="64"/>
      <c r="CGC3" s="64"/>
      <c r="CGD3" s="64"/>
      <c r="CGE3" s="64"/>
      <c r="CGF3" s="64"/>
      <c r="CGG3" s="64"/>
      <c r="CGH3" s="64"/>
      <c r="CGI3" s="64"/>
      <c r="CGJ3" s="64"/>
      <c r="CGK3" s="64"/>
      <c r="CGL3" s="64"/>
      <c r="CGM3" s="64"/>
      <c r="CGN3" s="64"/>
      <c r="CGO3" s="64"/>
      <c r="CGP3" s="64"/>
      <c r="CGQ3" s="64"/>
      <c r="CGR3" s="64"/>
      <c r="CGS3" s="64"/>
      <c r="CGT3" s="64"/>
      <c r="CGU3" s="64"/>
      <c r="CGV3" s="64"/>
      <c r="CGW3" s="64"/>
      <c r="CGX3" s="64"/>
      <c r="CGY3" s="64"/>
      <c r="CGZ3" s="64"/>
      <c r="CHA3" s="64"/>
      <c r="CHB3" s="64"/>
      <c r="CHC3" s="64"/>
      <c r="CHD3" s="64"/>
      <c r="CHE3" s="64"/>
      <c r="CHF3" s="64"/>
      <c r="CHG3" s="64"/>
      <c r="CHH3" s="64"/>
      <c r="CHI3" s="64"/>
      <c r="CHJ3" s="64"/>
      <c r="CHK3" s="64"/>
      <c r="CHL3" s="64"/>
      <c r="CHM3" s="64"/>
      <c r="CHN3" s="64"/>
      <c r="CHO3" s="64"/>
      <c r="CHP3" s="64"/>
      <c r="CHQ3" s="64"/>
      <c r="CHR3" s="64"/>
      <c r="CHS3" s="64"/>
      <c r="CHT3" s="64"/>
      <c r="CHU3" s="64"/>
      <c r="CHV3" s="64"/>
      <c r="CHW3" s="64"/>
      <c r="CHX3" s="64"/>
      <c r="CHY3" s="64"/>
      <c r="CHZ3" s="64"/>
      <c r="CIA3" s="64"/>
      <c r="CIB3" s="64"/>
      <c r="CIC3" s="64"/>
      <c r="CID3" s="64"/>
      <c r="CIE3" s="64"/>
      <c r="CIF3" s="64"/>
      <c r="CIG3" s="64"/>
      <c r="CIH3" s="64"/>
      <c r="CII3" s="64"/>
      <c r="CIJ3" s="64"/>
      <c r="CIK3" s="64"/>
      <c r="CIL3" s="64"/>
      <c r="CIM3" s="64"/>
      <c r="CIN3" s="64"/>
      <c r="CIO3" s="64"/>
      <c r="CIP3" s="64"/>
      <c r="CIQ3" s="64"/>
      <c r="CIR3" s="64"/>
      <c r="CIS3" s="64"/>
      <c r="CIT3" s="64"/>
      <c r="CIU3" s="64"/>
      <c r="CIV3" s="64"/>
      <c r="CIW3" s="64"/>
      <c r="CIX3" s="64"/>
      <c r="CIY3" s="64"/>
      <c r="CIZ3" s="64"/>
      <c r="CJA3" s="64"/>
      <c r="CJB3" s="64"/>
      <c r="CJC3" s="64"/>
      <c r="CJD3" s="64"/>
      <c r="CJE3" s="64"/>
      <c r="CJF3" s="64"/>
      <c r="CJG3" s="64"/>
      <c r="CJH3" s="64"/>
      <c r="CJI3" s="64"/>
      <c r="CJJ3" s="64"/>
      <c r="CJK3" s="64"/>
      <c r="CJL3" s="64"/>
      <c r="CJM3" s="64"/>
      <c r="CJN3" s="64"/>
      <c r="CJO3" s="64"/>
      <c r="CJP3" s="64"/>
      <c r="CJQ3" s="64"/>
      <c r="CJR3" s="64"/>
      <c r="CJS3" s="64"/>
      <c r="CJT3" s="64"/>
      <c r="CJU3" s="64"/>
      <c r="CJV3" s="64"/>
      <c r="CJW3" s="64"/>
      <c r="CJX3" s="64"/>
      <c r="CJY3" s="64"/>
      <c r="CJZ3" s="64"/>
      <c r="CKA3" s="64"/>
      <c r="CKB3" s="64"/>
      <c r="CKC3" s="64"/>
      <c r="CKD3" s="64"/>
      <c r="CKE3" s="64"/>
      <c r="CKF3" s="64"/>
      <c r="CKG3" s="64"/>
      <c r="CKH3" s="64"/>
      <c r="CKI3" s="64"/>
      <c r="CKJ3" s="64"/>
      <c r="CKK3" s="64"/>
      <c r="CKL3" s="64"/>
      <c r="CKM3" s="64"/>
      <c r="CKN3" s="64"/>
      <c r="CKO3" s="64"/>
      <c r="CKP3" s="64"/>
      <c r="CKQ3" s="64"/>
      <c r="CKR3" s="64"/>
      <c r="CKS3" s="64"/>
      <c r="CKT3" s="64"/>
      <c r="CKU3" s="64"/>
      <c r="CKV3" s="64"/>
      <c r="CKW3" s="64"/>
      <c r="CKX3" s="64"/>
      <c r="CKY3" s="64"/>
      <c r="CKZ3" s="64"/>
      <c r="CLA3" s="64"/>
      <c r="CLB3" s="64"/>
      <c r="CLC3" s="64"/>
      <c r="CLD3" s="64"/>
      <c r="CLE3" s="64"/>
      <c r="CLF3" s="64"/>
      <c r="CLG3" s="64"/>
      <c r="CLH3" s="64"/>
      <c r="CLI3" s="64"/>
      <c r="CLJ3" s="64"/>
      <c r="CLK3" s="64"/>
      <c r="CLL3" s="64"/>
      <c r="CLM3" s="64"/>
      <c r="CLN3" s="64"/>
      <c r="CLO3" s="64"/>
      <c r="CLP3" s="64"/>
      <c r="CLQ3" s="64"/>
      <c r="CLR3" s="64"/>
      <c r="CLS3" s="64"/>
      <c r="CLT3" s="64"/>
      <c r="CLU3" s="64"/>
      <c r="CLV3" s="64"/>
      <c r="CLW3" s="64"/>
      <c r="CLX3" s="64"/>
      <c r="CLY3" s="64"/>
      <c r="CLZ3" s="64"/>
      <c r="CMA3" s="64"/>
      <c r="CMB3" s="64"/>
      <c r="CMC3" s="64"/>
      <c r="CMD3" s="64"/>
      <c r="CME3" s="64"/>
      <c r="CMF3" s="64"/>
      <c r="CMG3" s="64"/>
      <c r="CMH3" s="64"/>
      <c r="CMI3" s="64"/>
      <c r="CMJ3" s="64"/>
      <c r="CMK3" s="64"/>
      <c r="CML3" s="64"/>
      <c r="CMM3" s="64"/>
      <c r="CMN3" s="64"/>
      <c r="CMO3" s="64"/>
      <c r="CMP3" s="64"/>
      <c r="CMQ3" s="64"/>
      <c r="CMR3" s="64"/>
      <c r="CMS3" s="64"/>
      <c r="CMT3" s="64"/>
      <c r="CMU3" s="64"/>
      <c r="CMV3" s="64"/>
      <c r="CMW3" s="64"/>
      <c r="CMX3" s="64"/>
      <c r="CMY3" s="64"/>
      <c r="CMZ3" s="64"/>
      <c r="CNA3" s="64"/>
      <c r="CNB3" s="64"/>
      <c r="CNC3" s="64"/>
      <c r="CND3" s="64"/>
      <c r="CNE3" s="64"/>
      <c r="CNF3" s="64"/>
      <c r="CNG3" s="64"/>
      <c r="CNH3" s="64"/>
      <c r="CNI3" s="64"/>
      <c r="CNJ3" s="64"/>
      <c r="CNK3" s="64"/>
      <c r="CNL3" s="64"/>
      <c r="CNM3" s="64"/>
      <c r="CNN3" s="64"/>
      <c r="CNO3" s="64"/>
      <c r="CNP3" s="64"/>
      <c r="CNQ3" s="64"/>
      <c r="CNR3" s="64"/>
      <c r="CNS3" s="64"/>
      <c r="CNT3" s="64"/>
      <c r="CNU3" s="64"/>
      <c r="CNV3" s="64"/>
      <c r="CNW3" s="64"/>
      <c r="CNX3" s="64"/>
      <c r="CNY3" s="64"/>
      <c r="CNZ3" s="64"/>
      <c r="COA3" s="64"/>
      <c r="COB3" s="64"/>
      <c r="COC3" s="64"/>
      <c r="COD3" s="64"/>
      <c r="COE3" s="64"/>
      <c r="COF3" s="64"/>
      <c r="COG3" s="64"/>
      <c r="COH3" s="64"/>
      <c r="COI3" s="64"/>
      <c r="COJ3" s="64"/>
      <c r="COK3" s="64"/>
      <c r="COL3" s="64"/>
      <c r="COM3" s="64"/>
      <c r="CON3" s="64"/>
      <c r="COO3" s="64"/>
      <c r="COP3" s="64"/>
      <c r="COQ3" s="64"/>
      <c r="COR3" s="64"/>
      <c r="COS3" s="64"/>
      <c r="COT3" s="64"/>
      <c r="COU3" s="64"/>
      <c r="COV3" s="64"/>
      <c r="COW3" s="64"/>
      <c r="COX3" s="64"/>
      <c r="COY3" s="64"/>
      <c r="COZ3" s="64"/>
      <c r="CPA3" s="64"/>
      <c r="CPB3" s="64"/>
      <c r="CPC3" s="64"/>
      <c r="CPD3" s="64"/>
      <c r="CPE3" s="64"/>
      <c r="CPF3" s="64"/>
      <c r="CPG3" s="64"/>
      <c r="CPH3" s="64"/>
      <c r="CPI3" s="64"/>
      <c r="CPJ3" s="64"/>
      <c r="CPK3" s="64"/>
      <c r="CPL3" s="64"/>
      <c r="CPM3" s="64"/>
      <c r="CPN3" s="64"/>
      <c r="CPO3" s="64"/>
      <c r="CPP3" s="64"/>
      <c r="CPQ3" s="64"/>
      <c r="CPR3" s="64"/>
      <c r="CPS3" s="64"/>
      <c r="CPT3" s="64"/>
      <c r="CPU3" s="64"/>
      <c r="CPV3" s="64"/>
      <c r="CPW3" s="64"/>
      <c r="CPX3" s="64"/>
      <c r="CPY3" s="64"/>
      <c r="CPZ3" s="64"/>
      <c r="CQA3" s="64"/>
      <c r="CQB3" s="64"/>
      <c r="CQC3" s="64"/>
      <c r="CQD3" s="64"/>
      <c r="CQE3" s="64"/>
      <c r="CQF3" s="64"/>
      <c r="CQG3" s="64"/>
      <c r="CQH3" s="64"/>
      <c r="CQI3" s="64"/>
      <c r="CQJ3" s="64"/>
      <c r="CQK3" s="64"/>
      <c r="CQL3" s="64"/>
      <c r="CQM3" s="64"/>
      <c r="CQN3" s="64"/>
      <c r="CQO3" s="64"/>
      <c r="CQP3" s="64"/>
      <c r="CQQ3" s="64"/>
      <c r="CQR3" s="64"/>
      <c r="CQS3" s="64"/>
      <c r="CQT3" s="64"/>
      <c r="CQU3" s="64"/>
      <c r="CQV3" s="64"/>
      <c r="CQW3" s="64"/>
      <c r="CQX3" s="64"/>
      <c r="CQY3" s="64"/>
      <c r="CQZ3" s="64"/>
      <c r="CRA3" s="64"/>
      <c r="CRB3" s="64"/>
      <c r="CRC3" s="64"/>
      <c r="CRD3" s="64"/>
      <c r="CRE3" s="64"/>
      <c r="CRF3" s="64"/>
      <c r="CRG3" s="64"/>
      <c r="CRH3" s="64"/>
      <c r="CRI3" s="64"/>
      <c r="CRJ3" s="64"/>
      <c r="CRK3" s="64"/>
      <c r="CRL3" s="64"/>
      <c r="CRM3" s="64"/>
      <c r="CRN3" s="64"/>
      <c r="CRO3" s="64"/>
      <c r="CRP3" s="64"/>
      <c r="CRQ3" s="64"/>
      <c r="CRR3" s="64"/>
      <c r="CRS3" s="64"/>
      <c r="CRT3" s="64"/>
      <c r="CRU3" s="64"/>
      <c r="CRV3" s="64"/>
      <c r="CRW3" s="64"/>
      <c r="CRX3" s="64"/>
      <c r="CRY3" s="64"/>
      <c r="CRZ3" s="64"/>
      <c r="CSA3" s="64"/>
      <c r="CSB3" s="64"/>
      <c r="CSC3" s="64"/>
      <c r="CSD3" s="64"/>
      <c r="CSE3" s="64"/>
      <c r="CSF3" s="64"/>
      <c r="CSG3" s="64"/>
      <c r="CSH3" s="64"/>
      <c r="CSI3" s="64"/>
      <c r="CSJ3" s="64"/>
      <c r="CSK3" s="64"/>
      <c r="CSL3" s="64"/>
      <c r="CSM3" s="64"/>
      <c r="CSN3" s="64"/>
      <c r="CSO3" s="64"/>
      <c r="CSP3" s="64"/>
      <c r="CSQ3" s="64"/>
      <c r="CSR3" s="64"/>
      <c r="CSS3" s="64"/>
      <c r="CST3" s="64"/>
      <c r="CSU3" s="64"/>
      <c r="CSV3" s="64"/>
      <c r="CSW3" s="64"/>
      <c r="CSX3" s="64"/>
      <c r="CSY3" s="64"/>
      <c r="CSZ3" s="64"/>
      <c r="CTA3" s="64"/>
      <c r="CTB3" s="64"/>
      <c r="CTC3" s="64"/>
      <c r="CTD3" s="64"/>
      <c r="CTE3" s="64"/>
      <c r="CTF3" s="64"/>
      <c r="CTG3" s="64"/>
      <c r="CTH3" s="64"/>
      <c r="CTI3" s="64"/>
      <c r="CTJ3" s="64"/>
      <c r="CTK3" s="64"/>
      <c r="CTL3" s="64"/>
      <c r="CTM3" s="64"/>
      <c r="CTN3" s="64"/>
      <c r="CTO3" s="64"/>
      <c r="CTP3" s="64"/>
      <c r="CTQ3" s="64"/>
      <c r="CTR3" s="64"/>
      <c r="CTS3" s="64"/>
      <c r="CTT3" s="64"/>
      <c r="CTU3" s="64"/>
      <c r="CTV3" s="64"/>
      <c r="CTW3" s="64"/>
      <c r="CTX3" s="64"/>
      <c r="CTY3" s="64"/>
      <c r="CTZ3" s="64"/>
      <c r="CUA3" s="64"/>
      <c r="CUB3" s="64"/>
      <c r="CUC3" s="64"/>
      <c r="CUD3" s="64"/>
      <c r="CUE3" s="64"/>
      <c r="CUF3" s="64"/>
      <c r="CUG3" s="64"/>
      <c r="CUH3" s="64"/>
      <c r="CUI3" s="64"/>
      <c r="CUJ3" s="64"/>
      <c r="CUK3" s="64"/>
      <c r="CUL3" s="64"/>
      <c r="CUM3" s="64"/>
      <c r="CUN3" s="64"/>
      <c r="CUO3" s="64"/>
      <c r="CUP3" s="64"/>
      <c r="CUQ3" s="64"/>
      <c r="CUR3" s="64"/>
      <c r="CUS3" s="64"/>
      <c r="CUT3" s="64"/>
      <c r="CUU3" s="64"/>
      <c r="CUV3" s="64"/>
      <c r="CUW3" s="64"/>
      <c r="CUX3" s="64"/>
      <c r="CUY3" s="64"/>
      <c r="CUZ3" s="64"/>
      <c r="CVA3" s="64"/>
      <c r="CVB3" s="64"/>
      <c r="CVC3" s="64"/>
      <c r="CVD3" s="64"/>
      <c r="CVE3" s="64"/>
      <c r="CVF3" s="64"/>
      <c r="CVG3" s="64"/>
      <c r="CVH3" s="64"/>
      <c r="CVI3" s="64"/>
      <c r="CVJ3" s="64"/>
      <c r="CVK3" s="64"/>
      <c r="CVL3" s="64"/>
      <c r="CVM3" s="64"/>
      <c r="CVN3" s="64"/>
      <c r="CVO3" s="64"/>
      <c r="CVP3" s="64"/>
      <c r="CVQ3" s="64"/>
      <c r="CVR3" s="64"/>
      <c r="CVS3" s="64"/>
      <c r="CVT3" s="64"/>
      <c r="CVU3" s="64"/>
      <c r="CVV3" s="64"/>
      <c r="CVW3" s="64"/>
      <c r="CVX3" s="64"/>
      <c r="CVY3" s="64"/>
      <c r="CVZ3" s="64"/>
      <c r="CWA3" s="64"/>
      <c r="CWB3" s="64"/>
      <c r="CWC3" s="64"/>
      <c r="CWD3" s="64"/>
      <c r="CWE3" s="64"/>
      <c r="CWF3" s="64"/>
      <c r="CWG3" s="64"/>
      <c r="CWH3" s="64"/>
      <c r="CWI3" s="64"/>
      <c r="CWJ3" s="64"/>
      <c r="CWK3" s="64"/>
      <c r="CWL3" s="64"/>
      <c r="CWM3" s="64"/>
      <c r="CWN3" s="64"/>
      <c r="CWO3" s="64"/>
      <c r="CWP3" s="64"/>
      <c r="CWQ3" s="64"/>
      <c r="CWR3" s="64"/>
      <c r="CWS3" s="64"/>
      <c r="CWT3" s="64"/>
      <c r="CWU3" s="64"/>
      <c r="CWV3" s="64"/>
      <c r="CWW3" s="64"/>
      <c r="CWX3" s="64"/>
      <c r="CWY3" s="64"/>
      <c r="CWZ3" s="64"/>
      <c r="CXA3" s="64"/>
      <c r="CXB3" s="64"/>
      <c r="CXC3" s="64"/>
      <c r="CXD3" s="64"/>
      <c r="CXE3" s="64"/>
      <c r="CXF3" s="64"/>
      <c r="CXG3" s="64"/>
      <c r="CXH3" s="64"/>
      <c r="CXI3" s="64"/>
      <c r="CXJ3" s="64"/>
      <c r="CXK3" s="64"/>
      <c r="CXL3" s="64"/>
      <c r="CXM3" s="64"/>
      <c r="CXN3" s="64"/>
      <c r="CXO3" s="64"/>
      <c r="CXP3" s="64"/>
      <c r="CXQ3" s="64"/>
      <c r="CXR3" s="64"/>
      <c r="CXS3" s="64"/>
      <c r="CXT3" s="64"/>
      <c r="CXU3" s="64"/>
      <c r="CXV3" s="64"/>
      <c r="CXW3" s="64"/>
      <c r="CXX3" s="64"/>
      <c r="CXY3" s="64"/>
      <c r="CXZ3" s="64"/>
      <c r="CYA3" s="64"/>
      <c r="CYB3" s="64"/>
      <c r="CYC3" s="64"/>
      <c r="CYD3" s="64"/>
      <c r="CYE3" s="64"/>
      <c r="CYF3" s="64"/>
      <c r="CYG3" s="64"/>
      <c r="CYH3" s="64"/>
      <c r="CYI3" s="64"/>
      <c r="CYJ3" s="64"/>
      <c r="CYK3" s="64"/>
      <c r="CYL3" s="64"/>
      <c r="CYM3" s="64"/>
      <c r="CYN3" s="64"/>
      <c r="CYO3" s="64"/>
      <c r="CYP3" s="64"/>
      <c r="CYQ3" s="64"/>
      <c r="CYR3" s="64"/>
      <c r="CYS3" s="64"/>
      <c r="CYT3" s="64"/>
      <c r="CYU3" s="64"/>
      <c r="CYV3" s="64"/>
      <c r="CYW3" s="64"/>
      <c r="CYX3" s="64"/>
      <c r="CYY3" s="64"/>
      <c r="CYZ3" s="64"/>
      <c r="CZA3" s="64"/>
      <c r="CZB3" s="64"/>
      <c r="CZC3" s="64"/>
      <c r="CZD3" s="64"/>
      <c r="CZE3" s="64"/>
      <c r="CZF3" s="64"/>
      <c r="CZG3" s="64"/>
      <c r="CZH3" s="64"/>
      <c r="CZI3" s="64"/>
      <c r="CZJ3" s="64"/>
      <c r="CZK3" s="64"/>
      <c r="CZL3" s="64"/>
      <c r="CZM3" s="64"/>
      <c r="CZN3" s="64"/>
      <c r="CZO3" s="64"/>
      <c r="CZP3" s="64"/>
      <c r="CZQ3" s="64"/>
      <c r="CZR3" s="64"/>
      <c r="CZS3" s="64"/>
      <c r="CZT3" s="64"/>
      <c r="CZU3" s="64"/>
      <c r="CZV3" s="64"/>
      <c r="CZW3" s="64"/>
      <c r="CZX3" s="64"/>
      <c r="CZY3" s="64"/>
      <c r="CZZ3" s="64"/>
      <c r="DAA3" s="64"/>
      <c r="DAB3" s="64"/>
      <c r="DAC3" s="64"/>
      <c r="DAD3" s="64"/>
      <c r="DAE3" s="64"/>
      <c r="DAF3" s="64"/>
      <c r="DAG3" s="64"/>
      <c r="DAH3" s="64"/>
      <c r="DAI3" s="64"/>
      <c r="DAJ3" s="64"/>
      <c r="DAK3" s="64"/>
      <c r="DAL3" s="64"/>
      <c r="DAM3" s="64"/>
      <c r="DAN3" s="64"/>
      <c r="DAO3" s="64"/>
      <c r="DAP3" s="64"/>
      <c r="DAQ3" s="64"/>
      <c r="DAR3" s="64"/>
      <c r="DAS3" s="64"/>
      <c r="DAT3" s="64"/>
      <c r="DAU3" s="64"/>
      <c r="DAV3" s="64"/>
      <c r="DAW3" s="64"/>
      <c r="DAX3" s="64"/>
      <c r="DAY3" s="64"/>
      <c r="DAZ3" s="64"/>
      <c r="DBA3" s="64"/>
      <c r="DBB3" s="64"/>
      <c r="DBC3" s="64"/>
      <c r="DBD3" s="64"/>
      <c r="DBE3" s="64"/>
      <c r="DBF3" s="64"/>
      <c r="DBG3" s="64"/>
      <c r="DBH3" s="64"/>
      <c r="DBI3" s="64"/>
      <c r="DBJ3" s="64"/>
      <c r="DBK3" s="64"/>
      <c r="DBL3" s="64"/>
      <c r="DBM3" s="64"/>
      <c r="DBN3" s="64"/>
      <c r="DBO3" s="64"/>
      <c r="DBP3" s="64"/>
      <c r="DBQ3" s="64"/>
      <c r="DBR3" s="64"/>
      <c r="DBS3" s="64"/>
      <c r="DBT3" s="64"/>
      <c r="DBU3" s="64"/>
      <c r="DBV3" s="64"/>
      <c r="DBW3" s="64"/>
      <c r="DBX3" s="64"/>
      <c r="DBY3" s="64"/>
      <c r="DBZ3" s="64"/>
      <c r="DCA3" s="64"/>
      <c r="DCB3" s="64"/>
      <c r="DCC3" s="64"/>
      <c r="DCD3" s="64"/>
      <c r="DCE3" s="64"/>
      <c r="DCF3" s="64"/>
      <c r="DCG3" s="64"/>
      <c r="DCH3" s="64"/>
      <c r="DCI3" s="64"/>
      <c r="DCJ3" s="64"/>
      <c r="DCK3" s="64"/>
      <c r="DCL3" s="64"/>
      <c r="DCM3" s="64"/>
      <c r="DCN3" s="64"/>
      <c r="DCO3" s="64"/>
      <c r="DCP3" s="64"/>
      <c r="DCQ3" s="64"/>
      <c r="DCR3" s="64"/>
      <c r="DCS3" s="64"/>
      <c r="DCT3" s="64"/>
      <c r="DCU3" s="64"/>
      <c r="DCV3" s="64"/>
      <c r="DCW3" s="64"/>
      <c r="DCX3" s="64"/>
      <c r="DCY3" s="64"/>
      <c r="DCZ3" s="64"/>
      <c r="DDA3" s="64"/>
      <c r="DDB3" s="64"/>
      <c r="DDC3" s="64"/>
      <c r="DDD3" s="64"/>
      <c r="DDE3" s="64"/>
      <c r="DDF3" s="64"/>
      <c r="DDG3" s="64"/>
      <c r="DDH3" s="64"/>
      <c r="DDI3" s="64"/>
      <c r="DDJ3" s="64"/>
      <c r="DDK3" s="64"/>
      <c r="DDL3" s="64"/>
      <c r="DDM3" s="64"/>
      <c r="DDN3" s="64"/>
      <c r="DDO3" s="64"/>
      <c r="DDP3" s="64"/>
      <c r="DDQ3" s="64"/>
      <c r="DDR3" s="64"/>
      <c r="DDS3" s="64"/>
      <c r="DDT3" s="64"/>
      <c r="DDU3" s="64"/>
      <c r="DDV3" s="64"/>
      <c r="DDW3" s="64"/>
      <c r="DDX3" s="64"/>
      <c r="DDY3" s="64"/>
      <c r="DDZ3" s="64"/>
      <c r="DEA3" s="64"/>
      <c r="DEB3" s="64"/>
      <c r="DEC3" s="64"/>
      <c r="DED3" s="64"/>
      <c r="DEE3" s="64"/>
      <c r="DEF3" s="64"/>
      <c r="DEG3" s="64"/>
      <c r="DEH3" s="64"/>
      <c r="DEI3" s="64"/>
      <c r="DEJ3" s="64"/>
      <c r="DEK3" s="64"/>
      <c r="DEL3" s="64"/>
      <c r="DEM3" s="64"/>
      <c r="DEN3" s="64"/>
      <c r="DEO3" s="64"/>
      <c r="DEP3" s="64"/>
      <c r="DEQ3" s="64"/>
      <c r="DER3" s="64"/>
      <c r="DES3" s="64"/>
      <c r="DET3" s="64"/>
      <c r="DEU3" s="64"/>
      <c r="DEV3" s="64"/>
      <c r="DEW3" s="64"/>
      <c r="DEX3" s="64"/>
      <c r="DEY3" s="64"/>
      <c r="DEZ3" s="64"/>
      <c r="DFA3" s="64"/>
      <c r="DFB3" s="64"/>
      <c r="DFC3" s="64"/>
      <c r="DFD3" s="64"/>
      <c r="DFE3" s="64"/>
      <c r="DFF3" s="64"/>
      <c r="DFG3" s="64"/>
      <c r="DFH3" s="64"/>
      <c r="DFI3" s="64"/>
      <c r="DFJ3" s="64"/>
      <c r="DFK3" s="64"/>
      <c r="DFL3" s="64"/>
      <c r="DFM3" s="64"/>
      <c r="DFN3" s="64"/>
      <c r="DFO3" s="64"/>
      <c r="DFP3" s="64"/>
      <c r="DFQ3" s="64"/>
      <c r="DFR3" s="64"/>
      <c r="DFS3" s="64"/>
      <c r="DFT3" s="64"/>
      <c r="DFU3" s="64"/>
      <c r="DFV3" s="64"/>
      <c r="DFW3" s="64"/>
      <c r="DFX3" s="64"/>
      <c r="DFY3" s="64"/>
      <c r="DFZ3" s="64"/>
      <c r="DGA3" s="64"/>
      <c r="DGB3" s="64"/>
      <c r="DGC3" s="64"/>
      <c r="DGD3" s="64"/>
      <c r="DGE3" s="64"/>
      <c r="DGF3" s="64"/>
      <c r="DGG3" s="64"/>
      <c r="DGH3" s="64"/>
      <c r="DGI3" s="64"/>
      <c r="DGJ3" s="64"/>
      <c r="DGK3" s="64"/>
      <c r="DGL3" s="64"/>
      <c r="DGM3" s="64"/>
      <c r="DGN3" s="64"/>
      <c r="DGO3" s="64"/>
      <c r="DGP3" s="64"/>
      <c r="DGQ3" s="64"/>
      <c r="DGR3" s="64"/>
      <c r="DGS3" s="64"/>
      <c r="DGT3" s="64"/>
      <c r="DGU3" s="64"/>
      <c r="DGV3" s="64"/>
      <c r="DGW3" s="64"/>
      <c r="DGX3" s="64"/>
      <c r="DGY3" s="64"/>
      <c r="DGZ3" s="64"/>
      <c r="DHA3" s="64"/>
      <c r="DHB3" s="64"/>
      <c r="DHC3" s="64"/>
      <c r="DHD3" s="64"/>
      <c r="DHE3" s="64"/>
      <c r="DHF3" s="64"/>
      <c r="DHG3" s="64"/>
      <c r="DHH3" s="64"/>
      <c r="DHI3" s="64"/>
      <c r="DHJ3" s="64"/>
      <c r="DHK3" s="64"/>
      <c r="DHL3" s="64"/>
      <c r="DHM3" s="64"/>
      <c r="DHN3" s="64"/>
      <c r="DHO3" s="64"/>
      <c r="DHP3" s="64"/>
      <c r="DHQ3" s="64"/>
      <c r="DHR3" s="64"/>
      <c r="DHS3" s="64"/>
      <c r="DHT3" s="64"/>
      <c r="DHU3" s="64"/>
      <c r="DHV3" s="64"/>
      <c r="DHW3" s="64"/>
      <c r="DHX3" s="64"/>
      <c r="DHY3" s="64"/>
      <c r="DHZ3" s="64"/>
      <c r="DIA3" s="64"/>
      <c r="DIB3" s="64"/>
      <c r="DIC3" s="64"/>
      <c r="DID3" s="64"/>
      <c r="DIE3" s="64"/>
      <c r="DIF3" s="64"/>
      <c r="DIG3" s="64"/>
      <c r="DIH3" s="64"/>
      <c r="DII3" s="64"/>
      <c r="DIJ3" s="64"/>
      <c r="DIK3" s="64"/>
      <c r="DIL3" s="64"/>
      <c r="DIM3" s="64"/>
      <c r="DIN3" s="64"/>
      <c r="DIO3" s="64"/>
      <c r="DIP3" s="64"/>
      <c r="DIQ3" s="64"/>
      <c r="DIR3" s="64"/>
      <c r="DIS3" s="64"/>
      <c r="DIT3" s="64"/>
      <c r="DIU3" s="64"/>
      <c r="DIV3" s="64"/>
      <c r="DIW3" s="64"/>
      <c r="DIX3" s="64"/>
      <c r="DIY3" s="64"/>
      <c r="DIZ3" s="64"/>
      <c r="DJA3" s="64"/>
      <c r="DJB3" s="64"/>
      <c r="DJC3" s="64"/>
      <c r="DJD3" s="64"/>
      <c r="DJE3" s="64"/>
      <c r="DJF3" s="64"/>
      <c r="DJG3" s="64"/>
      <c r="DJH3" s="64"/>
      <c r="DJI3" s="64"/>
      <c r="DJJ3" s="64"/>
      <c r="DJK3" s="64"/>
      <c r="DJL3" s="64"/>
      <c r="DJM3" s="64"/>
      <c r="DJN3" s="64"/>
      <c r="DJO3" s="64"/>
      <c r="DJP3" s="64"/>
      <c r="DJQ3" s="64"/>
      <c r="DJR3" s="64"/>
      <c r="DJS3" s="64"/>
      <c r="DJT3" s="64"/>
      <c r="DJU3" s="64"/>
      <c r="DJV3" s="64"/>
      <c r="DJW3" s="64"/>
      <c r="DJX3" s="64"/>
      <c r="DJY3" s="64"/>
      <c r="DJZ3" s="64"/>
      <c r="DKA3" s="64"/>
      <c r="DKB3" s="64"/>
      <c r="DKC3" s="64"/>
      <c r="DKD3" s="64"/>
      <c r="DKE3" s="64"/>
      <c r="DKF3" s="64"/>
      <c r="DKG3" s="64"/>
      <c r="DKH3" s="64"/>
      <c r="DKI3" s="64"/>
      <c r="DKJ3" s="64"/>
      <c r="DKK3" s="64"/>
      <c r="DKL3" s="64"/>
      <c r="DKM3" s="64"/>
      <c r="DKN3" s="64"/>
      <c r="DKO3" s="64"/>
      <c r="DKP3" s="64"/>
      <c r="DKQ3" s="64"/>
      <c r="DKR3" s="64"/>
      <c r="DKS3" s="64"/>
      <c r="DKT3" s="64"/>
      <c r="DKU3" s="64"/>
      <c r="DKV3" s="64"/>
      <c r="DKW3" s="64"/>
      <c r="DKX3" s="64"/>
      <c r="DKY3" s="64"/>
      <c r="DKZ3" s="64"/>
      <c r="DLA3" s="64"/>
      <c r="DLB3" s="64"/>
      <c r="DLC3" s="64"/>
      <c r="DLD3" s="64"/>
      <c r="DLE3" s="64"/>
      <c r="DLF3" s="64"/>
      <c r="DLG3" s="64"/>
      <c r="DLH3" s="64"/>
      <c r="DLI3" s="64"/>
      <c r="DLJ3" s="64"/>
      <c r="DLK3" s="64"/>
      <c r="DLL3" s="64"/>
      <c r="DLM3" s="64"/>
      <c r="DLN3" s="64"/>
      <c r="DLO3" s="64"/>
      <c r="DLP3" s="64"/>
      <c r="DLQ3" s="64"/>
      <c r="DLR3" s="64"/>
      <c r="DLS3" s="64"/>
      <c r="DLT3" s="64"/>
      <c r="DLU3" s="64"/>
      <c r="DLV3" s="64"/>
      <c r="DLW3" s="64"/>
      <c r="DLX3" s="64"/>
      <c r="DLY3" s="64"/>
      <c r="DLZ3" s="64"/>
      <c r="DMA3" s="64"/>
      <c r="DMB3" s="64"/>
      <c r="DMC3" s="64"/>
      <c r="DMD3" s="64"/>
      <c r="DME3" s="64"/>
      <c r="DMF3" s="64"/>
      <c r="DMG3" s="64"/>
      <c r="DMH3" s="64"/>
      <c r="DMI3" s="64"/>
      <c r="DMJ3" s="64"/>
      <c r="DMK3" s="64"/>
      <c r="DML3" s="64"/>
      <c r="DMM3" s="64"/>
      <c r="DMN3" s="64"/>
      <c r="DMO3" s="64"/>
      <c r="DMP3" s="64"/>
      <c r="DMQ3" s="64"/>
      <c r="DMR3" s="64"/>
      <c r="DMS3" s="64"/>
      <c r="DMT3" s="64"/>
      <c r="DMU3" s="64"/>
      <c r="DMV3" s="64"/>
      <c r="DMW3" s="64"/>
      <c r="DMX3" s="64"/>
      <c r="DMY3" s="64"/>
      <c r="DMZ3" s="64"/>
      <c r="DNA3" s="64"/>
      <c r="DNB3" s="64"/>
      <c r="DNC3" s="64"/>
      <c r="DND3" s="64"/>
      <c r="DNE3" s="64"/>
      <c r="DNF3" s="64"/>
      <c r="DNG3" s="64"/>
      <c r="DNH3" s="64"/>
      <c r="DNI3" s="64"/>
      <c r="DNJ3" s="64"/>
      <c r="DNK3" s="64"/>
      <c r="DNL3" s="64"/>
      <c r="DNM3" s="64"/>
      <c r="DNN3" s="64"/>
      <c r="DNO3" s="64"/>
      <c r="DNP3" s="64"/>
      <c r="DNQ3" s="64"/>
      <c r="DNR3" s="64"/>
      <c r="DNS3" s="64"/>
      <c r="DNT3" s="64"/>
      <c r="DNU3" s="64"/>
      <c r="DNV3" s="64"/>
      <c r="DNW3" s="64"/>
      <c r="DNX3" s="64"/>
      <c r="DNY3" s="64"/>
      <c r="DNZ3" s="64"/>
      <c r="DOA3" s="64"/>
      <c r="DOB3" s="64"/>
      <c r="DOC3" s="64"/>
      <c r="DOD3" s="64"/>
      <c r="DOE3" s="64"/>
      <c r="DOF3" s="64"/>
      <c r="DOG3" s="64"/>
      <c r="DOH3" s="64"/>
      <c r="DOI3" s="64"/>
      <c r="DOJ3" s="64"/>
      <c r="DOK3" s="64"/>
      <c r="DOL3" s="64"/>
      <c r="DOM3" s="64"/>
      <c r="DON3" s="64"/>
      <c r="DOO3" s="64"/>
      <c r="DOP3" s="64"/>
      <c r="DOQ3" s="64"/>
      <c r="DOR3" s="64"/>
      <c r="DOS3" s="64"/>
      <c r="DOT3" s="64"/>
      <c r="DOU3" s="64"/>
      <c r="DOV3" s="64"/>
      <c r="DOW3" s="64"/>
      <c r="DOX3" s="64"/>
      <c r="DOY3" s="64"/>
      <c r="DOZ3" s="64"/>
      <c r="DPA3" s="64"/>
      <c r="DPB3" s="64"/>
      <c r="DPC3" s="64"/>
      <c r="DPD3" s="64"/>
      <c r="DPE3" s="64"/>
      <c r="DPF3" s="64"/>
      <c r="DPG3" s="64"/>
      <c r="DPH3" s="64"/>
      <c r="DPI3" s="64"/>
      <c r="DPJ3" s="64"/>
      <c r="DPK3" s="64"/>
      <c r="DPL3" s="64"/>
      <c r="DPM3" s="64"/>
      <c r="DPN3" s="64"/>
      <c r="DPO3" s="64"/>
      <c r="DPP3" s="64"/>
      <c r="DPQ3" s="64"/>
      <c r="DPR3" s="64"/>
      <c r="DPS3" s="64"/>
      <c r="DPT3" s="64"/>
      <c r="DPU3" s="64"/>
      <c r="DPV3" s="64"/>
      <c r="DPW3" s="64"/>
      <c r="DPX3" s="64"/>
      <c r="DPY3" s="64"/>
      <c r="DPZ3" s="64"/>
      <c r="DQA3" s="64"/>
      <c r="DQB3" s="64"/>
      <c r="DQC3" s="64"/>
      <c r="DQD3" s="64"/>
      <c r="DQE3" s="64"/>
      <c r="DQF3" s="64"/>
      <c r="DQG3" s="64"/>
      <c r="DQH3" s="64"/>
      <c r="DQI3" s="64"/>
      <c r="DQJ3" s="64"/>
      <c r="DQK3" s="64"/>
      <c r="DQL3" s="64"/>
      <c r="DQM3" s="64"/>
      <c r="DQN3" s="64"/>
      <c r="DQO3" s="64"/>
      <c r="DQP3" s="64"/>
      <c r="DQQ3" s="64"/>
      <c r="DQR3" s="64"/>
      <c r="DQS3" s="64"/>
      <c r="DQT3" s="64"/>
      <c r="DQU3" s="64"/>
      <c r="DQV3" s="64"/>
      <c r="DQW3" s="64"/>
      <c r="DQX3" s="64"/>
      <c r="DQY3" s="64"/>
      <c r="DQZ3" s="64"/>
      <c r="DRA3" s="64"/>
      <c r="DRB3" s="64"/>
      <c r="DRC3" s="64"/>
      <c r="DRD3" s="64"/>
      <c r="DRE3" s="64"/>
      <c r="DRF3" s="64"/>
      <c r="DRG3" s="64"/>
      <c r="DRH3" s="64"/>
      <c r="DRI3" s="64"/>
      <c r="DRJ3" s="64"/>
      <c r="DRK3" s="64"/>
      <c r="DRL3" s="64"/>
      <c r="DRM3" s="64"/>
      <c r="DRN3" s="64"/>
      <c r="DRO3" s="64"/>
      <c r="DRP3" s="64"/>
      <c r="DRQ3" s="64"/>
      <c r="DRR3" s="64"/>
      <c r="DRS3" s="64"/>
      <c r="DRT3" s="64"/>
      <c r="DRU3" s="64"/>
      <c r="DRV3" s="64"/>
      <c r="DRW3" s="64"/>
      <c r="DRX3" s="64"/>
      <c r="DRY3" s="64"/>
      <c r="DRZ3" s="64"/>
      <c r="DSA3" s="64"/>
      <c r="DSB3" s="64"/>
      <c r="DSC3" s="64"/>
      <c r="DSD3" s="64"/>
      <c r="DSE3" s="64"/>
      <c r="DSF3" s="64"/>
      <c r="DSG3" s="64"/>
      <c r="DSH3" s="64"/>
      <c r="DSI3" s="64"/>
      <c r="DSJ3" s="64"/>
      <c r="DSK3" s="64"/>
      <c r="DSL3" s="64"/>
      <c r="DSM3" s="64"/>
      <c r="DSN3" s="64"/>
      <c r="DSO3" s="64"/>
      <c r="DSP3" s="64"/>
      <c r="DSQ3" s="64"/>
      <c r="DSR3" s="64"/>
      <c r="DSS3" s="64"/>
      <c r="DST3" s="64"/>
      <c r="DSU3" s="64"/>
      <c r="DSV3" s="64"/>
      <c r="DSW3" s="64"/>
      <c r="DSX3" s="64"/>
      <c r="DSY3" s="64"/>
      <c r="DSZ3" s="64"/>
      <c r="DTA3" s="64"/>
      <c r="DTB3" s="64"/>
      <c r="DTC3" s="64"/>
      <c r="DTD3" s="64"/>
      <c r="DTE3" s="64"/>
      <c r="DTF3" s="64"/>
      <c r="DTG3" s="64"/>
      <c r="DTH3" s="64"/>
      <c r="DTI3" s="64"/>
      <c r="DTJ3" s="64"/>
      <c r="DTK3" s="64"/>
      <c r="DTL3" s="64"/>
      <c r="DTM3" s="64"/>
      <c r="DTN3" s="64"/>
      <c r="DTO3" s="64"/>
      <c r="DTP3" s="64"/>
      <c r="DTQ3" s="64"/>
      <c r="DTR3" s="64"/>
      <c r="DTS3" s="64"/>
      <c r="DTT3" s="64"/>
      <c r="DTU3" s="64"/>
      <c r="DTV3" s="64"/>
      <c r="DTW3" s="64"/>
      <c r="DTX3" s="64"/>
      <c r="DTY3" s="64"/>
      <c r="DTZ3" s="64"/>
      <c r="DUA3" s="64"/>
      <c r="DUB3" s="64"/>
      <c r="DUC3" s="64"/>
      <c r="DUD3" s="64"/>
      <c r="DUE3" s="64"/>
      <c r="DUF3" s="64"/>
      <c r="DUG3" s="64"/>
      <c r="DUH3" s="64"/>
      <c r="DUI3" s="64"/>
      <c r="DUJ3" s="64"/>
      <c r="DUK3" s="64"/>
      <c r="DUL3" s="64"/>
      <c r="DUM3" s="64"/>
      <c r="DUN3" s="64"/>
      <c r="DUO3" s="64"/>
      <c r="DUP3" s="64"/>
      <c r="DUQ3" s="64"/>
      <c r="DUR3" s="64"/>
      <c r="DUS3" s="64"/>
      <c r="DUT3" s="64"/>
      <c r="DUU3" s="64"/>
      <c r="DUV3" s="64"/>
      <c r="DUW3" s="64"/>
      <c r="DUX3" s="64"/>
      <c r="DUY3" s="64"/>
      <c r="DUZ3" s="64"/>
      <c r="DVA3" s="64"/>
      <c r="DVB3" s="64"/>
      <c r="DVC3" s="64"/>
      <c r="DVD3" s="64"/>
      <c r="DVE3" s="64"/>
      <c r="DVF3" s="64"/>
      <c r="DVG3" s="64"/>
      <c r="DVH3" s="64"/>
      <c r="DVI3" s="64"/>
      <c r="DVJ3" s="64"/>
      <c r="DVK3" s="64"/>
      <c r="DVL3" s="64"/>
      <c r="DVM3" s="64"/>
      <c r="DVN3" s="64"/>
      <c r="DVO3" s="64"/>
      <c r="DVP3" s="64"/>
      <c r="DVQ3" s="64"/>
      <c r="DVR3" s="64"/>
      <c r="DVS3" s="64"/>
      <c r="DVT3" s="64"/>
      <c r="DVU3" s="64"/>
      <c r="DVV3" s="64"/>
      <c r="DVW3" s="64"/>
      <c r="DVX3" s="64"/>
      <c r="DVY3" s="64"/>
      <c r="DVZ3" s="64"/>
      <c r="DWA3" s="64"/>
      <c r="DWB3" s="64"/>
      <c r="DWC3" s="64"/>
      <c r="DWD3" s="64"/>
      <c r="DWE3" s="64"/>
      <c r="DWF3" s="64"/>
      <c r="DWG3" s="64"/>
      <c r="DWH3" s="64"/>
      <c r="DWI3" s="64"/>
      <c r="DWJ3" s="64"/>
      <c r="DWK3" s="64"/>
      <c r="DWL3" s="64"/>
      <c r="DWM3" s="64"/>
      <c r="DWN3" s="64"/>
      <c r="DWO3" s="64"/>
      <c r="DWP3" s="64"/>
      <c r="DWQ3" s="64"/>
      <c r="DWR3" s="64"/>
      <c r="DWS3" s="64"/>
      <c r="DWT3" s="64"/>
      <c r="DWU3" s="64"/>
      <c r="DWV3" s="64"/>
      <c r="DWW3" s="64"/>
      <c r="DWX3" s="64"/>
      <c r="DWY3" s="64"/>
      <c r="DWZ3" s="64"/>
      <c r="DXA3" s="64"/>
      <c r="DXB3" s="64"/>
      <c r="DXC3" s="64"/>
      <c r="DXD3" s="64"/>
      <c r="DXE3" s="64"/>
      <c r="DXF3" s="64"/>
      <c r="DXG3" s="64"/>
      <c r="DXH3" s="64"/>
      <c r="DXI3" s="64"/>
      <c r="DXJ3" s="64"/>
      <c r="DXK3" s="64"/>
      <c r="DXL3" s="64"/>
      <c r="DXM3" s="64"/>
      <c r="DXN3" s="64"/>
      <c r="DXO3" s="64"/>
      <c r="DXP3" s="64"/>
      <c r="DXQ3" s="64"/>
      <c r="DXR3" s="64"/>
      <c r="DXS3" s="64"/>
      <c r="DXT3" s="64"/>
      <c r="DXU3" s="64"/>
      <c r="DXV3" s="64"/>
      <c r="DXW3" s="64"/>
      <c r="DXX3" s="64"/>
      <c r="DXY3" s="64"/>
      <c r="DXZ3" s="64"/>
      <c r="DYA3" s="64"/>
      <c r="DYB3" s="64"/>
      <c r="DYC3" s="64"/>
      <c r="DYD3" s="64"/>
      <c r="DYE3" s="64"/>
      <c r="DYF3" s="64"/>
      <c r="DYG3" s="64"/>
      <c r="DYH3" s="64"/>
      <c r="DYI3" s="64"/>
      <c r="DYJ3" s="64"/>
      <c r="DYK3" s="64"/>
      <c r="DYL3" s="64"/>
      <c r="DYM3" s="64"/>
      <c r="DYN3" s="64"/>
      <c r="DYO3" s="64"/>
      <c r="DYP3" s="64"/>
      <c r="DYQ3" s="64"/>
      <c r="DYR3" s="64"/>
      <c r="DYS3" s="64"/>
      <c r="DYT3" s="64"/>
      <c r="DYU3" s="64"/>
      <c r="DYV3" s="64"/>
      <c r="DYW3" s="64"/>
      <c r="DYX3" s="64"/>
      <c r="DYY3" s="64"/>
      <c r="DYZ3" s="64"/>
      <c r="DZA3" s="64"/>
      <c r="DZB3" s="64"/>
      <c r="DZC3" s="64"/>
      <c r="DZD3" s="64"/>
      <c r="DZE3" s="64"/>
      <c r="DZF3" s="64"/>
      <c r="DZG3" s="64"/>
      <c r="DZH3" s="64"/>
      <c r="DZI3" s="64"/>
      <c r="DZJ3" s="64"/>
      <c r="DZK3" s="64"/>
      <c r="DZL3" s="64"/>
      <c r="DZM3" s="64"/>
      <c r="DZN3" s="64"/>
      <c r="DZO3" s="64"/>
      <c r="DZP3" s="64"/>
      <c r="DZQ3" s="64"/>
      <c r="DZR3" s="64"/>
      <c r="DZS3" s="64"/>
      <c r="DZT3" s="64"/>
      <c r="DZU3" s="64"/>
      <c r="DZV3" s="64"/>
      <c r="DZW3" s="64"/>
      <c r="DZX3" s="64"/>
      <c r="DZY3" s="64"/>
      <c r="DZZ3" s="64"/>
      <c r="EAA3" s="64"/>
      <c r="EAB3" s="64"/>
      <c r="EAC3" s="64"/>
      <c r="EAD3" s="64"/>
      <c r="EAE3" s="64"/>
      <c r="EAF3" s="64"/>
      <c r="EAG3" s="64"/>
      <c r="EAH3" s="64"/>
      <c r="EAI3" s="64"/>
      <c r="EAJ3" s="64"/>
      <c r="EAK3" s="64"/>
      <c r="EAL3" s="64"/>
      <c r="EAM3" s="64"/>
      <c r="EAN3" s="64"/>
      <c r="EAO3" s="64"/>
      <c r="EAP3" s="64"/>
      <c r="EAQ3" s="64"/>
      <c r="EAR3" s="64"/>
      <c r="EAS3" s="64"/>
      <c r="EAT3" s="64"/>
      <c r="EAU3" s="64"/>
      <c r="EAV3" s="64"/>
      <c r="EAW3" s="64"/>
      <c r="EAX3" s="64"/>
      <c r="EAY3" s="64"/>
      <c r="EAZ3" s="64"/>
      <c r="EBA3" s="64"/>
      <c r="EBB3" s="64"/>
      <c r="EBC3" s="64"/>
      <c r="EBD3" s="64"/>
      <c r="EBE3" s="64"/>
      <c r="EBF3" s="64"/>
      <c r="EBG3" s="64"/>
      <c r="EBH3" s="64"/>
      <c r="EBI3" s="64"/>
      <c r="EBJ3" s="64"/>
      <c r="EBK3" s="64"/>
      <c r="EBL3" s="64"/>
      <c r="EBM3" s="64"/>
      <c r="EBN3" s="64"/>
      <c r="EBO3" s="64"/>
      <c r="EBP3" s="64"/>
      <c r="EBQ3" s="64"/>
      <c r="EBR3" s="64"/>
      <c r="EBS3" s="64"/>
      <c r="EBT3" s="64"/>
      <c r="EBU3" s="64"/>
      <c r="EBV3" s="64"/>
      <c r="EBW3" s="64"/>
      <c r="EBX3" s="64"/>
      <c r="EBY3" s="64"/>
      <c r="EBZ3" s="64"/>
      <c r="ECA3" s="64"/>
      <c r="ECB3" s="64"/>
      <c r="ECC3" s="64"/>
      <c r="ECD3" s="64"/>
      <c r="ECE3" s="64"/>
      <c r="ECF3" s="64"/>
      <c r="ECG3" s="64"/>
      <c r="ECH3" s="64"/>
      <c r="ECI3" s="64"/>
      <c r="ECJ3" s="64"/>
      <c r="ECK3" s="64"/>
      <c r="ECL3" s="64"/>
      <c r="ECM3" s="64"/>
      <c r="ECN3" s="64"/>
      <c r="ECO3" s="64"/>
      <c r="ECP3" s="64"/>
      <c r="ECQ3" s="64"/>
      <c r="ECR3" s="64"/>
      <c r="ECS3" s="64"/>
      <c r="ECT3" s="64"/>
      <c r="ECU3" s="64"/>
      <c r="ECV3" s="64"/>
      <c r="ECW3" s="64"/>
      <c r="ECX3" s="64"/>
      <c r="ECY3" s="64"/>
      <c r="ECZ3" s="64"/>
      <c r="EDA3" s="64"/>
      <c r="EDB3" s="64"/>
      <c r="EDC3" s="64"/>
      <c r="EDD3" s="64"/>
      <c r="EDE3" s="64"/>
      <c r="EDF3" s="64"/>
      <c r="EDG3" s="64"/>
      <c r="EDH3" s="64"/>
      <c r="EDI3" s="64"/>
      <c r="EDJ3" s="64"/>
      <c r="EDK3" s="64"/>
      <c r="EDL3" s="64"/>
      <c r="EDM3" s="64"/>
      <c r="EDN3" s="64"/>
      <c r="EDO3" s="64"/>
      <c r="EDP3" s="64"/>
      <c r="EDQ3" s="64"/>
      <c r="EDR3" s="64"/>
      <c r="EDS3" s="64"/>
      <c r="EDT3" s="64"/>
      <c r="EDU3" s="64"/>
      <c r="EDV3" s="64"/>
      <c r="EDW3" s="64"/>
      <c r="EDX3" s="64"/>
      <c r="EDY3" s="64"/>
      <c r="EDZ3" s="64"/>
      <c r="EEA3" s="64"/>
      <c r="EEB3" s="64"/>
      <c r="EEC3" s="64"/>
      <c r="EED3" s="64"/>
      <c r="EEE3" s="64"/>
      <c r="EEF3" s="64"/>
      <c r="EEG3" s="64"/>
      <c r="EEH3" s="64"/>
      <c r="EEI3" s="64"/>
      <c r="EEJ3" s="64"/>
      <c r="EEK3" s="64"/>
      <c r="EEL3" s="64"/>
      <c r="EEM3" s="64"/>
      <c r="EEN3" s="64"/>
      <c r="EEO3" s="64"/>
      <c r="EEP3" s="64"/>
      <c r="EEQ3" s="64"/>
      <c r="EER3" s="64"/>
      <c r="EES3" s="64"/>
      <c r="EET3" s="64"/>
      <c r="EEU3" s="64"/>
      <c r="EEV3" s="64"/>
      <c r="EEW3" s="64"/>
      <c r="EEX3" s="64"/>
      <c r="EEY3" s="64"/>
      <c r="EEZ3" s="64"/>
      <c r="EFA3" s="64"/>
      <c r="EFB3" s="64"/>
      <c r="EFC3" s="64"/>
      <c r="EFD3" s="64"/>
      <c r="EFE3" s="64"/>
      <c r="EFF3" s="64"/>
      <c r="EFG3" s="64"/>
      <c r="EFH3" s="64"/>
      <c r="EFI3" s="64"/>
      <c r="EFJ3" s="64"/>
      <c r="EFK3" s="64"/>
      <c r="EFL3" s="64"/>
      <c r="EFM3" s="64"/>
      <c r="EFN3" s="64"/>
      <c r="EFO3" s="64"/>
      <c r="EFP3" s="64"/>
      <c r="EFQ3" s="64"/>
      <c r="EFR3" s="64"/>
      <c r="EFS3" s="64"/>
      <c r="EFT3" s="64"/>
      <c r="EFU3" s="64"/>
      <c r="EFV3" s="64"/>
      <c r="EFW3" s="64"/>
      <c r="EFX3" s="64"/>
      <c r="EFY3" s="64"/>
      <c r="EFZ3" s="64"/>
      <c r="EGA3" s="64"/>
      <c r="EGB3" s="64"/>
      <c r="EGC3" s="64"/>
      <c r="EGD3" s="64"/>
      <c r="EGE3" s="64"/>
      <c r="EGF3" s="64"/>
      <c r="EGG3" s="64"/>
      <c r="EGH3" s="64"/>
      <c r="EGI3" s="64"/>
      <c r="EGJ3" s="64"/>
      <c r="EGK3" s="64"/>
      <c r="EGL3" s="64"/>
      <c r="EGM3" s="64"/>
      <c r="EGN3" s="64"/>
      <c r="EGO3" s="64"/>
      <c r="EGP3" s="64"/>
      <c r="EGQ3" s="64"/>
      <c r="EGR3" s="64"/>
      <c r="EGS3" s="64"/>
      <c r="EGT3" s="64"/>
      <c r="EGU3" s="64"/>
      <c r="EGV3" s="64"/>
      <c r="EGW3" s="64"/>
      <c r="EGX3" s="64"/>
      <c r="EGY3" s="64"/>
      <c r="EGZ3" s="64"/>
      <c r="EHA3" s="64"/>
      <c r="EHB3" s="64"/>
      <c r="EHC3" s="64"/>
      <c r="EHD3" s="64"/>
      <c r="EHE3" s="64"/>
      <c r="EHF3" s="64"/>
      <c r="EHG3" s="64"/>
      <c r="EHH3" s="64"/>
      <c r="EHI3" s="64"/>
      <c r="EHJ3" s="64"/>
      <c r="EHK3" s="64"/>
      <c r="EHL3" s="64"/>
      <c r="EHM3" s="64"/>
      <c r="EHN3" s="64"/>
      <c r="EHO3" s="64"/>
      <c r="EHP3" s="64"/>
      <c r="EHQ3" s="64"/>
      <c r="EHR3" s="64"/>
      <c r="EHS3" s="64"/>
      <c r="EHT3" s="64"/>
      <c r="EHU3" s="64"/>
      <c r="EHV3" s="64"/>
      <c r="EHW3" s="64"/>
      <c r="EHX3" s="64"/>
      <c r="EHY3" s="64"/>
      <c r="EHZ3" s="64"/>
      <c r="EIA3" s="64"/>
      <c r="EIB3" s="64"/>
      <c r="EIC3" s="64"/>
      <c r="EID3" s="64"/>
      <c r="EIE3" s="64"/>
      <c r="EIF3" s="64"/>
      <c r="EIG3" s="64"/>
      <c r="EIH3" s="64"/>
      <c r="EII3" s="64"/>
      <c r="EIJ3" s="64"/>
      <c r="EIK3" s="64"/>
      <c r="EIL3" s="64"/>
      <c r="EIM3" s="64"/>
      <c r="EIN3" s="64"/>
      <c r="EIO3" s="64"/>
      <c r="EIP3" s="64"/>
      <c r="EIQ3" s="64"/>
      <c r="EIR3" s="64"/>
      <c r="EIS3" s="64"/>
      <c r="EIT3" s="64"/>
      <c r="EIU3" s="64"/>
      <c r="EIV3" s="64"/>
      <c r="EIW3" s="64"/>
      <c r="EIX3" s="64"/>
      <c r="EIY3" s="64"/>
      <c r="EIZ3" s="64"/>
      <c r="EJA3" s="64"/>
      <c r="EJB3" s="64"/>
      <c r="EJC3" s="64"/>
      <c r="EJD3" s="64"/>
      <c r="EJE3" s="64"/>
      <c r="EJF3" s="64"/>
      <c r="EJG3" s="64"/>
      <c r="EJH3" s="64"/>
      <c r="EJI3" s="64"/>
      <c r="EJJ3" s="64"/>
      <c r="EJK3" s="64"/>
      <c r="EJL3" s="64"/>
      <c r="EJM3" s="64"/>
      <c r="EJN3" s="64"/>
      <c r="EJO3" s="64"/>
      <c r="EJP3" s="64"/>
      <c r="EJQ3" s="64"/>
      <c r="EJR3" s="64"/>
      <c r="EJS3" s="64"/>
      <c r="EJT3" s="64"/>
      <c r="EJU3" s="64"/>
      <c r="EJV3" s="64"/>
      <c r="EJW3" s="64"/>
      <c r="EJX3" s="64"/>
      <c r="EJY3" s="64"/>
      <c r="EJZ3" s="64"/>
      <c r="EKA3" s="64"/>
      <c r="EKB3" s="64"/>
      <c r="EKC3" s="64"/>
      <c r="EKD3" s="64"/>
      <c r="EKE3" s="64"/>
      <c r="EKF3" s="64"/>
      <c r="EKG3" s="64"/>
      <c r="EKH3" s="64"/>
      <c r="EKI3" s="64"/>
      <c r="EKJ3" s="64"/>
      <c r="EKK3" s="64"/>
      <c r="EKL3" s="64"/>
      <c r="EKM3" s="64"/>
      <c r="EKN3" s="64"/>
      <c r="EKO3" s="64"/>
      <c r="EKP3" s="64"/>
      <c r="EKQ3" s="64"/>
      <c r="EKR3" s="64"/>
      <c r="EKS3" s="64"/>
      <c r="EKT3" s="64"/>
      <c r="EKU3" s="64"/>
      <c r="EKV3" s="64"/>
      <c r="EKW3" s="64"/>
      <c r="EKX3" s="64"/>
      <c r="EKY3" s="64"/>
      <c r="EKZ3" s="64"/>
      <c r="ELA3" s="64"/>
      <c r="ELB3" s="64"/>
      <c r="ELC3" s="64"/>
      <c r="ELD3" s="64"/>
      <c r="ELE3" s="64"/>
      <c r="ELF3" s="64"/>
      <c r="ELG3" s="64"/>
      <c r="ELH3" s="64"/>
      <c r="ELI3" s="64"/>
      <c r="ELJ3" s="64"/>
      <c r="ELK3" s="64"/>
      <c r="ELL3" s="64"/>
      <c r="ELM3" s="64"/>
      <c r="ELN3" s="64"/>
      <c r="ELO3" s="64"/>
      <c r="ELP3" s="64"/>
      <c r="ELQ3" s="64"/>
      <c r="ELR3" s="64"/>
      <c r="ELS3" s="64"/>
      <c r="ELT3" s="64"/>
      <c r="ELU3" s="64"/>
      <c r="ELV3" s="64"/>
      <c r="ELW3" s="64"/>
      <c r="ELX3" s="64"/>
      <c r="ELY3" s="64"/>
      <c r="ELZ3" s="64"/>
      <c r="EMA3" s="64"/>
      <c r="EMB3" s="64"/>
      <c r="EMC3" s="64"/>
      <c r="EMD3" s="64"/>
      <c r="EME3" s="64"/>
      <c r="EMF3" s="64"/>
      <c r="EMG3" s="64"/>
      <c r="EMH3" s="64"/>
      <c r="EMI3" s="64"/>
      <c r="EMJ3" s="64"/>
      <c r="EMK3" s="64"/>
      <c r="EML3" s="64"/>
      <c r="EMM3" s="64"/>
      <c r="EMN3" s="64"/>
      <c r="EMO3" s="64"/>
      <c r="EMP3" s="64"/>
      <c r="EMQ3" s="64"/>
      <c r="EMR3" s="64"/>
      <c r="EMS3" s="64"/>
      <c r="EMT3" s="64"/>
      <c r="EMU3" s="64"/>
      <c r="EMV3" s="64"/>
      <c r="EMW3" s="64"/>
      <c r="EMX3" s="64"/>
      <c r="EMY3" s="64"/>
      <c r="EMZ3" s="64"/>
      <c r="ENA3" s="64"/>
      <c r="ENB3" s="64"/>
      <c r="ENC3" s="64"/>
      <c r="END3" s="64"/>
      <c r="ENE3" s="64"/>
      <c r="ENF3" s="64"/>
      <c r="ENG3" s="64"/>
      <c r="ENH3" s="64"/>
      <c r="ENI3" s="64"/>
      <c r="ENJ3" s="64"/>
      <c r="ENK3" s="64"/>
      <c r="ENL3" s="64"/>
      <c r="ENM3" s="64"/>
      <c r="ENN3" s="64"/>
      <c r="ENO3" s="64"/>
      <c r="ENP3" s="64"/>
      <c r="ENQ3" s="64"/>
      <c r="ENR3" s="64"/>
      <c r="ENS3" s="64"/>
      <c r="ENT3" s="64"/>
      <c r="ENU3" s="64"/>
      <c r="ENV3" s="64"/>
      <c r="ENW3" s="64"/>
      <c r="ENX3" s="64"/>
      <c r="ENY3" s="64"/>
      <c r="ENZ3" s="64"/>
      <c r="EOA3" s="64"/>
      <c r="EOB3" s="64"/>
      <c r="EOC3" s="64"/>
      <c r="EOD3" s="64"/>
      <c r="EOE3" s="64"/>
      <c r="EOF3" s="64"/>
      <c r="EOG3" s="64"/>
      <c r="EOH3" s="64"/>
      <c r="EOI3" s="64"/>
      <c r="EOJ3" s="64"/>
      <c r="EOK3" s="64"/>
      <c r="EOL3" s="64"/>
      <c r="EOM3" s="64"/>
      <c r="EON3" s="64"/>
      <c r="EOO3" s="64"/>
      <c r="EOP3" s="64"/>
      <c r="EOQ3" s="64"/>
      <c r="EOR3" s="64"/>
      <c r="EOS3" s="64"/>
      <c r="EOT3" s="64"/>
      <c r="EOU3" s="64"/>
      <c r="EOV3" s="64"/>
      <c r="EOW3" s="64"/>
      <c r="EOX3" s="64"/>
      <c r="EOY3" s="64"/>
      <c r="EOZ3" s="64"/>
      <c r="EPA3" s="64"/>
      <c r="EPB3" s="64"/>
      <c r="EPC3" s="64"/>
      <c r="EPD3" s="64"/>
      <c r="EPE3" s="64"/>
      <c r="EPF3" s="64"/>
      <c r="EPG3" s="64"/>
      <c r="EPH3" s="64"/>
      <c r="EPI3" s="64"/>
      <c r="EPJ3" s="64"/>
      <c r="EPK3" s="64"/>
      <c r="EPL3" s="64"/>
      <c r="EPM3" s="64"/>
      <c r="EPN3" s="64"/>
      <c r="EPO3" s="64"/>
      <c r="EPP3" s="64"/>
      <c r="EPQ3" s="64"/>
      <c r="EPR3" s="64"/>
      <c r="EPS3" s="64"/>
      <c r="EPT3" s="64"/>
      <c r="EPU3" s="64"/>
      <c r="EPV3" s="64"/>
      <c r="EPW3" s="64"/>
      <c r="EPX3" s="64"/>
      <c r="EPY3" s="64"/>
      <c r="EPZ3" s="64"/>
      <c r="EQA3" s="64"/>
      <c r="EQB3" s="64"/>
      <c r="EQC3" s="64"/>
      <c r="EQD3" s="64"/>
      <c r="EQE3" s="64"/>
      <c r="EQF3" s="64"/>
      <c r="EQG3" s="64"/>
      <c r="EQH3" s="64"/>
      <c r="EQI3" s="64"/>
      <c r="EQJ3" s="64"/>
      <c r="EQK3" s="64"/>
      <c r="EQL3" s="64"/>
      <c r="EQM3" s="64"/>
      <c r="EQN3" s="64"/>
      <c r="EQO3" s="64"/>
      <c r="EQP3" s="64"/>
      <c r="EQQ3" s="64"/>
      <c r="EQR3" s="64"/>
      <c r="EQS3" s="64"/>
      <c r="EQT3" s="64"/>
      <c r="EQU3" s="64"/>
      <c r="EQV3" s="64"/>
      <c r="EQW3" s="64"/>
      <c r="EQX3" s="64"/>
      <c r="EQY3" s="64"/>
      <c r="EQZ3" s="64"/>
      <c r="ERA3" s="64"/>
      <c r="ERB3" s="64"/>
      <c r="ERC3" s="64"/>
      <c r="ERD3" s="64"/>
      <c r="ERE3" s="64"/>
      <c r="ERF3" s="64"/>
      <c r="ERG3" s="64"/>
      <c r="ERH3" s="64"/>
      <c r="ERI3" s="64"/>
      <c r="ERJ3" s="64"/>
      <c r="ERK3" s="64"/>
      <c r="ERL3" s="64"/>
      <c r="ERM3" s="64"/>
      <c r="ERN3" s="64"/>
      <c r="ERO3" s="64"/>
      <c r="ERP3" s="64"/>
      <c r="ERQ3" s="64"/>
      <c r="ERR3" s="64"/>
      <c r="ERS3" s="64"/>
      <c r="ERT3" s="64"/>
      <c r="ERU3" s="64"/>
      <c r="ERV3" s="64"/>
      <c r="ERW3" s="64"/>
      <c r="ERX3" s="64"/>
      <c r="ERY3" s="64"/>
      <c r="ERZ3" s="64"/>
      <c r="ESA3" s="64"/>
      <c r="ESB3" s="64"/>
      <c r="ESC3" s="64"/>
      <c r="ESD3" s="64"/>
      <c r="ESE3" s="64"/>
      <c r="ESF3" s="64"/>
      <c r="ESG3" s="64"/>
      <c r="ESH3" s="64"/>
      <c r="ESI3" s="64"/>
      <c r="ESJ3" s="64"/>
      <c r="ESK3" s="64"/>
      <c r="ESL3" s="64"/>
      <c r="ESM3" s="64"/>
      <c r="ESN3" s="64"/>
      <c r="ESO3" s="64"/>
      <c r="ESP3" s="64"/>
      <c r="ESQ3" s="64"/>
      <c r="ESR3" s="64"/>
      <c r="ESS3" s="64"/>
      <c r="EST3" s="64"/>
      <c r="ESU3" s="64"/>
      <c r="ESV3" s="64"/>
      <c r="ESW3" s="64"/>
      <c r="ESX3" s="64"/>
      <c r="ESY3" s="64"/>
      <c r="ESZ3" s="64"/>
      <c r="ETA3" s="64"/>
      <c r="ETB3" s="64"/>
      <c r="ETC3" s="64"/>
      <c r="ETD3" s="64"/>
      <c r="ETE3" s="64"/>
      <c r="ETF3" s="64"/>
      <c r="ETG3" s="64"/>
      <c r="ETH3" s="64"/>
      <c r="ETI3" s="64"/>
      <c r="ETJ3" s="64"/>
      <c r="ETK3" s="64"/>
      <c r="ETL3" s="64"/>
      <c r="ETM3" s="64"/>
      <c r="ETN3" s="64"/>
      <c r="ETO3" s="64"/>
      <c r="ETP3" s="64"/>
      <c r="ETQ3" s="64"/>
      <c r="ETR3" s="64"/>
      <c r="ETS3" s="64"/>
      <c r="ETT3" s="64"/>
      <c r="ETU3" s="64"/>
      <c r="ETV3" s="64"/>
      <c r="ETW3" s="64"/>
      <c r="ETX3" s="64"/>
      <c r="ETY3" s="64"/>
      <c r="ETZ3" s="64"/>
      <c r="EUA3" s="64"/>
      <c r="EUB3" s="64"/>
      <c r="EUC3" s="64"/>
      <c r="EUD3" s="64"/>
      <c r="EUE3" s="64"/>
      <c r="EUF3" s="64"/>
      <c r="EUG3" s="64"/>
      <c r="EUH3" s="64"/>
      <c r="EUI3" s="64"/>
      <c r="EUJ3" s="64"/>
      <c r="EUK3" s="64"/>
      <c r="EUL3" s="64"/>
      <c r="EUM3" s="64"/>
      <c r="EUN3" s="64"/>
      <c r="EUO3" s="64"/>
      <c r="EUP3" s="64"/>
      <c r="EUQ3" s="64"/>
      <c r="EUR3" s="64"/>
      <c r="EUS3" s="64"/>
      <c r="EUT3" s="64"/>
      <c r="EUU3" s="64"/>
      <c r="EUV3" s="64"/>
      <c r="EUW3" s="64"/>
      <c r="EUX3" s="64"/>
      <c r="EUY3" s="64"/>
      <c r="EUZ3" s="64"/>
      <c r="EVA3" s="64"/>
      <c r="EVB3" s="64"/>
      <c r="EVC3" s="64"/>
      <c r="EVD3" s="64"/>
      <c r="EVE3" s="64"/>
      <c r="EVF3" s="64"/>
      <c r="EVG3" s="64"/>
      <c r="EVH3" s="64"/>
      <c r="EVI3" s="64"/>
      <c r="EVJ3" s="64"/>
      <c r="EVK3" s="64"/>
      <c r="EVL3" s="64"/>
      <c r="EVM3" s="64"/>
      <c r="EVN3" s="64"/>
      <c r="EVO3" s="64"/>
      <c r="EVP3" s="64"/>
      <c r="EVQ3" s="64"/>
      <c r="EVR3" s="64"/>
      <c r="EVS3" s="64"/>
      <c r="EVT3" s="64"/>
      <c r="EVU3" s="64"/>
      <c r="EVV3" s="64"/>
      <c r="EVW3" s="64"/>
      <c r="EVX3" s="64"/>
      <c r="EVY3" s="64"/>
      <c r="EVZ3" s="64"/>
      <c r="EWA3" s="64"/>
      <c r="EWB3" s="64"/>
      <c r="EWC3" s="64"/>
      <c r="EWD3" s="64"/>
      <c r="EWE3" s="64"/>
      <c r="EWF3" s="64"/>
      <c r="EWG3" s="64"/>
      <c r="EWH3" s="64"/>
      <c r="EWI3" s="64"/>
      <c r="EWJ3" s="64"/>
      <c r="EWK3" s="64"/>
      <c r="EWL3" s="64"/>
      <c r="EWM3" s="64"/>
      <c r="EWN3" s="64"/>
      <c r="EWO3" s="64"/>
      <c r="EWP3" s="64"/>
      <c r="EWQ3" s="64"/>
      <c r="EWR3" s="64"/>
      <c r="EWS3" s="64"/>
      <c r="EWT3" s="64"/>
      <c r="EWU3" s="64"/>
      <c r="EWV3" s="64"/>
      <c r="EWW3" s="64"/>
      <c r="EWX3" s="64"/>
      <c r="EWY3" s="64"/>
      <c r="EWZ3" s="64"/>
      <c r="EXA3" s="64"/>
      <c r="EXB3" s="64"/>
      <c r="EXC3" s="64"/>
      <c r="EXD3" s="64"/>
      <c r="EXE3" s="64"/>
      <c r="EXF3" s="64"/>
      <c r="EXG3" s="64"/>
      <c r="EXH3" s="64"/>
      <c r="EXI3" s="64"/>
      <c r="EXJ3" s="64"/>
      <c r="EXK3" s="64"/>
      <c r="EXL3" s="64"/>
      <c r="EXM3" s="64"/>
      <c r="EXN3" s="64"/>
      <c r="EXO3" s="64"/>
      <c r="EXP3" s="64"/>
      <c r="EXQ3" s="64"/>
      <c r="EXR3" s="64"/>
      <c r="EXS3" s="64"/>
      <c r="EXT3" s="64"/>
      <c r="EXU3" s="64"/>
      <c r="EXV3" s="64"/>
      <c r="EXW3" s="64"/>
      <c r="EXX3" s="64"/>
      <c r="EXY3" s="64"/>
      <c r="EXZ3" s="64"/>
      <c r="EYA3" s="64"/>
      <c r="EYB3" s="64"/>
      <c r="EYC3" s="64"/>
      <c r="EYD3" s="64"/>
      <c r="EYE3" s="64"/>
      <c r="EYF3" s="64"/>
      <c r="EYG3" s="64"/>
      <c r="EYH3" s="64"/>
      <c r="EYI3" s="64"/>
      <c r="EYJ3" s="64"/>
      <c r="EYK3" s="64"/>
      <c r="EYL3" s="64"/>
      <c r="EYM3" s="64"/>
      <c r="EYN3" s="64"/>
      <c r="EYO3" s="64"/>
      <c r="EYP3" s="64"/>
      <c r="EYQ3" s="64"/>
      <c r="EYR3" s="64"/>
      <c r="EYS3" s="64"/>
      <c r="EYT3" s="64"/>
      <c r="EYU3" s="64"/>
      <c r="EYV3" s="64"/>
      <c r="EYW3" s="64"/>
      <c r="EYX3" s="64"/>
      <c r="EYY3" s="64"/>
      <c r="EYZ3" s="64"/>
      <c r="EZA3" s="64"/>
      <c r="EZB3" s="64"/>
      <c r="EZC3" s="64"/>
      <c r="EZD3" s="64"/>
      <c r="EZE3" s="64"/>
      <c r="EZF3" s="64"/>
      <c r="EZG3" s="64"/>
      <c r="EZH3" s="64"/>
      <c r="EZI3" s="64"/>
      <c r="EZJ3" s="64"/>
      <c r="EZK3" s="64"/>
      <c r="EZL3" s="64"/>
      <c r="EZM3" s="64"/>
      <c r="EZN3" s="64"/>
      <c r="EZO3" s="64"/>
      <c r="EZP3" s="64"/>
      <c r="EZQ3" s="64"/>
      <c r="EZR3" s="64"/>
      <c r="EZS3" s="64"/>
      <c r="EZT3" s="64"/>
      <c r="EZU3" s="64"/>
      <c r="EZV3" s="64"/>
      <c r="EZW3" s="64"/>
      <c r="EZX3" s="64"/>
      <c r="EZY3" s="64"/>
      <c r="EZZ3" s="64"/>
      <c r="FAA3" s="64"/>
      <c r="FAB3" s="64"/>
      <c r="FAC3" s="64"/>
      <c r="FAD3" s="64"/>
      <c r="FAE3" s="64"/>
      <c r="FAF3" s="64"/>
      <c r="FAG3" s="64"/>
      <c r="FAH3" s="64"/>
      <c r="FAI3" s="64"/>
      <c r="FAJ3" s="64"/>
      <c r="FAK3" s="64"/>
      <c r="FAL3" s="64"/>
      <c r="FAM3" s="64"/>
      <c r="FAN3" s="64"/>
      <c r="FAO3" s="64"/>
      <c r="FAP3" s="64"/>
      <c r="FAQ3" s="64"/>
      <c r="FAR3" s="64"/>
      <c r="FAS3" s="64"/>
      <c r="FAT3" s="64"/>
      <c r="FAU3" s="64"/>
      <c r="FAV3" s="64"/>
      <c r="FAW3" s="64"/>
      <c r="FAX3" s="64"/>
      <c r="FAY3" s="64"/>
      <c r="FAZ3" s="64"/>
      <c r="FBA3" s="64"/>
      <c r="FBB3" s="64"/>
      <c r="FBC3" s="64"/>
      <c r="FBD3" s="64"/>
      <c r="FBE3" s="64"/>
      <c r="FBF3" s="64"/>
      <c r="FBG3" s="64"/>
      <c r="FBH3" s="64"/>
      <c r="FBI3" s="64"/>
      <c r="FBJ3" s="64"/>
      <c r="FBK3" s="64"/>
      <c r="FBL3" s="64"/>
      <c r="FBM3" s="64"/>
      <c r="FBN3" s="64"/>
      <c r="FBO3" s="64"/>
      <c r="FBP3" s="64"/>
      <c r="FBQ3" s="64"/>
      <c r="FBR3" s="64"/>
      <c r="FBS3" s="64"/>
      <c r="FBT3" s="64"/>
      <c r="FBU3" s="64"/>
      <c r="FBV3" s="64"/>
      <c r="FBW3" s="64"/>
      <c r="FBX3" s="64"/>
      <c r="FBY3" s="64"/>
      <c r="FBZ3" s="64"/>
      <c r="FCA3" s="64"/>
      <c r="FCB3" s="64"/>
      <c r="FCC3" s="64"/>
      <c r="FCD3" s="64"/>
      <c r="FCE3" s="64"/>
      <c r="FCF3" s="64"/>
      <c r="FCG3" s="64"/>
      <c r="FCH3" s="64"/>
      <c r="FCI3" s="64"/>
      <c r="FCJ3" s="64"/>
      <c r="FCK3" s="64"/>
      <c r="FCL3" s="64"/>
      <c r="FCM3" s="64"/>
      <c r="FCN3" s="64"/>
      <c r="FCO3" s="64"/>
      <c r="FCP3" s="64"/>
      <c r="FCQ3" s="64"/>
      <c r="FCR3" s="64"/>
      <c r="FCS3" s="64"/>
      <c r="FCT3" s="64"/>
      <c r="FCU3" s="64"/>
      <c r="FCV3" s="64"/>
      <c r="FCW3" s="64"/>
      <c r="FCX3" s="64"/>
      <c r="FCY3" s="64"/>
      <c r="FCZ3" s="64"/>
      <c r="FDA3" s="64"/>
      <c r="FDB3" s="64"/>
      <c r="FDC3" s="64"/>
      <c r="FDD3" s="64"/>
      <c r="FDE3" s="64"/>
      <c r="FDF3" s="64"/>
      <c r="FDG3" s="64"/>
      <c r="FDH3" s="64"/>
      <c r="FDI3" s="64"/>
      <c r="FDJ3" s="64"/>
      <c r="FDK3" s="64"/>
      <c r="FDL3" s="64"/>
      <c r="FDM3" s="64"/>
      <c r="FDN3" s="64"/>
      <c r="FDO3" s="64"/>
      <c r="FDP3" s="64"/>
      <c r="FDQ3" s="64"/>
      <c r="FDR3" s="64"/>
      <c r="FDS3" s="64"/>
      <c r="FDT3" s="64"/>
      <c r="FDU3" s="64"/>
      <c r="FDV3" s="64"/>
      <c r="FDW3" s="64"/>
      <c r="FDX3" s="64"/>
      <c r="FDY3" s="64"/>
      <c r="FDZ3" s="64"/>
      <c r="FEA3" s="64"/>
      <c r="FEB3" s="64"/>
      <c r="FEC3" s="64"/>
      <c r="FED3" s="64"/>
      <c r="FEE3" s="64"/>
      <c r="FEF3" s="64"/>
      <c r="FEG3" s="64"/>
      <c r="FEH3" s="64"/>
      <c r="FEI3" s="64"/>
      <c r="FEJ3" s="64"/>
      <c r="FEK3" s="64"/>
      <c r="FEL3" s="64"/>
      <c r="FEM3" s="64"/>
      <c r="FEN3" s="64"/>
      <c r="FEO3" s="64"/>
      <c r="FEP3" s="64"/>
      <c r="FEQ3" s="64"/>
      <c r="FER3" s="64"/>
      <c r="FES3" s="64"/>
      <c r="FET3" s="64"/>
      <c r="FEU3" s="64"/>
      <c r="FEV3" s="64"/>
      <c r="FEW3" s="64"/>
      <c r="FEX3" s="64"/>
      <c r="FEY3" s="64"/>
      <c r="FEZ3" s="64"/>
      <c r="FFA3" s="64"/>
      <c r="FFB3" s="64"/>
      <c r="FFC3" s="64"/>
      <c r="FFD3" s="64"/>
      <c r="FFE3" s="64"/>
      <c r="FFF3" s="64"/>
      <c r="FFG3" s="64"/>
      <c r="FFH3" s="64"/>
      <c r="FFI3" s="64"/>
      <c r="FFJ3" s="64"/>
      <c r="FFK3" s="64"/>
      <c r="FFL3" s="64"/>
      <c r="FFM3" s="64"/>
      <c r="FFN3" s="64"/>
      <c r="FFO3" s="64"/>
      <c r="FFP3" s="64"/>
      <c r="FFQ3" s="64"/>
      <c r="FFR3" s="64"/>
      <c r="FFS3" s="64"/>
      <c r="FFT3" s="64"/>
      <c r="FFU3" s="64"/>
      <c r="FFV3" s="64"/>
      <c r="FFW3" s="64"/>
      <c r="FFX3" s="64"/>
      <c r="FFY3" s="64"/>
      <c r="FFZ3" s="64"/>
      <c r="FGA3" s="64"/>
      <c r="FGB3" s="64"/>
      <c r="FGC3" s="64"/>
      <c r="FGD3" s="64"/>
      <c r="FGE3" s="64"/>
      <c r="FGF3" s="64"/>
      <c r="FGG3" s="64"/>
      <c r="FGH3" s="64"/>
      <c r="FGI3" s="64"/>
      <c r="FGJ3" s="64"/>
      <c r="FGK3" s="64"/>
      <c r="FGL3" s="64"/>
      <c r="FGM3" s="64"/>
      <c r="FGN3" s="64"/>
      <c r="FGO3" s="64"/>
      <c r="FGP3" s="64"/>
      <c r="FGQ3" s="64"/>
      <c r="FGR3" s="64"/>
      <c r="FGS3" s="64"/>
      <c r="FGT3" s="64"/>
      <c r="FGU3" s="64"/>
      <c r="FGV3" s="64"/>
      <c r="FGW3" s="64"/>
      <c r="FGX3" s="64"/>
      <c r="FGY3" s="64"/>
      <c r="FGZ3" s="64"/>
      <c r="FHA3" s="64"/>
      <c r="FHB3" s="64"/>
      <c r="FHC3" s="64"/>
      <c r="FHD3" s="64"/>
      <c r="FHE3" s="64"/>
      <c r="FHF3" s="64"/>
      <c r="FHG3" s="64"/>
      <c r="FHH3" s="64"/>
      <c r="FHI3" s="64"/>
      <c r="FHJ3" s="64"/>
      <c r="FHK3" s="64"/>
      <c r="FHL3" s="64"/>
      <c r="FHM3" s="64"/>
      <c r="FHN3" s="64"/>
      <c r="FHO3" s="64"/>
      <c r="FHP3" s="64"/>
      <c r="FHQ3" s="64"/>
      <c r="FHR3" s="64"/>
      <c r="FHS3" s="64"/>
      <c r="FHT3" s="64"/>
      <c r="FHU3" s="64"/>
      <c r="FHV3" s="64"/>
      <c r="FHW3" s="64"/>
      <c r="FHX3" s="64"/>
      <c r="FHY3" s="64"/>
      <c r="FHZ3" s="64"/>
      <c r="FIA3" s="64"/>
      <c r="FIB3" s="64"/>
      <c r="FIC3" s="64"/>
      <c r="FID3" s="64"/>
      <c r="FIE3" s="64"/>
      <c r="FIF3" s="64"/>
      <c r="FIG3" s="64"/>
      <c r="FIH3" s="64"/>
      <c r="FII3" s="64"/>
      <c r="FIJ3" s="64"/>
      <c r="FIK3" s="64"/>
      <c r="FIL3" s="64"/>
      <c r="FIM3" s="64"/>
      <c r="FIN3" s="64"/>
      <c r="FIO3" s="64"/>
      <c r="FIP3" s="64"/>
      <c r="FIQ3" s="64"/>
      <c r="FIR3" s="64"/>
      <c r="FIS3" s="64"/>
      <c r="FIT3" s="64"/>
      <c r="FIU3" s="64"/>
      <c r="FIV3" s="64"/>
      <c r="FIW3" s="64"/>
      <c r="FIX3" s="64"/>
      <c r="FIY3" s="64"/>
      <c r="FIZ3" s="64"/>
      <c r="FJA3" s="64"/>
      <c r="FJB3" s="64"/>
      <c r="FJC3" s="64"/>
      <c r="FJD3" s="64"/>
      <c r="FJE3" s="64"/>
      <c r="FJF3" s="64"/>
      <c r="FJG3" s="64"/>
      <c r="FJH3" s="64"/>
      <c r="FJI3" s="64"/>
      <c r="FJJ3" s="64"/>
      <c r="FJK3" s="64"/>
      <c r="FJL3" s="64"/>
      <c r="FJM3" s="64"/>
      <c r="FJN3" s="64"/>
      <c r="FJO3" s="64"/>
      <c r="FJP3" s="64"/>
      <c r="FJQ3" s="64"/>
      <c r="FJR3" s="64"/>
      <c r="FJS3" s="64"/>
      <c r="FJT3" s="64"/>
      <c r="FJU3" s="64"/>
      <c r="FJV3" s="64"/>
      <c r="FJW3" s="64"/>
      <c r="FJX3" s="64"/>
      <c r="FJY3" s="64"/>
      <c r="FJZ3" s="64"/>
      <c r="FKA3" s="64"/>
      <c r="FKB3" s="64"/>
      <c r="FKC3" s="64"/>
      <c r="FKD3" s="64"/>
      <c r="FKE3" s="64"/>
      <c r="FKF3" s="64"/>
      <c r="FKG3" s="64"/>
      <c r="FKH3" s="64"/>
      <c r="FKI3" s="64"/>
      <c r="FKJ3" s="64"/>
      <c r="FKK3" s="64"/>
      <c r="FKL3" s="64"/>
      <c r="FKM3" s="64"/>
      <c r="FKN3" s="64"/>
      <c r="FKO3" s="64"/>
      <c r="FKP3" s="64"/>
      <c r="FKQ3" s="64"/>
      <c r="FKR3" s="64"/>
      <c r="FKS3" s="64"/>
      <c r="FKT3" s="64"/>
      <c r="FKU3" s="64"/>
      <c r="FKV3" s="64"/>
      <c r="FKW3" s="64"/>
      <c r="FKX3" s="64"/>
      <c r="FKY3" s="64"/>
      <c r="FKZ3" s="64"/>
      <c r="FLA3" s="64"/>
      <c r="FLB3" s="64"/>
      <c r="FLC3" s="64"/>
      <c r="FLD3" s="64"/>
      <c r="FLE3" s="64"/>
      <c r="FLF3" s="64"/>
      <c r="FLG3" s="64"/>
      <c r="FLH3" s="64"/>
      <c r="FLI3" s="64"/>
      <c r="FLJ3" s="64"/>
      <c r="FLK3" s="64"/>
      <c r="FLL3" s="64"/>
      <c r="FLM3" s="64"/>
      <c r="FLN3" s="64"/>
      <c r="FLO3" s="64"/>
      <c r="FLP3" s="64"/>
      <c r="FLQ3" s="64"/>
      <c r="FLR3" s="64"/>
      <c r="FLS3" s="64"/>
      <c r="FLT3" s="64"/>
      <c r="FLU3" s="64"/>
      <c r="FLV3" s="64"/>
      <c r="FLW3" s="64"/>
      <c r="FLX3" s="64"/>
      <c r="FLY3" s="64"/>
      <c r="FLZ3" s="64"/>
      <c r="FMA3" s="64"/>
      <c r="FMB3" s="64"/>
      <c r="FMC3" s="64"/>
      <c r="FMD3" s="64"/>
      <c r="FME3" s="64"/>
      <c r="FMF3" s="64"/>
      <c r="FMG3" s="64"/>
      <c r="FMH3" s="64"/>
      <c r="FMI3" s="64"/>
      <c r="FMJ3" s="64"/>
      <c r="FMK3" s="64"/>
      <c r="FML3" s="64"/>
      <c r="FMM3" s="64"/>
      <c r="FMN3" s="64"/>
      <c r="FMO3" s="64"/>
      <c r="FMP3" s="64"/>
      <c r="FMQ3" s="64"/>
      <c r="FMR3" s="64"/>
      <c r="FMS3" s="64"/>
      <c r="FMT3" s="64"/>
      <c r="FMU3" s="64"/>
      <c r="FMV3" s="64"/>
      <c r="FMW3" s="64"/>
      <c r="FMX3" s="64"/>
      <c r="FMY3" s="64"/>
      <c r="FMZ3" s="64"/>
      <c r="FNA3" s="64"/>
      <c r="FNB3" s="64"/>
      <c r="FNC3" s="64"/>
      <c r="FND3" s="64"/>
      <c r="FNE3" s="64"/>
      <c r="FNF3" s="64"/>
      <c r="FNG3" s="64"/>
      <c r="FNH3" s="64"/>
      <c r="FNI3" s="64"/>
      <c r="FNJ3" s="64"/>
      <c r="FNK3" s="64"/>
      <c r="FNL3" s="64"/>
      <c r="FNM3" s="64"/>
      <c r="FNN3" s="64"/>
      <c r="FNO3" s="64"/>
      <c r="FNP3" s="64"/>
      <c r="FNQ3" s="64"/>
      <c r="FNR3" s="64"/>
      <c r="FNS3" s="64"/>
      <c r="FNT3" s="64"/>
      <c r="FNU3" s="64"/>
      <c r="FNV3" s="64"/>
      <c r="FNW3" s="64"/>
      <c r="FNX3" s="64"/>
      <c r="FNY3" s="64"/>
      <c r="FNZ3" s="64"/>
      <c r="FOA3" s="64"/>
      <c r="FOB3" s="64"/>
      <c r="FOC3" s="64"/>
      <c r="FOD3" s="64"/>
      <c r="FOE3" s="64"/>
      <c r="FOF3" s="64"/>
      <c r="FOG3" s="64"/>
      <c r="FOH3" s="64"/>
      <c r="FOI3" s="64"/>
      <c r="FOJ3" s="64"/>
      <c r="FOK3" s="64"/>
      <c r="FOL3" s="64"/>
      <c r="FOM3" s="64"/>
      <c r="FON3" s="64"/>
      <c r="FOO3" s="64"/>
      <c r="FOP3" s="64"/>
      <c r="FOQ3" s="64"/>
      <c r="FOR3" s="64"/>
      <c r="FOS3" s="64"/>
      <c r="FOT3" s="64"/>
      <c r="FOU3" s="64"/>
      <c r="FOV3" s="64"/>
      <c r="FOW3" s="64"/>
      <c r="FOX3" s="64"/>
      <c r="FOY3" s="64"/>
      <c r="FOZ3" s="64"/>
      <c r="FPA3" s="64"/>
      <c r="FPB3" s="64"/>
      <c r="FPC3" s="64"/>
      <c r="FPD3" s="64"/>
      <c r="FPE3" s="64"/>
      <c r="FPF3" s="64"/>
      <c r="FPG3" s="64"/>
      <c r="FPH3" s="64"/>
      <c r="FPI3" s="64"/>
      <c r="FPJ3" s="64"/>
      <c r="FPK3" s="64"/>
      <c r="FPL3" s="64"/>
      <c r="FPM3" s="64"/>
      <c r="FPN3" s="64"/>
      <c r="FPO3" s="64"/>
      <c r="FPP3" s="64"/>
      <c r="FPQ3" s="64"/>
      <c r="FPR3" s="64"/>
      <c r="FPS3" s="64"/>
      <c r="FPT3" s="64"/>
      <c r="FPU3" s="64"/>
      <c r="FPV3" s="64"/>
      <c r="FPW3" s="64"/>
      <c r="FPX3" s="64"/>
      <c r="FPY3" s="64"/>
      <c r="FPZ3" s="64"/>
      <c r="FQA3" s="64"/>
      <c r="FQB3" s="64"/>
      <c r="FQC3" s="64"/>
      <c r="FQD3" s="64"/>
      <c r="FQE3" s="64"/>
      <c r="FQF3" s="64"/>
      <c r="FQG3" s="64"/>
      <c r="FQH3" s="64"/>
      <c r="FQI3" s="64"/>
      <c r="FQJ3" s="64"/>
      <c r="FQK3" s="64"/>
      <c r="FQL3" s="64"/>
      <c r="FQM3" s="64"/>
      <c r="FQN3" s="64"/>
      <c r="FQO3" s="64"/>
      <c r="FQP3" s="64"/>
      <c r="FQQ3" s="64"/>
      <c r="FQR3" s="64"/>
      <c r="FQS3" s="64"/>
      <c r="FQT3" s="64"/>
      <c r="FQU3" s="64"/>
      <c r="FQV3" s="64"/>
      <c r="FQW3" s="64"/>
      <c r="FQX3" s="64"/>
      <c r="FQY3" s="64"/>
      <c r="FQZ3" s="64"/>
      <c r="FRA3" s="64"/>
      <c r="FRB3" s="64"/>
      <c r="FRC3" s="64"/>
      <c r="FRD3" s="64"/>
      <c r="FRE3" s="64"/>
      <c r="FRF3" s="64"/>
      <c r="FRG3" s="64"/>
      <c r="FRH3" s="64"/>
      <c r="FRI3" s="64"/>
      <c r="FRJ3" s="64"/>
      <c r="FRK3" s="64"/>
      <c r="FRL3" s="64"/>
      <c r="FRM3" s="64"/>
      <c r="FRN3" s="64"/>
      <c r="FRO3" s="64"/>
      <c r="FRP3" s="64"/>
      <c r="FRQ3" s="64"/>
      <c r="FRR3" s="64"/>
      <c r="FRS3" s="64"/>
      <c r="FRT3" s="64"/>
      <c r="FRU3" s="64"/>
      <c r="FRV3" s="64"/>
      <c r="FRW3" s="64"/>
      <c r="FRX3" s="64"/>
      <c r="FRY3" s="64"/>
      <c r="FRZ3" s="64"/>
      <c r="FSA3" s="64"/>
      <c r="FSB3" s="64"/>
      <c r="FSC3" s="64"/>
      <c r="FSD3" s="64"/>
      <c r="FSE3" s="64"/>
      <c r="FSF3" s="64"/>
      <c r="FSG3" s="64"/>
      <c r="FSH3" s="64"/>
      <c r="FSI3" s="64"/>
      <c r="FSJ3" s="64"/>
      <c r="FSK3" s="64"/>
      <c r="FSL3" s="64"/>
      <c r="FSM3" s="64"/>
      <c r="FSN3" s="64"/>
      <c r="FSO3" s="64"/>
      <c r="FSP3" s="64"/>
      <c r="FSQ3" s="64"/>
      <c r="FSR3" s="64"/>
      <c r="FSS3" s="64"/>
      <c r="FST3" s="64"/>
      <c r="FSU3" s="64"/>
      <c r="FSV3" s="64"/>
      <c r="FSW3" s="64"/>
      <c r="FSX3" s="64"/>
      <c r="FSY3" s="64"/>
      <c r="FSZ3" s="64"/>
      <c r="FTA3" s="64"/>
      <c r="FTB3" s="64"/>
      <c r="FTC3" s="64"/>
      <c r="FTD3" s="64"/>
      <c r="FTE3" s="64"/>
      <c r="FTF3" s="64"/>
      <c r="FTG3" s="64"/>
      <c r="FTH3" s="64"/>
      <c r="FTI3" s="64"/>
      <c r="FTJ3" s="64"/>
      <c r="FTK3" s="64"/>
      <c r="FTL3" s="64"/>
      <c r="FTM3" s="64"/>
      <c r="FTN3" s="64"/>
      <c r="FTO3" s="64"/>
      <c r="FTP3" s="64"/>
      <c r="FTQ3" s="64"/>
      <c r="FTR3" s="64"/>
      <c r="FTS3" s="64"/>
      <c r="FTT3" s="64"/>
      <c r="FTU3" s="64"/>
      <c r="FTV3" s="64"/>
      <c r="FTW3" s="64"/>
      <c r="FTX3" s="64"/>
      <c r="FTY3" s="64"/>
      <c r="FTZ3" s="64"/>
      <c r="FUA3" s="64"/>
      <c r="FUB3" s="64"/>
      <c r="FUC3" s="64"/>
      <c r="FUD3" s="64"/>
      <c r="FUE3" s="64"/>
      <c r="FUF3" s="64"/>
      <c r="FUG3" s="64"/>
      <c r="FUH3" s="64"/>
      <c r="FUI3" s="64"/>
      <c r="FUJ3" s="64"/>
      <c r="FUK3" s="64"/>
      <c r="FUL3" s="64"/>
      <c r="FUM3" s="64"/>
      <c r="FUN3" s="64"/>
      <c r="FUO3" s="64"/>
      <c r="FUP3" s="64"/>
      <c r="FUQ3" s="64"/>
      <c r="FUR3" s="64"/>
      <c r="FUS3" s="64"/>
      <c r="FUT3" s="64"/>
      <c r="FUU3" s="64"/>
      <c r="FUV3" s="64"/>
      <c r="FUW3" s="64"/>
      <c r="FUX3" s="64"/>
      <c r="FUY3" s="64"/>
      <c r="FUZ3" s="64"/>
      <c r="FVA3" s="64"/>
      <c r="FVB3" s="64"/>
      <c r="FVC3" s="64"/>
      <c r="FVD3" s="64"/>
      <c r="FVE3" s="64"/>
      <c r="FVF3" s="64"/>
      <c r="FVG3" s="64"/>
      <c r="FVH3" s="64"/>
      <c r="FVI3" s="64"/>
      <c r="FVJ3" s="64"/>
      <c r="FVK3" s="64"/>
      <c r="FVL3" s="64"/>
      <c r="FVM3" s="64"/>
      <c r="FVN3" s="64"/>
      <c r="FVO3" s="64"/>
      <c r="FVP3" s="64"/>
      <c r="FVQ3" s="64"/>
      <c r="FVR3" s="64"/>
      <c r="FVS3" s="64"/>
      <c r="FVT3" s="64"/>
      <c r="FVU3" s="64"/>
      <c r="FVV3" s="64"/>
      <c r="FVW3" s="64"/>
      <c r="FVX3" s="64"/>
      <c r="FVY3" s="64"/>
      <c r="FVZ3" s="64"/>
      <c r="FWA3" s="64"/>
      <c r="FWB3" s="64"/>
      <c r="FWC3" s="64"/>
      <c r="FWD3" s="64"/>
      <c r="FWE3" s="64"/>
      <c r="FWF3" s="64"/>
      <c r="FWG3" s="64"/>
      <c r="FWH3" s="64"/>
      <c r="FWI3" s="64"/>
      <c r="FWJ3" s="64"/>
      <c r="FWK3" s="64"/>
      <c r="FWL3" s="64"/>
      <c r="FWM3" s="64"/>
      <c r="FWN3" s="64"/>
      <c r="FWO3" s="64"/>
      <c r="FWP3" s="64"/>
      <c r="FWQ3" s="64"/>
      <c r="FWR3" s="64"/>
      <c r="FWS3" s="64"/>
      <c r="FWT3" s="64"/>
      <c r="FWU3" s="64"/>
      <c r="FWV3" s="64"/>
      <c r="FWW3" s="64"/>
      <c r="FWX3" s="64"/>
      <c r="FWY3" s="64"/>
      <c r="FWZ3" s="64"/>
      <c r="FXA3" s="64"/>
      <c r="FXB3" s="64"/>
      <c r="FXC3" s="64"/>
      <c r="FXD3" s="64"/>
      <c r="FXE3" s="64"/>
      <c r="FXF3" s="64"/>
      <c r="FXG3" s="64"/>
      <c r="FXH3" s="64"/>
      <c r="FXI3" s="64"/>
      <c r="FXJ3" s="64"/>
      <c r="FXK3" s="64"/>
      <c r="FXL3" s="64"/>
      <c r="FXM3" s="64"/>
      <c r="FXN3" s="64"/>
      <c r="FXO3" s="64"/>
      <c r="FXP3" s="64"/>
      <c r="FXQ3" s="64"/>
      <c r="FXR3" s="64"/>
      <c r="FXS3" s="64"/>
      <c r="FXT3" s="64"/>
      <c r="FXU3" s="64"/>
      <c r="FXV3" s="64"/>
      <c r="FXW3" s="64"/>
      <c r="FXX3" s="64"/>
      <c r="FXY3" s="64"/>
      <c r="FXZ3" s="64"/>
      <c r="FYA3" s="64"/>
      <c r="FYB3" s="64"/>
      <c r="FYC3" s="64"/>
      <c r="FYD3" s="64"/>
      <c r="FYE3" s="64"/>
      <c r="FYF3" s="64"/>
      <c r="FYG3" s="64"/>
      <c r="FYH3" s="64"/>
      <c r="FYI3" s="64"/>
      <c r="FYJ3" s="64"/>
      <c r="FYK3" s="64"/>
      <c r="FYL3" s="64"/>
      <c r="FYM3" s="64"/>
      <c r="FYN3" s="64"/>
      <c r="FYO3" s="64"/>
      <c r="FYP3" s="64"/>
      <c r="FYQ3" s="64"/>
      <c r="FYR3" s="64"/>
      <c r="FYS3" s="64"/>
      <c r="FYT3" s="64"/>
      <c r="FYU3" s="64"/>
      <c r="FYV3" s="64"/>
      <c r="FYW3" s="64"/>
      <c r="FYX3" s="64"/>
      <c r="FYY3" s="64"/>
      <c r="FYZ3" s="64"/>
      <c r="FZA3" s="64"/>
      <c r="FZB3" s="64"/>
      <c r="FZC3" s="64"/>
      <c r="FZD3" s="64"/>
      <c r="FZE3" s="64"/>
      <c r="FZF3" s="64"/>
      <c r="FZG3" s="64"/>
      <c r="FZH3" s="64"/>
      <c r="FZI3" s="64"/>
      <c r="FZJ3" s="64"/>
      <c r="FZK3" s="64"/>
      <c r="FZL3" s="64"/>
      <c r="FZM3" s="64"/>
      <c r="FZN3" s="64"/>
      <c r="FZO3" s="64"/>
      <c r="FZP3" s="64"/>
      <c r="FZQ3" s="64"/>
      <c r="FZR3" s="64"/>
      <c r="FZS3" s="64"/>
      <c r="FZT3" s="64"/>
      <c r="FZU3" s="64"/>
      <c r="FZV3" s="64"/>
      <c r="FZW3" s="64"/>
      <c r="FZX3" s="64"/>
      <c r="FZY3" s="64"/>
      <c r="FZZ3" s="64"/>
      <c r="GAA3" s="64"/>
      <c r="GAB3" s="64"/>
      <c r="GAC3" s="64"/>
      <c r="GAD3" s="64"/>
      <c r="GAE3" s="64"/>
      <c r="GAF3" s="64"/>
      <c r="GAG3" s="64"/>
      <c r="GAH3" s="64"/>
      <c r="GAI3" s="64"/>
      <c r="GAJ3" s="64"/>
      <c r="GAK3" s="64"/>
      <c r="GAL3" s="64"/>
      <c r="GAM3" s="64"/>
      <c r="GAN3" s="64"/>
      <c r="GAO3" s="64"/>
      <c r="GAP3" s="64"/>
      <c r="GAQ3" s="64"/>
      <c r="GAR3" s="64"/>
      <c r="GAS3" s="64"/>
      <c r="GAT3" s="64"/>
      <c r="GAU3" s="64"/>
      <c r="GAV3" s="64"/>
      <c r="GAW3" s="64"/>
      <c r="GAX3" s="64"/>
      <c r="GAY3" s="64"/>
      <c r="GAZ3" s="64"/>
      <c r="GBA3" s="64"/>
      <c r="GBB3" s="64"/>
      <c r="GBC3" s="64"/>
      <c r="GBD3" s="64"/>
      <c r="GBE3" s="64"/>
      <c r="GBF3" s="64"/>
      <c r="GBG3" s="64"/>
      <c r="GBH3" s="64"/>
      <c r="GBI3" s="64"/>
      <c r="GBJ3" s="64"/>
      <c r="GBK3" s="64"/>
      <c r="GBL3" s="64"/>
      <c r="GBM3" s="64"/>
      <c r="GBN3" s="64"/>
      <c r="GBO3" s="64"/>
      <c r="GBP3" s="64"/>
      <c r="GBQ3" s="64"/>
      <c r="GBR3" s="64"/>
      <c r="GBS3" s="64"/>
      <c r="GBT3" s="64"/>
      <c r="GBU3" s="64"/>
      <c r="GBV3" s="64"/>
      <c r="GBW3" s="64"/>
      <c r="GBX3" s="64"/>
      <c r="GBY3" s="64"/>
      <c r="GBZ3" s="64"/>
      <c r="GCA3" s="64"/>
      <c r="GCB3" s="64"/>
      <c r="GCC3" s="64"/>
      <c r="GCD3" s="64"/>
      <c r="GCE3" s="64"/>
      <c r="GCF3" s="64"/>
      <c r="GCG3" s="64"/>
      <c r="GCH3" s="64"/>
      <c r="GCI3" s="64"/>
      <c r="GCJ3" s="64"/>
      <c r="GCK3" s="64"/>
      <c r="GCL3" s="64"/>
      <c r="GCM3" s="64"/>
      <c r="GCN3" s="64"/>
      <c r="GCO3" s="64"/>
      <c r="GCP3" s="64"/>
      <c r="GCQ3" s="64"/>
      <c r="GCR3" s="64"/>
      <c r="GCS3" s="64"/>
      <c r="GCT3" s="64"/>
      <c r="GCU3" s="64"/>
      <c r="GCV3" s="64"/>
      <c r="GCW3" s="64"/>
      <c r="GCX3" s="64"/>
      <c r="GCY3" s="64"/>
      <c r="GCZ3" s="64"/>
      <c r="GDA3" s="64"/>
      <c r="GDB3" s="64"/>
      <c r="GDC3" s="64"/>
      <c r="GDD3" s="64"/>
      <c r="GDE3" s="64"/>
      <c r="GDF3" s="64"/>
      <c r="GDG3" s="64"/>
      <c r="GDH3" s="64"/>
      <c r="GDI3" s="64"/>
      <c r="GDJ3" s="64"/>
      <c r="GDK3" s="64"/>
      <c r="GDL3" s="64"/>
      <c r="GDM3" s="64"/>
      <c r="GDN3" s="64"/>
      <c r="GDO3" s="64"/>
      <c r="GDP3" s="64"/>
      <c r="GDQ3" s="64"/>
      <c r="GDR3" s="64"/>
      <c r="GDS3" s="64"/>
      <c r="GDT3" s="64"/>
      <c r="GDU3" s="64"/>
      <c r="GDV3" s="64"/>
      <c r="GDW3" s="64"/>
      <c r="GDX3" s="64"/>
      <c r="GDY3" s="64"/>
      <c r="GDZ3" s="64"/>
      <c r="GEA3" s="64"/>
      <c r="GEB3" s="64"/>
      <c r="GEC3" s="64"/>
      <c r="GED3" s="64"/>
      <c r="GEE3" s="64"/>
      <c r="GEF3" s="64"/>
      <c r="GEG3" s="64"/>
      <c r="GEH3" s="64"/>
      <c r="GEI3" s="64"/>
      <c r="GEJ3" s="64"/>
      <c r="GEK3" s="64"/>
      <c r="GEL3" s="64"/>
      <c r="GEM3" s="64"/>
      <c r="GEN3" s="64"/>
      <c r="GEO3" s="64"/>
      <c r="GEP3" s="64"/>
      <c r="GEQ3" s="64"/>
      <c r="GER3" s="64"/>
      <c r="GES3" s="64"/>
      <c r="GET3" s="64"/>
      <c r="GEU3" s="64"/>
      <c r="GEV3" s="64"/>
      <c r="GEW3" s="64"/>
      <c r="GEX3" s="64"/>
      <c r="GEY3" s="64"/>
      <c r="GEZ3" s="64"/>
      <c r="GFA3" s="64"/>
      <c r="GFB3" s="64"/>
      <c r="GFC3" s="64"/>
      <c r="GFD3" s="64"/>
      <c r="GFE3" s="64"/>
      <c r="GFF3" s="64"/>
      <c r="GFG3" s="64"/>
      <c r="GFH3" s="64"/>
      <c r="GFI3" s="64"/>
      <c r="GFJ3" s="64"/>
      <c r="GFK3" s="64"/>
      <c r="GFL3" s="64"/>
      <c r="GFM3" s="64"/>
      <c r="GFN3" s="64"/>
      <c r="GFO3" s="64"/>
      <c r="GFP3" s="64"/>
      <c r="GFQ3" s="64"/>
      <c r="GFR3" s="64"/>
      <c r="GFS3" s="64"/>
      <c r="GFT3" s="64"/>
      <c r="GFU3" s="64"/>
      <c r="GFV3" s="64"/>
      <c r="GFW3" s="64"/>
      <c r="GFX3" s="64"/>
      <c r="GFY3" s="64"/>
      <c r="GFZ3" s="64"/>
      <c r="GGA3" s="64"/>
      <c r="GGB3" s="64"/>
      <c r="GGC3" s="64"/>
      <c r="GGD3" s="64"/>
      <c r="GGE3" s="64"/>
      <c r="GGF3" s="64"/>
      <c r="GGG3" s="64"/>
      <c r="GGH3" s="64"/>
      <c r="GGI3" s="64"/>
      <c r="GGJ3" s="64"/>
      <c r="GGK3" s="64"/>
      <c r="GGL3" s="64"/>
      <c r="GGM3" s="64"/>
      <c r="GGN3" s="64"/>
      <c r="GGO3" s="64"/>
      <c r="GGP3" s="64"/>
      <c r="GGQ3" s="64"/>
      <c r="GGR3" s="64"/>
      <c r="GGS3" s="64"/>
      <c r="GGT3" s="64"/>
      <c r="GGU3" s="64"/>
      <c r="GGV3" s="64"/>
      <c r="GGW3" s="64"/>
      <c r="GGX3" s="64"/>
      <c r="GGY3" s="64"/>
      <c r="GGZ3" s="64"/>
      <c r="GHA3" s="64"/>
      <c r="GHB3" s="64"/>
      <c r="GHC3" s="64"/>
      <c r="GHD3" s="64"/>
      <c r="GHE3" s="64"/>
      <c r="GHF3" s="64"/>
      <c r="GHG3" s="64"/>
      <c r="GHH3" s="64"/>
      <c r="GHI3" s="64"/>
      <c r="GHJ3" s="64"/>
      <c r="GHK3" s="64"/>
      <c r="GHL3" s="64"/>
      <c r="GHM3" s="64"/>
      <c r="GHN3" s="64"/>
      <c r="GHO3" s="64"/>
      <c r="GHP3" s="64"/>
      <c r="GHQ3" s="64"/>
      <c r="GHR3" s="64"/>
      <c r="GHS3" s="64"/>
      <c r="GHT3" s="64"/>
      <c r="GHU3" s="64"/>
      <c r="GHV3" s="64"/>
      <c r="GHW3" s="64"/>
      <c r="GHX3" s="64"/>
      <c r="GHY3" s="64"/>
      <c r="GHZ3" s="64"/>
      <c r="GIA3" s="64"/>
      <c r="GIB3" s="64"/>
      <c r="GIC3" s="64"/>
      <c r="GID3" s="64"/>
      <c r="GIE3" s="64"/>
      <c r="GIF3" s="64"/>
      <c r="GIG3" s="64"/>
      <c r="GIH3" s="64"/>
      <c r="GII3" s="64"/>
      <c r="GIJ3" s="64"/>
      <c r="GIK3" s="64"/>
      <c r="GIL3" s="64"/>
      <c r="GIM3" s="64"/>
      <c r="GIN3" s="64"/>
      <c r="GIO3" s="64"/>
      <c r="GIP3" s="64"/>
      <c r="GIQ3" s="64"/>
      <c r="GIR3" s="64"/>
      <c r="GIS3" s="64"/>
      <c r="GIT3" s="64"/>
      <c r="GIU3" s="64"/>
      <c r="GIV3" s="64"/>
      <c r="GIW3" s="64"/>
      <c r="GIX3" s="64"/>
      <c r="GIY3" s="64"/>
      <c r="GIZ3" s="64"/>
      <c r="GJA3" s="64"/>
      <c r="GJB3" s="64"/>
      <c r="GJC3" s="64"/>
      <c r="GJD3" s="64"/>
      <c r="GJE3" s="64"/>
      <c r="GJF3" s="64"/>
      <c r="GJG3" s="64"/>
      <c r="GJH3" s="64"/>
      <c r="GJI3" s="64"/>
      <c r="GJJ3" s="64"/>
      <c r="GJK3" s="64"/>
      <c r="GJL3" s="64"/>
      <c r="GJM3" s="64"/>
      <c r="GJN3" s="64"/>
      <c r="GJO3" s="64"/>
      <c r="GJP3" s="64"/>
      <c r="GJQ3" s="64"/>
      <c r="GJR3" s="64"/>
      <c r="GJS3" s="64"/>
      <c r="GJT3" s="64"/>
      <c r="GJU3" s="64"/>
      <c r="GJV3" s="64"/>
      <c r="GJW3" s="64"/>
      <c r="GJX3" s="64"/>
      <c r="GJY3" s="64"/>
      <c r="GJZ3" s="64"/>
      <c r="GKA3" s="64"/>
      <c r="GKB3" s="64"/>
      <c r="GKC3" s="64"/>
      <c r="GKD3" s="64"/>
      <c r="GKE3" s="64"/>
      <c r="GKF3" s="64"/>
      <c r="GKG3" s="64"/>
      <c r="GKH3" s="64"/>
      <c r="GKI3" s="64"/>
      <c r="GKJ3" s="64"/>
      <c r="GKK3" s="64"/>
      <c r="GKL3" s="64"/>
      <c r="GKM3" s="64"/>
      <c r="GKN3" s="64"/>
      <c r="GKO3" s="64"/>
      <c r="GKP3" s="64"/>
      <c r="GKQ3" s="64"/>
      <c r="GKR3" s="64"/>
      <c r="GKS3" s="64"/>
      <c r="GKT3" s="64"/>
      <c r="GKU3" s="64"/>
      <c r="GKV3" s="64"/>
      <c r="GKW3" s="64"/>
      <c r="GKX3" s="64"/>
      <c r="GKY3" s="64"/>
      <c r="GKZ3" s="64"/>
      <c r="GLA3" s="64"/>
      <c r="GLB3" s="64"/>
      <c r="GLC3" s="64"/>
      <c r="GLD3" s="64"/>
      <c r="GLE3" s="64"/>
      <c r="GLF3" s="64"/>
      <c r="GLG3" s="64"/>
      <c r="GLH3" s="64"/>
      <c r="GLI3" s="64"/>
      <c r="GLJ3" s="64"/>
      <c r="GLK3" s="64"/>
      <c r="GLL3" s="64"/>
      <c r="GLM3" s="64"/>
      <c r="GLN3" s="64"/>
      <c r="GLO3" s="64"/>
      <c r="GLP3" s="64"/>
      <c r="GLQ3" s="64"/>
      <c r="GLR3" s="64"/>
      <c r="GLS3" s="64"/>
      <c r="GLT3" s="64"/>
      <c r="GLU3" s="64"/>
      <c r="GLV3" s="64"/>
      <c r="GLW3" s="64"/>
      <c r="GLX3" s="64"/>
      <c r="GLY3" s="64"/>
      <c r="GLZ3" s="64"/>
      <c r="GMA3" s="64"/>
      <c r="GMB3" s="64"/>
      <c r="GMC3" s="64"/>
      <c r="GMD3" s="64"/>
      <c r="GME3" s="64"/>
      <c r="GMF3" s="64"/>
      <c r="GMG3" s="64"/>
      <c r="GMH3" s="64"/>
      <c r="GMI3" s="64"/>
      <c r="GMJ3" s="64"/>
      <c r="GMK3" s="64"/>
      <c r="GML3" s="64"/>
      <c r="GMM3" s="64"/>
      <c r="GMN3" s="64"/>
      <c r="GMO3" s="64"/>
      <c r="GMP3" s="64"/>
      <c r="GMQ3" s="64"/>
      <c r="GMR3" s="64"/>
      <c r="GMS3" s="64"/>
      <c r="GMT3" s="64"/>
      <c r="GMU3" s="64"/>
      <c r="GMV3" s="64"/>
      <c r="GMW3" s="64"/>
      <c r="GMX3" s="64"/>
      <c r="GMY3" s="64"/>
      <c r="GMZ3" s="64"/>
      <c r="GNA3" s="64"/>
      <c r="GNB3" s="64"/>
      <c r="GNC3" s="64"/>
      <c r="GND3" s="64"/>
      <c r="GNE3" s="64"/>
      <c r="GNF3" s="64"/>
      <c r="GNG3" s="64"/>
      <c r="GNH3" s="64"/>
      <c r="GNI3" s="64"/>
      <c r="GNJ3" s="64"/>
      <c r="GNK3" s="64"/>
      <c r="GNL3" s="64"/>
      <c r="GNM3" s="64"/>
      <c r="GNN3" s="64"/>
      <c r="GNO3" s="64"/>
      <c r="GNP3" s="64"/>
      <c r="GNQ3" s="64"/>
      <c r="GNR3" s="64"/>
      <c r="GNS3" s="64"/>
      <c r="GNT3" s="64"/>
      <c r="GNU3" s="64"/>
      <c r="GNV3" s="64"/>
      <c r="GNW3" s="64"/>
      <c r="GNX3" s="64"/>
      <c r="GNY3" s="64"/>
      <c r="GNZ3" s="64"/>
      <c r="GOA3" s="64"/>
      <c r="GOB3" s="64"/>
      <c r="GOC3" s="64"/>
      <c r="GOD3" s="64"/>
      <c r="GOE3" s="64"/>
      <c r="GOF3" s="64"/>
      <c r="GOG3" s="64"/>
      <c r="GOH3" s="64"/>
      <c r="GOI3" s="64"/>
      <c r="GOJ3" s="64"/>
      <c r="GOK3" s="64"/>
      <c r="GOL3" s="64"/>
      <c r="GOM3" s="64"/>
      <c r="GON3" s="64"/>
      <c r="GOO3" s="64"/>
      <c r="GOP3" s="64"/>
      <c r="GOQ3" s="64"/>
      <c r="GOR3" s="64"/>
      <c r="GOS3" s="64"/>
      <c r="GOT3" s="64"/>
      <c r="GOU3" s="64"/>
      <c r="GOV3" s="64"/>
      <c r="GOW3" s="64"/>
      <c r="GOX3" s="64"/>
      <c r="GOY3" s="64"/>
      <c r="GOZ3" s="64"/>
      <c r="GPA3" s="64"/>
      <c r="GPB3" s="64"/>
      <c r="GPC3" s="64"/>
      <c r="GPD3" s="64"/>
      <c r="GPE3" s="64"/>
      <c r="GPF3" s="64"/>
      <c r="GPG3" s="64"/>
      <c r="GPH3" s="64"/>
      <c r="GPI3" s="64"/>
      <c r="GPJ3" s="64"/>
      <c r="GPK3" s="64"/>
      <c r="GPL3" s="64"/>
      <c r="GPM3" s="64"/>
      <c r="GPN3" s="64"/>
      <c r="GPO3" s="64"/>
      <c r="GPP3" s="64"/>
      <c r="GPQ3" s="64"/>
      <c r="GPR3" s="64"/>
      <c r="GPS3" s="64"/>
      <c r="GPT3" s="64"/>
      <c r="GPU3" s="64"/>
      <c r="GPV3" s="64"/>
      <c r="GPW3" s="64"/>
      <c r="GPX3" s="64"/>
      <c r="GPY3" s="64"/>
      <c r="GPZ3" s="64"/>
      <c r="GQA3" s="64"/>
      <c r="GQB3" s="64"/>
      <c r="GQC3" s="64"/>
      <c r="GQD3" s="64"/>
      <c r="GQE3" s="64"/>
      <c r="GQF3" s="64"/>
      <c r="GQG3" s="64"/>
      <c r="GQH3" s="64"/>
      <c r="GQI3" s="64"/>
      <c r="GQJ3" s="64"/>
      <c r="GQK3" s="64"/>
      <c r="GQL3" s="64"/>
      <c r="GQM3" s="64"/>
      <c r="GQN3" s="64"/>
      <c r="GQO3" s="64"/>
      <c r="GQP3" s="64"/>
      <c r="GQQ3" s="64"/>
      <c r="GQR3" s="64"/>
      <c r="GQS3" s="64"/>
      <c r="GQT3" s="64"/>
      <c r="GQU3" s="64"/>
      <c r="GQV3" s="64"/>
      <c r="GQW3" s="64"/>
      <c r="GQX3" s="64"/>
      <c r="GQY3" s="64"/>
      <c r="GQZ3" s="64"/>
      <c r="GRA3" s="64"/>
      <c r="GRB3" s="64"/>
      <c r="GRC3" s="64"/>
      <c r="GRD3" s="64"/>
      <c r="GRE3" s="64"/>
      <c r="GRF3" s="64"/>
      <c r="GRG3" s="64"/>
      <c r="GRH3" s="64"/>
      <c r="GRI3" s="64"/>
      <c r="GRJ3" s="64"/>
      <c r="GRK3" s="64"/>
      <c r="GRL3" s="64"/>
      <c r="GRM3" s="64"/>
      <c r="GRN3" s="64"/>
      <c r="GRO3" s="64"/>
      <c r="GRP3" s="64"/>
      <c r="GRQ3" s="64"/>
      <c r="GRR3" s="64"/>
      <c r="GRS3" s="64"/>
      <c r="GRT3" s="64"/>
      <c r="GRU3" s="64"/>
      <c r="GRV3" s="64"/>
      <c r="GRW3" s="64"/>
      <c r="GRX3" s="64"/>
      <c r="GRY3" s="64"/>
      <c r="GRZ3" s="64"/>
      <c r="GSA3" s="64"/>
      <c r="GSB3" s="64"/>
      <c r="GSC3" s="64"/>
      <c r="GSD3" s="64"/>
      <c r="GSE3" s="64"/>
      <c r="GSF3" s="64"/>
      <c r="GSG3" s="64"/>
      <c r="GSH3" s="64"/>
      <c r="GSI3" s="64"/>
      <c r="GSJ3" s="64"/>
      <c r="GSK3" s="64"/>
      <c r="GSL3" s="64"/>
      <c r="GSM3" s="64"/>
      <c r="GSN3" s="64"/>
      <c r="GSO3" s="64"/>
      <c r="GSP3" s="64"/>
      <c r="GSQ3" s="64"/>
      <c r="GSR3" s="64"/>
      <c r="GSS3" s="64"/>
      <c r="GST3" s="64"/>
      <c r="GSU3" s="64"/>
      <c r="GSV3" s="64"/>
      <c r="GSW3" s="64"/>
      <c r="GSX3" s="64"/>
      <c r="GSY3" s="64"/>
      <c r="GSZ3" s="64"/>
      <c r="GTA3" s="64"/>
      <c r="GTB3" s="64"/>
      <c r="GTC3" s="64"/>
      <c r="GTD3" s="64"/>
      <c r="GTE3" s="64"/>
      <c r="GTF3" s="64"/>
      <c r="GTG3" s="64"/>
      <c r="GTH3" s="64"/>
      <c r="GTI3" s="64"/>
      <c r="GTJ3" s="64"/>
      <c r="GTK3" s="64"/>
      <c r="GTL3" s="64"/>
      <c r="GTM3" s="64"/>
      <c r="GTN3" s="64"/>
      <c r="GTO3" s="64"/>
      <c r="GTP3" s="64"/>
      <c r="GTQ3" s="64"/>
      <c r="GTR3" s="64"/>
      <c r="GTS3" s="64"/>
      <c r="GTT3" s="64"/>
      <c r="GTU3" s="64"/>
      <c r="GTV3" s="64"/>
      <c r="GTW3" s="64"/>
      <c r="GTX3" s="64"/>
      <c r="GTY3" s="64"/>
      <c r="GTZ3" s="64"/>
      <c r="GUA3" s="64"/>
      <c r="GUB3" s="64"/>
      <c r="GUC3" s="64"/>
      <c r="GUD3" s="64"/>
      <c r="GUE3" s="64"/>
      <c r="GUF3" s="64"/>
      <c r="GUG3" s="64"/>
      <c r="GUH3" s="64"/>
      <c r="GUI3" s="64"/>
      <c r="GUJ3" s="64"/>
      <c r="GUK3" s="64"/>
      <c r="GUL3" s="64"/>
      <c r="GUM3" s="64"/>
      <c r="GUN3" s="64"/>
      <c r="GUO3" s="64"/>
      <c r="GUP3" s="64"/>
      <c r="GUQ3" s="64"/>
      <c r="GUR3" s="64"/>
      <c r="GUS3" s="64"/>
      <c r="GUT3" s="64"/>
      <c r="GUU3" s="64"/>
      <c r="GUV3" s="64"/>
      <c r="GUW3" s="64"/>
      <c r="GUX3" s="64"/>
      <c r="GUY3" s="64"/>
      <c r="GUZ3" s="64"/>
      <c r="GVA3" s="64"/>
      <c r="GVB3" s="64"/>
      <c r="GVC3" s="64"/>
      <c r="GVD3" s="64"/>
      <c r="GVE3" s="64"/>
      <c r="GVF3" s="64"/>
      <c r="GVG3" s="64"/>
      <c r="GVH3" s="64"/>
      <c r="GVI3" s="64"/>
      <c r="GVJ3" s="64"/>
      <c r="GVK3" s="64"/>
      <c r="GVL3" s="64"/>
      <c r="GVM3" s="64"/>
      <c r="GVN3" s="64"/>
      <c r="GVO3" s="64"/>
      <c r="GVP3" s="64"/>
      <c r="GVQ3" s="64"/>
      <c r="GVR3" s="64"/>
      <c r="GVS3" s="64"/>
      <c r="GVT3" s="64"/>
      <c r="GVU3" s="64"/>
      <c r="GVV3" s="64"/>
      <c r="GVW3" s="64"/>
      <c r="GVX3" s="64"/>
      <c r="GVY3" s="64"/>
      <c r="GVZ3" s="64"/>
      <c r="GWA3" s="64"/>
      <c r="GWB3" s="64"/>
      <c r="GWC3" s="64"/>
      <c r="GWD3" s="64"/>
      <c r="GWE3" s="64"/>
      <c r="GWF3" s="64"/>
      <c r="GWG3" s="64"/>
      <c r="GWH3" s="64"/>
      <c r="GWI3" s="64"/>
      <c r="GWJ3" s="64"/>
      <c r="GWK3" s="64"/>
      <c r="GWL3" s="64"/>
      <c r="GWM3" s="64"/>
      <c r="GWN3" s="64"/>
      <c r="GWO3" s="64"/>
      <c r="GWP3" s="64"/>
      <c r="GWQ3" s="64"/>
      <c r="GWR3" s="64"/>
      <c r="GWS3" s="64"/>
      <c r="GWT3" s="64"/>
      <c r="GWU3" s="64"/>
      <c r="GWV3" s="64"/>
      <c r="GWW3" s="64"/>
      <c r="GWX3" s="64"/>
      <c r="GWY3" s="64"/>
      <c r="GWZ3" s="64"/>
      <c r="GXA3" s="64"/>
      <c r="GXB3" s="64"/>
      <c r="GXC3" s="64"/>
      <c r="GXD3" s="64"/>
      <c r="GXE3" s="64"/>
      <c r="GXF3" s="64"/>
      <c r="GXG3" s="64"/>
      <c r="GXH3" s="64"/>
      <c r="GXI3" s="64"/>
      <c r="GXJ3" s="64"/>
      <c r="GXK3" s="64"/>
      <c r="GXL3" s="64"/>
      <c r="GXM3" s="64"/>
      <c r="GXN3" s="64"/>
      <c r="GXO3" s="64"/>
      <c r="GXP3" s="64"/>
      <c r="GXQ3" s="64"/>
      <c r="GXR3" s="64"/>
      <c r="GXS3" s="64"/>
      <c r="GXT3" s="64"/>
      <c r="GXU3" s="64"/>
      <c r="GXV3" s="64"/>
      <c r="GXW3" s="64"/>
      <c r="GXX3" s="64"/>
      <c r="GXY3" s="64"/>
      <c r="GXZ3" s="64"/>
      <c r="GYA3" s="64"/>
      <c r="GYB3" s="64"/>
      <c r="GYC3" s="64"/>
      <c r="GYD3" s="64"/>
      <c r="GYE3" s="64"/>
      <c r="GYF3" s="64"/>
      <c r="GYG3" s="64"/>
      <c r="GYH3" s="64"/>
      <c r="GYI3" s="64"/>
      <c r="GYJ3" s="64"/>
      <c r="GYK3" s="64"/>
      <c r="GYL3" s="64"/>
      <c r="GYM3" s="64"/>
      <c r="GYN3" s="64"/>
      <c r="GYO3" s="64"/>
      <c r="GYP3" s="64"/>
      <c r="GYQ3" s="64"/>
      <c r="GYR3" s="64"/>
      <c r="GYS3" s="64"/>
      <c r="GYT3" s="64"/>
      <c r="GYU3" s="64"/>
      <c r="GYV3" s="64"/>
      <c r="GYW3" s="64"/>
      <c r="GYX3" s="64"/>
      <c r="GYY3" s="64"/>
      <c r="GYZ3" s="64"/>
      <c r="GZA3" s="64"/>
      <c r="GZB3" s="64"/>
      <c r="GZC3" s="64"/>
      <c r="GZD3" s="64"/>
      <c r="GZE3" s="64"/>
      <c r="GZF3" s="64"/>
      <c r="GZG3" s="64"/>
      <c r="GZH3" s="64"/>
      <c r="GZI3" s="64"/>
      <c r="GZJ3" s="64"/>
      <c r="GZK3" s="64"/>
      <c r="GZL3" s="64"/>
      <c r="GZM3" s="64"/>
      <c r="GZN3" s="64"/>
      <c r="GZO3" s="64"/>
      <c r="GZP3" s="64"/>
      <c r="GZQ3" s="64"/>
      <c r="GZR3" s="64"/>
      <c r="GZS3" s="64"/>
      <c r="GZT3" s="64"/>
      <c r="GZU3" s="64"/>
      <c r="GZV3" s="64"/>
      <c r="GZW3" s="64"/>
      <c r="GZX3" s="64"/>
      <c r="GZY3" s="64"/>
      <c r="GZZ3" s="64"/>
      <c r="HAA3" s="64"/>
      <c r="HAB3" s="64"/>
      <c r="HAC3" s="64"/>
      <c r="HAD3" s="64"/>
      <c r="HAE3" s="64"/>
      <c r="HAF3" s="64"/>
      <c r="HAG3" s="64"/>
      <c r="HAH3" s="64"/>
      <c r="HAI3" s="64"/>
      <c r="HAJ3" s="64"/>
      <c r="HAK3" s="64"/>
      <c r="HAL3" s="64"/>
      <c r="HAM3" s="64"/>
      <c r="HAN3" s="64"/>
      <c r="HAO3" s="64"/>
      <c r="HAP3" s="64"/>
      <c r="HAQ3" s="64"/>
      <c r="HAR3" s="64"/>
      <c r="HAS3" s="64"/>
      <c r="HAT3" s="64"/>
      <c r="HAU3" s="64"/>
      <c r="HAV3" s="64"/>
      <c r="HAW3" s="64"/>
      <c r="HAX3" s="64"/>
      <c r="HAY3" s="64"/>
      <c r="HAZ3" s="64"/>
      <c r="HBA3" s="64"/>
      <c r="HBB3" s="64"/>
      <c r="HBC3" s="64"/>
      <c r="HBD3" s="64"/>
      <c r="HBE3" s="64"/>
      <c r="HBF3" s="64"/>
      <c r="HBG3" s="64"/>
      <c r="HBH3" s="64"/>
      <c r="HBI3" s="64"/>
      <c r="HBJ3" s="64"/>
      <c r="HBK3" s="64"/>
      <c r="HBL3" s="64"/>
      <c r="HBM3" s="64"/>
      <c r="HBN3" s="64"/>
      <c r="HBO3" s="64"/>
      <c r="HBP3" s="64"/>
      <c r="HBQ3" s="64"/>
      <c r="HBR3" s="64"/>
      <c r="HBS3" s="64"/>
      <c r="HBT3" s="64"/>
      <c r="HBU3" s="64"/>
      <c r="HBV3" s="64"/>
      <c r="HBW3" s="64"/>
      <c r="HBX3" s="64"/>
      <c r="HBY3" s="64"/>
      <c r="HBZ3" s="64"/>
      <c r="HCA3" s="64"/>
      <c r="HCB3" s="64"/>
      <c r="HCC3" s="64"/>
      <c r="HCD3" s="64"/>
      <c r="HCE3" s="64"/>
      <c r="HCF3" s="64"/>
      <c r="HCG3" s="64"/>
      <c r="HCH3" s="64"/>
      <c r="HCI3" s="64"/>
      <c r="HCJ3" s="64"/>
      <c r="HCK3" s="64"/>
      <c r="HCL3" s="64"/>
      <c r="HCM3" s="64"/>
      <c r="HCN3" s="64"/>
      <c r="HCO3" s="64"/>
      <c r="HCP3" s="64"/>
      <c r="HCQ3" s="64"/>
      <c r="HCR3" s="64"/>
      <c r="HCS3" s="64"/>
      <c r="HCT3" s="64"/>
      <c r="HCU3" s="64"/>
      <c r="HCV3" s="64"/>
      <c r="HCW3" s="64"/>
      <c r="HCX3" s="64"/>
      <c r="HCY3" s="64"/>
      <c r="HCZ3" s="64"/>
      <c r="HDA3" s="64"/>
      <c r="HDB3" s="64"/>
      <c r="HDC3" s="64"/>
      <c r="HDD3" s="64"/>
      <c r="HDE3" s="64"/>
      <c r="HDF3" s="64"/>
      <c r="HDG3" s="64"/>
      <c r="HDH3" s="64"/>
      <c r="HDI3" s="64"/>
      <c r="HDJ3" s="64"/>
      <c r="HDK3" s="64"/>
      <c r="HDL3" s="64"/>
      <c r="HDM3" s="64"/>
      <c r="HDN3" s="64"/>
      <c r="HDO3" s="64"/>
      <c r="HDP3" s="64"/>
      <c r="HDQ3" s="64"/>
      <c r="HDR3" s="64"/>
      <c r="HDS3" s="64"/>
      <c r="HDT3" s="64"/>
      <c r="HDU3" s="64"/>
      <c r="HDV3" s="64"/>
      <c r="HDW3" s="64"/>
      <c r="HDX3" s="64"/>
      <c r="HDY3" s="64"/>
      <c r="HDZ3" s="64"/>
      <c r="HEA3" s="64"/>
      <c r="HEB3" s="64"/>
      <c r="HEC3" s="64"/>
      <c r="HED3" s="64"/>
      <c r="HEE3" s="64"/>
      <c r="HEF3" s="64"/>
      <c r="HEG3" s="64"/>
      <c r="HEH3" s="64"/>
      <c r="HEI3" s="64"/>
      <c r="HEJ3" s="64"/>
      <c r="HEK3" s="64"/>
      <c r="HEL3" s="64"/>
      <c r="HEM3" s="64"/>
      <c r="HEN3" s="64"/>
      <c r="HEO3" s="64"/>
      <c r="HEP3" s="64"/>
      <c r="HEQ3" s="64"/>
      <c r="HER3" s="64"/>
      <c r="HES3" s="64"/>
      <c r="HET3" s="64"/>
      <c r="HEU3" s="64"/>
      <c r="HEV3" s="64"/>
      <c r="HEW3" s="64"/>
      <c r="HEX3" s="64"/>
      <c r="HEY3" s="64"/>
      <c r="HEZ3" s="64"/>
      <c r="HFA3" s="64"/>
      <c r="HFB3" s="64"/>
      <c r="HFC3" s="64"/>
      <c r="HFD3" s="64"/>
      <c r="HFE3" s="64"/>
      <c r="HFF3" s="64"/>
      <c r="HFG3" s="64"/>
      <c r="HFH3" s="64"/>
      <c r="HFI3" s="64"/>
      <c r="HFJ3" s="64"/>
      <c r="HFK3" s="64"/>
      <c r="HFL3" s="64"/>
      <c r="HFM3" s="64"/>
      <c r="HFN3" s="64"/>
      <c r="HFO3" s="64"/>
      <c r="HFP3" s="64"/>
      <c r="HFQ3" s="64"/>
      <c r="HFR3" s="64"/>
      <c r="HFS3" s="64"/>
      <c r="HFT3" s="64"/>
      <c r="HFU3" s="64"/>
      <c r="HFV3" s="64"/>
      <c r="HFW3" s="64"/>
      <c r="HFX3" s="64"/>
      <c r="HFY3" s="64"/>
      <c r="HFZ3" s="64"/>
      <c r="HGA3" s="64"/>
      <c r="HGB3" s="64"/>
      <c r="HGC3" s="64"/>
      <c r="HGD3" s="64"/>
      <c r="HGE3" s="64"/>
      <c r="HGF3" s="64"/>
      <c r="HGG3" s="64"/>
      <c r="HGH3" s="64"/>
      <c r="HGI3" s="64"/>
      <c r="HGJ3" s="64"/>
      <c r="HGK3" s="64"/>
      <c r="HGL3" s="64"/>
      <c r="HGM3" s="64"/>
      <c r="HGN3" s="64"/>
      <c r="HGO3" s="64"/>
      <c r="HGP3" s="64"/>
      <c r="HGQ3" s="64"/>
      <c r="HGR3" s="64"/>
      <c r="HGS3" s="64"/>
      <c r="HGT3" s="64"/>
      <c r="HGU3" s="64"/>
      <c r="HGV3" s="64"/>
      <c r="HGW3" s="64"/>
      <c r="HGX3" s="64"/>
      <c r="HGY3" s="64"/>
      <c r="HGZ3" s="64"/>
      <c r="HHA3" s="64"/>
      <c r="HHB3" s="64"/>
      <c r="HHC3" s="64"/>
      <c r="HHD3" s="64"/>
      <c r="HHE3" s="64"/>
      <c r="HHF3" s="64"/>
      <c r="HHG3" s="64"/>
      <c r="HHH3" s="64"/>
      <c r="HHI3" s="64"/>
      <c r="HHJ3" s="64"/>
      <c r="HHK3" s="64"/>
      <c r="HHL3" s="64"/>
      <c r="HHM3" s="64"/>
      <c r="HHN3" s="64"/>
      <c r="HHO3" s="64"/>
      <c r="HHP3" s="64"/>
      <c r="HHQ3" s="64"/>
      <c r="HHR3" s="64"/>
      <c r="HHS3" s="64"/>
      <c r="HHT3" s="64"/>
      <c r="HHU3" s="64"/>
      <c r="HHV3" s="64"/>
      <c r="HHW3" s="64"/>
      <c r="HHX3" s="64"/>
      <c r="HHY3" s="64"/>
      <c r="HHZ3" s="64"/>
      <c r="HIA3" s="64"/>
      <c r="HIB3" s="64"/>
      <c r="HIC3" s="64"/>
      <c r="HID3" s="64"/>
      <c r="HIE3" s="64"/>
      <c r="HIF3" s="64"/>
      <c r="HIG3" s="64"/>
      <c r="HIH3" s="64"/>
      <c r="HII3" s="64"/>
      <c r="HIJ3" s="64"/>
      <c r="HIK3" s="64"/>
      <c r="HIL3" s="64"/>
      <c r="HIM3" s="64"/>
      <c r="HIN3" s="64"/>
      <c r="HIO3" s="64"/>
      <c r="HIP3" s="64"/>
      <c r="HIQ3" s="64"/>
      <c r="HIR3" s="64"/>
      <c r="HIS3" s="64"/>
      <c r="HIT3" s="64"/>
      <c r="HIU3" s="64"/>
      <c r="HIV3" s="64"/>
      <c r="HIW3" s="64"/>
      <c r="HIX3" s="64"/>
      <c r="HIY3" s="64"/>
      <c r="HIZ3" s="64"/>
      <c r="HJA3" s="64"/>
      <c r="HJB3" s="64"/>
      <c r="HJC3" s="64"/>
      <c r="HJD3" s="64"/>
      <c r="HJE3" s="64"/>
      <c r="HJF3" s="64"/>
      <c r="HJG3" s="64"/>
      <c r="HJH3" s="64"/>
      <c r="HJI3" s="64"/>
      <c r="HJJ3" s="64"/>
      <c r="HJK3" s="64"/>
      <c r="HJL3" s="64"/>
      <c r="HJM3" s="64"/>
      <c r="HJN3" s="64"/>
      <c r="HJO3" s="64"/>
      <c r="HJP3" s="64"/>
      <c r="HJQ3" s="64"/>
      <c r="HJR3" s="64"/>
      <c r="HJS3" s="64"/>
      <c r="HJT3" s="64"/>
      <c r="HJU3" s="64"/>
      <c r="HJV3" s="64"/>
      <c r="HJW3" s="64"/>
      <c r="HJX3" s="64"/>
      <c r="HJY3" s="64"/>
      <c r="HJZ3" s="64"/>
      <c r="HKA3" s="64"/>
      <c r="HKB3" s="64"/>
      <c r="HKC3" s="64"/>
      <c r="HKD3" s="64"/>
      <c r="HKE3" s="64"/>
      <c r="HKF3" s="64"/>
      <c r="HKG3" s="64"/>
      <c r="HKH3" s="64"/>
      <c r="HKI3" s="64"/>
      <c r="HKJ3" s="64"/>
      <c r="HKK3" s="64"/>
      <c r="HKL3" s="64"/>
      <c r="HKM3" s="64"/>
      <c r="HKN3" s="64"/>
      <c r="HKO3" s="64"/>
      <c r="HKP3" s="64"/>
      <c r="HKQ3" s="64"/>
      <c r="HKR3" s="64"/>
      <c r="HKS3" s="64"/>
      <c r="HKT3" s="64"/>
      <c r="HKU3" s="64"/>
      <c r="HKV3" s="64"/>
      <c r="HKW3" s="64"/>
      <c r="HKX3" s="64"/>
      <c r="HKY3" s="64"/>
      <c r="HKZ3" s="64"/>
      <c r="HLA3" s="64"/>
      <c r="HLB3" s="64"/>
      <c r="HLC3" s="64"/>
      <c r="HLD3" s="64"/>
      <c r="HLE3" s="64"/>
      <c r="HLF3" s="64"/>
      <c r="HLG3" s="64"/>
      <c r="HLH3" s="64"/>
      <c r="HLI3" s="64"/>
      <c r="HLJ3" s="64"/>
      <c r="HLK3" s="64"/>
      <c r="HLL3" s="64"/>
      <c r="HLM3" s="64"/>
      <c r="HLN3" s="64"/>
      <c r="HLO3" s="64"/>
      <c r="HLP3" s="64"/>
      <c r="HLQ3" s="64"/>
      <c r="HLR3" s="64"/>
      <c r="HLS3" s="64"/>
      <c r="HLT3" s="64"/>
      <c r="HLU3" s="64"/>
      <c r="HLV3" s="64"/>
      <c r="HLW3" s="64"/>
      <c r="HLX3" s="64"/>
      <c r="HLY3" s="64"/>
      <c r="HLZ3" s="64"/>
      <c r="HMA3" s="64"/>
      <c r="HMB3" s="64"/>
      <c r="HMC3" s="64"/>
      <c r="HMD3" s="64"/>
      <c r="HME3" s="64"/>
      <c r="HMF3" s="64"/>
      <c r="HMG3" s="64"/>
      <c r="HMH3" s="64"/>
      <c r="HMI3" s="64"/>
      <c r="HMJ3" s="64"/>
      <c r="HMK3" s="64"/>
      <c r="HML3" s="64"/>
      <c r="HMM3" s="64"/>
      <c r="HMN3" s="64"/>
      <c r="HMO3" s="64"/>
      <c r="HMP3" s="64"/>
      <c r="HMQ3" s="64"/>
      <c r="HMR3" s="64"/>
      <c r="HMS3" s="64"/>
      <c r="HMT3" s="64"/>
      <c r="HMU3" s="64"/>
      <c r="HMV3" s="64"/>
      <c r="HMW3" s="64"/>
      <c r="HMX3" s="64"/>
      <c r="HMY3" s="64"/>
      <c r="HMZ3" s="64"/>
      <c r="HNA3" s="64"/>
      <c r="HNB3" s="64"/>
      <c r="HNC3" s="64"/>
      <c r="HND3" s="64"/>
      <c r="HNE3" s="64"/>
      <c r="HNF3" s="64"/>
      <c r="HNG3" s="64"/>
      <c r="HNH3" s="64"/>
      <c r="HNI3" s="64"/>
      <c r="HNJ3" s="64"/>
      <c r="HNK3" s="64"/>
      <c r="HNL3" s="64"/>
      <c r="HNM3" s="64"/>
      <c r="HNN3" s="64"/>
      <c r="HNO3" s="64"/>
      <c r="HNP3" s="64"/>
      <c r="HNQ3" s="64"/>
      <c r="HNR3" s="64"/>
      <c r="HNS3" s="64"/>
      <c r="HNT3" s="64"/>
      <c r="HNU3" s="64"/>
      <c r="HNV3" s="64"/>
      <c r="HNW3" s="64"/>
      <c r="HNX3" s="64"/>
      <c r="HNY3" s="64"/>
      <c r="HNZ3" s="64"/>
      <c r="HOA3" s="64"/>
      <c r="HOB3" s="64"/>
      <c r="HOC3" s="64"/>
      <c r="HOD3" s="64"/>
      <c r="HOE3" s="64"/>
      <c r="HOF3" s="64"/>
      <c r="HOG3" s="64"/>
      <c r="HOH3" s="64"/>
      <c r="HOI3" s="64"/>
      <c r="HOJ3" s="64"/>
      <c r="HOK3" s="64"/>
      <c r="HOL3" s="64"/>
      <c r="HOM3" s="64"/>
      <c r="HON3" s="64"/>
      <c r="HOO3" s="64"/>
      <c r="HOP3" s="64"/>
      <c r="HOQ3" s="64"/>
      <c r="HOR3" s="64"/>
      <c r="HOS3" s="64"/>
      <c r="HOT3" s="64"/>
      <c r="HOU3" s="64"/>
      <c r="HOV3" s="64"/>
      <c r="HOW3" s="64"/>
      <c r="HOX3" s="64"/>
      <c r="HOY3" s="64"/>
      <c r="HOZ3" s="64"/>
      <c r="HPA3" s="64"/>
      <c r="HPB3" s="64"/>
      <c r="HPC3" s="64"/>
      <c r="HPD3" s="64"/>
      <c r="HPE3" s="64"/>
      <c r="HPF3" s="64"/>
      <c r="HPG3" s="64"/>
      <c r="HPH3" s="64"/>
      <c r="HPI3" s="64"/>
      <c r="HPJ3" s="64"/>
      <c r="HPK3" s="64"/>
      <c r="HPL3" s="64"/>
      <c r="HPM3" s="64"/>
      <c r="HPN3" s="64"/>
      <c r="HPO3" s="64"/>
      <c r="HPP3" s="64"/>
      <c r="HPQ3" s="64"/>
      <c r="HPR3" s="64"/>
      <c r="HPS3" s="64"/>
      <c r="HPT3" s="64"/>
      <c r="HPU3" s="64"/>
      <c r="HPV3" s="64"/>
      <c r="HPW3" s="64"/>
      <c r="HPX3" s="64"/>
      <c r="HPY3" s="64"/>
      <c r="HPZ3" s="64"/>
      <c r="HQA3" s="64"/>
      <c r="HQB3" s="64"/>
      <c r="HQC3" s="64"/>
      <c r="HQD3" s="64"/>
      <c r="HQE3" s="64"/>
      <c r="HQF3" s="64"/>
      <c r="HQG3" s="64"/>
      <c r="HQH3" s="64"/>
      <c r="HQI3" s="64"/>
      <c r="HQJ3" s="64"/>
      <c r="HQK3" s="64"/>
      <c r="HQL3" s="64"/>
      <c r="HQM3" s="64"/>
      <c r="HQN3" s="64"/>
      <c r="HQO3" s="64"/>
      <c r="HQP3" s="64"/>
      <c r="HQQ3" s="64"/>
      <c r="HQR3" s="64"/>
      <c r="HQS3" s="64"/>
      <c r="HQT3" s="64"/>
      <c r="HQU3" s="64"/>
      <c r="HQV3" s="64"/>
      <c r="HQW3" s="64"/>
      <c r="HQX3" s="64"/>
      <c r="HQY3" s="64"/>
      <c r="HQZ3" s="64"/>
      <c r="HRA3" s="64"/>
      <c r="HRB3" s="64"/>
      <c r="HRC3" s="64"/>
      <c r="HRD3" s="64"/>
      <c r="HRE3" s="64"/>
      <c r="HRF3" s="64"/>
      <c r="HRG3" s="64"/>
      <c r="HRH3" s="64"/>
      <c r="HRI3" s="64"/>
      <c r="HRJ3" s="64"/>
      <c r="HRK3" s="64"/>
      <c r="HRL3" s="64"/>
      <c r="HRM3" s="64"/>
      <c r="HRN3" s="64"/>
      <c r="HRO3" s="64"/>
      <c r="HRP3" s="64"/>
      <c r="HRQ3" s="64"/>
      <c r="HRR3" s="64"/>
      <c r="HRS3" s="64"/>
      <c r="HRT3" s="64"/>
      <c r="HRU3" s="64"/>
      <c r="HRV3" s="64"/>
      <c r="HRW3" s="64"/>
      <c r="HRX3" s="64"/>
      <c r="HRY3" s="64"/>
      <c r="HRZ3" s="64"/>
      <c r="HSA3" s="64"/>
      <c r="HSB3" s="64"/>
      <c r="HSC3" s="64"/>
      <c r="HSD3" s="64"/>
      <c r="HSE3" s="64"/>
      <c r="HSF3" s="64"/>
      <c r="HSG3" s="64"/>
      <c r="HSH3" s="64"/>
      <c r="HSI3" s="64"/>
      <c r="HSJ3" s="64"/>
      <c r="HSK3" s="64"/>
      <c r="HSL3" s="64"/>
      <c r="HSM3" s="64"/>
      <c r="HSN3" s="64"/>
      <c r="HSO3" s="64"/>
      <c r="HSP3" s="64"/>
      <c r="HSQ3" s="64"/>
      <c r="HSR3" s="64"/>
      <c r="HSS3" s="64"/>
      <c r="HST3" s="64"/>
      <c r="HSU3" s="64"/>
      <c r="HSV3" s="64"/>
      <c r="HSW3" s="64"/>
      <c r="HSX3" s="64"/>
      <c r="HSY3" s="64"/>
      <c r="HSZ3" s="64"/>
      <c r="HTA3" s="64"/>
      <c r="HTB3" s="64"/>
      <c r="HTC3" s="64"/>
      <c r="HTD3" s="64"/>
      <c r="HTE3" s="64"/>
      <c r="HTF3" s="64"/>
      <c r="HTG3" s="64"/>
      <c r="HTH3" s="64"/>
      <c r="HTI3" s="64"/>
      <c r="HTJ3" s="64"/>
      <c r="HTK3" s="64"/>
      <c r="HTL3" s="64"/>
      <c r="HTM3" s="64"/>
      <c r="HTN3" s="64"/>
      <c r="HTO3" s="64"/>
      <c r="HTP3" s="64"/>
      <c r="HTQ3" s="64"/>
      <c r="HTR3" s="64"/>
      <c r="HTS3" s="64"/>
      <c r="HTT3" s="64"/>
      <c r="HTU3" s="64"/>
      <c r="HTV3" s="64"/>
      <c r="HTW3" s="64"/>
      <c r="HTX3" s="64"/>
      <c r="HTY3" s="64"/>
      <c r="HTZ3" s="64"/>
      <c r="HUA3" s="64"/>
      <c r="HUB3" s="64"/>
      <c r="HUC3" s="64"/>
      <c r="HUD3" s="64"/>
      <c r="HUE3" s="64"/>
      <c r="HUF3" s="64"/>
      <c r="HUG3" s="64"/>
      <c r="HUH3" s="64"/>
      <c r="HUI3" s="64"/>
      <c r="HUJ3" s="64"/>
      <c r="HUK3" s="64"/>
      <c r="HUL3" s="64"/>
      <c r="HUM3" s="64"/>
      <c r="HUN3" s="64"/>
      <c r="HUO3" s="64"/>
      <c r="HUP3" s="64"/>
      <c r="HUQ3" s="64"/>
      <c r="HUR3" s="64"/>
      <c r="HUS3" s="64"/>
      <c r="HUT3" s="64"/>
      <c r="HUU3" s="64"/>
      <c r="HUV3" s="64"/>
      <c r="HUW3" s="64"/>
      <c r="HUX3" s="64"/>
      <c r="HUY3" s="64"/>
      <c r="HUZ3" s="64"/>
      <c r="HVA3" s="64"/>
      <c r="HVB3" s="64"/>
      <c r="HVC3" s="64"/>
      <c r="HVD3" s="64"/>
      <c r="HVE3" s="64"/>
      <c r="HVF3" s="64"/>
      <c r="HVG3" s="64"/>
      <c r="HVH3" s="64"/>
      <c r="HVI3" s="64"/>
      <c r="HVJ3" s="64"/>
      <c r="HVK3" s="64"/>
      <c r="HVL3" s="64"/>
      <c r="HVM3" s="64"/>
      <c r="HVN3" s="64"/>
      <c r="HVO3" s="64"/>
      <c r="HVP3" s="64"/>
      <c r="HVQ3" s="64"/>
      <c r="HVR3" s="64"/>
      <c r="HVS3" s="64"/>
      <c r="HVT3" s="64"/>
      <c r="HVU3" s="64"/>
      <c r="HVV3" s="64"/>
      <c r="HVW3" s="64"/>
      <c r="HVX3" s="64"/>
      <c r="HVY3" s="64"/>
      <c r="HVZ3" s="64"/>
      <c r="HWA3" s="64"/>
      <c r="HWB3" s="64"/>
      <c r="HWC3" s="64"/>
      <c r="HWD3" s="64"/>
      <c r="HWE3" s="64"/>
      <c r="HWF3" s="64"/>
      <c r="HWG3" s="64"/>
      <c r="HWH3" s="64"/>
      <c r="HWI3" s="64"/>
      <c r="HWJ3" s="64"/>
      <c r="HWK3" s="64"/>
      <c r="HWL3" s="64"/>
      <c r="HWM3" s="64"/>
      <c r="HWN3" s="64"/>
      <c r="HWO3" s="64"/>
      <c r="HWP3" s="64"/>
      <c r="HWQ3" s="64"/>
      <c r="HWR3" s="64"/>
      <c r="HWS3" s="64"/>
      <c r="HWT3" s="64"/>
      <c r="HWU3" s="64"/>
      <c r="HWV3" s="64"/>
      <c r="HWW3" s="64"/>
      <c r="HWX3" s="64"/>
      <c r="HWY3" s="64"/>
      <c r="HWZ3" s="64"/>
      <c r="HXA3" s="64"/>
      <c r="HXB3" s="64"/>
      <c r="HXC3" s="64"/>
      <c r="HXD3" s="64"/>
      <c r="HXE3" s="64"/>
      <c r="HXF3" s="64"/>
      <c r="HXG3" s="64"/>
      <c r="HXH3" s="64"/>
      <c r="HXI3" s="64"/>
      <c r="HXJ3" s="64"/>
      <c r="HXK3" s="64"/>
      <c r="HXL3" s="64"/>
      <c r="HXM3" s="64"/>
      <c r="HXN3" s="64"/>
      <c r="HXO3" s="64"/>
      <c r="HXP3" s="64"/>
      <c r="HXQ3" s="64"/>
      <c r="HXR3" s="64"/>
      <c r="HXS3" s="64"/>
      <c r="HXT3" s="64"/>
      <c r="HXU3" s="64"/>
      <c r="HXV3" s="64"/>
      <c r="HXW3" s="64"/>
      <c r="HXX3" s="64"/>
      <c r="HXY3" s="64"/>
      <c r="HXZ3" s="64"/>
      <c r="HYA3" s="64"/>
      <c r="HYB3" s="64"/>
      <c r="HYC3" s="64"/>
      <c r="HYD3" s="64"/>
      <c r="HYE3" s="64"/>
      <c r="HYF3" s="64"/>
      <c r="HYG3" s="64"/>
      <c r="HYH3" s="64"/>
      <c r="HYI3" s="64"/>
      <c r="HYJ3" s="64"/>
      <c r="HYK3" s="64"/>
      <c r="HYL3" s="64"/>
      <c r="HYM3" s="64"/>
      <c r="HYN3" s="64"/>
      <c r="HYO3" s="64"/>
      <c r="HYP3" s="64"/>
      <c r="HYQ3" s="64"/>
      <c r="HYR3" s="64"/>
      <c r="HYS3" s="64"/>
      <c r="HYT3" s="64"/>
      <c r="HYU3" s="64"/>
      <c r="HYV3" s="64"/>
      <c r="HYW3" s="64"/>
      <c r="HYX3" s="64"/>
      <c r="HYY3" s="64"/>
      <c r="HYZ3" s="64"/>
      <c r="HZA3" s="64"/>
      <c r="HZB3" s="64"/>
      <c r="HZC3" s="64"/>
      <c r="HZD3" s="64"/>
      <c r="HZE3" s="64"/>
      <c r="HZF3" s="64"/>
      <c r="HZG3" s="64"/>
      <c r="HZH3" s="64"/>
      <c r="HZI3" s="64"/>
      <c r="HZJ3" s="64"/>
      <c r="HZK3" s="64"/>
      <c r="HZL3" s="64"/>
      <c r="HZM3" s="64"/>
      <c r="HZN3" s="64"/>
      <c r="HZO3" s="64"/>
      <c r="HZP3" s="64"/>
      <c r="HZQ3" s="64"/>
      <c r="HZR3" s="64"/>
      <c r="HZS3" s="64"/>
      <c r="HZT3" s="64"/>
      <c r="HZU3" s="64"/>
      <c r="HZV3" s="64"/>
      <c r="HZW3" s="64"/>
      <c r="HZX3" s="64"/>
      <c r="HZY3" s="64"/>
      <c r="HZZ3" s="64"/>
      <c r="IAA3" s="64"/>
      <c r="IAB3" s="64"/>
      <c r="IAC3" s="64"/>
      <c r="IAD3" s="64"/>
      <c r="IAE3" s="64"/>
      <c r="IAF3" s="64"/>
      <c r="IAG3" s="64"/>
      <c r="IAH3" s="64"/>
      <c r="IAI3" s="64"/>
      <c r="IAJ3" s="64"/>
      <c r="IAK3" s="64"/>
      <c r="IAL3" s="64"/>
      <c r="IAM3" s="64"/>
      <c r="IAN3" s="64"/>
      <c r="IAO3" s="64"/>
      <c r="IAP3" s="64"/>
      <c r="IAQ3" s="64"/>
      <c r="IAR3" s="64"/>
      <c r="IAS3" s="64"/>
      <c r="IAT3" s="64"/>
      <c r="IAU3" s="64"/>
      <c r="IAV3" s="64"/>
      <c r="IAW3" s="64"/>
      <c r="IAX3" s="64"/>
      <c r="IAY3" s="64"/>
      <c r="IAZ3" s="64"/>
      <c r="IBA3" s="64"/>
      <c r="IBB3" s="64"/>
      <c r="IBC3" s="64"/>
      <c r="IBD3" s="64"/>
      <c r="IBE3" s="64"/>
      <c r="IBF3" s="64"/>
      <c r="IBG3" s="64"/>
      <c r="IBH3" s="64"/>
      <c r="IBI3" s="64"/>
      <c r="IBJ3" s="64"/>
      <c r="IBK3" s="64"/>
      <c r="IBL3" s="64"/>
      <c r="IBM3" s="64"/>
      <c r="IBN3" s="64"/>
      <c r="IBO3" s="64"/>
      <c r="IBP3" s="64"/>
      <c r="IBQ3" s="64"/>
      <c r="IBR3" s="64"/>
      <c r="IBS3" s="64"/>
      <c r="IBT3" s="64"/>
      <c r="IBU3" s="64"/>
      <c r="IBV3" s="64"/>
      <c r="IBW3" s="64"/>
      <c r="IBX3" s="64"/>
      <c r="IBY3" s="64"/>
      <c r="IBZ3" s="64"/>
      <c r="ICA3" s="64"/>
      <c r="ICB3" s="64"/>
      <c r="ICC3" s="64"/>
      <c r="ICD3" s="64"/>
      <c r="ICE3" s="64"/>
      <c r="ICF3" s="64"/>
      <c r="ICG3" s="64"/>
      <c r="ICH3" s="64"/>
      <c r="ICI3" s="64"/>
      <c r="ICJ3" s="64"/>
      <c r="ICK3" s="64"/>
      <c r="ICL3" s="64"/>
      <c r="ICM3" s="64"/>
      <c r="ICN3" s="64"/>
      <c r="ICO3" s="64"/>
      <c r="ICP3" s="64"/>
      <c r="ICQ3" s="64"/>
      <c r="ICR3" s="64"/>
      <c r="ICS3" s="64"/>
      <c r="ICT3" s="64"/>
      <c r="ICU3" s="64"/>
      <c r="ICV3" s="64"/>
      <c r="ICW3" s="64"/>
      <c r="ICX3" s="64"/>
      <c r="ICY3" s="64"/>
      <c r="ICZ3" s="64"/>
      <c r="IDA3" s="64"/>
      <c r="IDB3" s="64"/>
      <c r="IDC3" s="64"/>
      <c r="IDD3" s="64"/>
      <c r="IDE3" s="64"/>
      <c r="IDF3" s="64"/>
      <c r="IDG3" s="64"/>
      <c r="IDH3" s="64"/>
      <c r="IDI3" s="64"/>
      <c r="IDJ3" s="64"/>
      <c r="IDK3" s="64"/>
      <c r="IDL3" s="64"/>
      <c r="IDM3" s="64"/>
      <c r="IDN3" s="64"/>
      <c r="IDO3" s="64"/>
      <c r="IDP3" s="64"/>
      <c r="IDQ3" s="64"/>
      <c r="IDR3" s="64"/>
      <c r="IDS3" s="64"/>
      <c r="IDT3" s="64"/>
      <c r="IDU3" s="64"/>
      <c r="IDV3" s="64"/>
      <c r="IDW3" s="64"/>
      <c r="IDX3" s="64"/>
      <c r="IDY3" s="64"/>
      <c r="IDZ3" s="64"/>
      <c r="IEA3" s="64"/>
      <c r="IEB3" s="64"/>
      <c r="IEC3" s="64"/>
      <c r="IED3" s="64"/>
      <c r="IEE3" s="64"/>
      <c r="IEF3" s="64"/>
      <c r="IEG3" s="64"/>
      <c r="IEH3" s="64"/>
      <c r="IEI3" s="64"/>
      <c r="IEJ3" s="64"/>
      <c r="IEK3" s="64"/>
      <c r="IEL3" s="64"/>
      <c r="IEM3" s="64"/>
      <c r="IEN3" s="64"/>
      <c r="IEO3" s="64"/>
      <c r="IEP3" s="64"/>
      <c r="IEQ3" s="64"/>
      <c r="IER3" s="64"/>
      <c r="IES3" s="64"/>
      <c r="IET3" s="64"/>
      <c r="IEU3" s="64"/>
      <c r="IEV3" s="64"/>
      <c r="IEW3" s="64"/>
      <c r="IEX3" s="64"/>
      <c r="IEY3" s="64"/>
      <c r="IEZ3" s="64"/>
      <c r="IFA3" s="64"/>
      <c r="IFB3" s="64"/>
      <c r="IFC3" s="64"/>
      <c r="IFD3" s="64"/>
      <c r="IFE3" s="64"/>
      <c r="IFF3" s="64"/>
      <c r="IFG3" s="64"/>
      <c r="IFH3" s="64"/>
      <c r="IFI3" s="64"/>
      <c r="IFJ3" s="64"/>
      <c r="IFK3" s="64"/>
      <c r="IFL3" s="64"/>
      <c r="IFM3" s="64"/>
      <c r="IFN3" s="64"/>
      <c r="IFO3" s="64"/>
      <c r="IFP3" s="64"/>
      <c r="IFQ3" s="64"/>
      <c r="IFR3" s="64"/>
      <c r="IFS3" s="64"/>
      <c r="IFT3" s="64"/>
      <c r="IFU3" s="64"/>
      <c r="IFV3" s="64"/>
      <c r="IFW3" s="64"/>
      <c r="IFX3" s="64"/>
      <c r="IFY3" s="64"/>
      <c r="IFZ3" s="64"/>
      <c r="IGA3" s="64"/>
      <c r="IGB3" s="64"/>
      <c r="IGC3" s="64"/>
      <c r="IGD3" s="64"/>
      <c r="IGE3" s="64"/>
      <c r="IGF3" s="64"/>
      <c r="IGG3" s="64"/>
      <c r="IGH3" s="64"/>
      <c r="IGI3" s="64"/>
      <c r="IGJ3" s="64"/>
      <c r="IGK3" s="64"/>
      <c r="IGL3" s="64"/>
      <c r="IGM3" s="64"/>
      <c r="IGN3" s="64"/>
      <c r="IGO3" s="64"/>
      <c r="IGP3" s="64"/>
      <c r="IGQ3" s="64"/>
      <c r="IGR3" s="64"/>
      <c r="IGS3" s="64"/>
      <c r="IGT3" s="64"/>
      <c r="IGU3" s="64"/>
      <c r="IGV3" s="64"/>
      <c r="IGW3" s="64"/>
      <c r="IGX3" s="64"/>
      <c r="IGY3" s="64"/>
      <c r="IGZ3" s="64"/>
      <c r="IHA3" s="64"/>
      <c r="IHB3" s="64"/>
      <c r="IHC3" s="64"/>
      <c r="IHD3" s="64"/>
      <c r="IHE3" s="64"/>
      <c r="IHF3" s="64"/>
      <c r="IHG3" s="64"/>
      <c r="IHH3" s="64"/>
      <c r="IHI3" s="64"/>
      <c r="IHJ3" s="64"/>
      <c r="IHK3" s="64"/>
      <c r="IHL3" s="64"/>
      <c r="IHM3" s="64"/>
      <c r="IHN3" s="64"/>
      <c r="IHO3" s="64"/>
      <c r="IHP3" s="64"/>
      <c r="IHQ3" s="64"/>
      <c r="IHR3" s="64"/>
      <c r="IHS3" s="64"/>
      <c r="IHT3" s="64"/>
      <c r="IHU3" s="64"/>
      <c r="IHV3" s="64"/>
      <c r="IHW3" s="64"/>
      <c r="IHX3" s="64"/>
      <c r="IHY3" s="64"/>
      <c r="IHZ3" s="64"/>
      <c r="IIA3" s="64"/>
      <c r="IIB3" s="64"/>
      <c r="IIC3" s="64"/>
      <c r="IID3" s="64"/>
      <c r="IIE3" s="64"/>
      <c r="IIF3" s="64"/>
      <c r="IIG3" s="64"/>
      <c r="IIH3" s="64"/>
      <c r="III3" s="64"/>
      <c r="IIJ3" s="64"/>
      <c r="IIK3" s="64"/>
      <c r="IIL3" s="64"/>
      <c r="IIM3" s="64"/>
      <c r="IIN3" s="64"/>
      <c r="IIO3" s="64"/>
      <c r="IIP3" s="64"/>
      <c r="IIQ3" s="64"/>
      <c r="IIR3" s="64"/>
      <c r="IIS3" s="64"/>
      <c r="IIT3" s="64"/>
      <c r="IIU3" s="64"/>
      <c r="IIV3" s="64"/>
      <c r="IIW3" s="64"/>
      <c r="IIX3" s="64"/>
      <c r="IIY3" s="64"/>
      <c r="IIZ3" s="64"/>
      <c r="IJA3" s="64"/>
      <c r="IJB3" s="64"/>
      <c r="IJC3" s="64"/>
      <c r="IJD3" s="64"/>
      <c r="IJE3" s="64"/>
      <c r="IJF3" s="64"/>
      <c r="IJG3" s="64"/>
      <c r="IJH3" s="64"/>
      <c r="IJI3" s="64"/>
      <c r="IJJ3" s="64"/>
      <c r="IJK3" s="64"/>
      <c r="IJL3" s="64"/>
      <c r="IJM3" s="64"/>
      <c r="IJN3" s="64"/>
      <c r="IJO3" s="64"/>
      <c r="IJP3" s="64"/>
      <c r="IJQ3" s="64"/>
      <c r="IJR3" s="64"/>
      <c r="IJS3" s="64"/>
      <c r="IJT3" s="64"/>
      <c r="IJU3" s="64"/>
      <c r="IJV3" s="64"/>
      <c r="IJW3" s="64"/>
      <c r="IJX3" s="64"/>
      <c r="IJY3" s="64"/>
      <c r="IJZ3" s="64"/>
      <c r="IKA3" s="64"/>
      <c r="IKB3" s="64"/>
      <c r="IKC3" s="64"/>
      <c r="IKD3" s="64"/>
      <c r="IKE3" s="64"/>
      <c r="IKF3" s="64"/>
      <c r="IKG3" s="64"/>
      <c r="IKH3" s="64"/>
      <c r="IKI3" s="64"/>
      <c r="IKJ3" s="64"/>
      <c r="IKK3" s="64"/>
      <c r="IKL3" s="64"/>
      <c r="IKM3" s="64"/>
      <c r="IKN3" s="64"/>
      <c r="IKO3" s="64"/>
      <c r="IKP3" s="64"/>
      <c r="IKQ3" s="64"/>
      <c r="IKR3" s="64"/>
      <c r="IKS3" s="64"/>
      <c r="IKT3" s="64"/>
      <c r="IKU3" s="64"/>
      <c r="IKV3" s="64"/>
      <c r="IKW3" s="64"/>
      <c r="IKX3" s="64"/>
      <c r="IKY3" s="64"/>
      <c r="IKZ3" s="64"/>
      <c r="ILA3" s="64"/>
      <c r="ILB3" s="64"/>
      <c r="ILC3" s="64"/>
      <c r="ILD3" s="64"/>
      <c r="ILE3" s="64"/>
      <c r="ILF3" s="64"/>
      <c r="ILG3" s="64"/>
      <c r="ILH3" s="64"/>
      <c r="ILI3" s="64"/>
      <c r="ILJ3" s="64"/>
      <c r="ILK3" s="64"/>
      <c r="ILL3" s="64"/>
      <c r="ILM3" s="64"/>
      <c r="ILN3" s="64"/>
      <c r="ILO3" s="64"/>
      <c r="ILP3" s="64"/>
      <c r="ILQ3" s="64"/>
      <c r="ILR3" s="64"/>
      <c r="ILS3" s="64"/>
      <c r="ILT3" s="64"/>
      <c r="ILU3" s="64"/>
      <c r="ILV3" s="64"/>
      <c r="ILW3" s="64"/>
      <c r="ILX3" s="64"/>
      <c r="ILY3" s="64"/>
      <c r="ILZ3" s="64"/>
      <c r="IMA3" s="64"/>
      <c r="IMB3" s="64"/>
      <c r="IMC3" s="64"/>
      <c r="IMD3" s="64"/>
      <c r="IME3" s="64"/>
      <c r="IMF3" s="64"/>
      <c r="IMG3" s="64"/>
      <c r="IMH3" s="64"/>
      <c r="IMI3" s="64"/>
      <c r="IMJ3" s="64"/>
      <c r="IMK3" s="64"/>
      <c r="IML3" s="64"/>
      <c r="IMM3" s="64"/>
      <c r="IMN3" s="64"/>
      <c r="IMO3" s="64"/>
      <c r="IMP3" s="64"/>
      <c r="IMQ3" s="64"/>
      <c r="IMR3" s="64"/>
      <c r="IMS3" s="64"/>
      <c r="IMT3" s="64"/>
      <c r="IMU3" s="64"/>
      <c r="IMV3" s="64"/>
      <c r="IMW3" s="64"/>
      <c r="IMX3" s="64"/>
      <c r="IMY3" s="64"/>
      <c r="IMZ3" s="64"/>
      <c r="INA3" s="64"/>
      <c r="INB3" s="64"/>
      <c r="INC3" s="64"/>
      <c r="IND3" s="64"/>
      <c r="INE3" s="64"/>
      <c r="INF3" s="64"/>
      <c r="ING3" s="64"/>
      <c r="INH3" s="64"/>
      <c r="INI3" s="64"/>
      <c r="INJ3" s="64"/>
      <c r="INK3" s="64"/>
      <c r="INL3" s="64"/>
      <c r="INM3" s="64"/>
      <c r="INN3" s="64"/>
      <c r="INO3" s="64"/>
      <c r="INP3" s="64"/>
      <c r="INQ3" s="64"/>
      <c r="INR3" s="64"/>
      <c r="INS3" s="64"/>
      <c r="INT3" s="64"/>
      <c r="INU3" s="64"/>
      <c r="INV3" s="64"/>
      <c r="INW3" s="64"/>
      <c r="INX3" s="64"/>
      <c r="INY3" s="64"/>
      <c r="INZ3" s="64"/>
      <c r="IOA3" s="64"/>
      <c r="IOB3" s="64"/>
      <c r="IOC3" s="64"/>
      <c r="IOD3" s="64"/>
      <c r="IOE3" s="64"/>
      <c r="IOF3" s="64"/>
      <c r="IOG3" s="64"/>
      <c r="IOH3" s="64"/>
      <c r="IOI3" s="64"/>
      <c r="IOJ3" s="64"/>
      <c r="IOK3" s="64"/>
      <c r="IOL3" s="64"/>
      <c r="IOM3" s="64"/>
      <c r="ION3" s="64"/>
      <c r="IOO3" s="64"/>
      <c r="IOP3" s="64"/>
      <c r="IOQ3" s="64"/>
      <c r="IOR3" s="64"/>
      <c r="IOS3" s="64"/>
      <c r="IOT3" s="64"/>
      <c r="IOU3" s="64"/>
      <c r="IOV3" s="64"/>
      <c r="IOW3" s="64"/>
      <c r="IOX3" s="64"/>
      <c r="IOY3" s="64"/>
      <c r="IOZ3" s="64"/>
      <c r="IPA3" s="64"/>
      <c r="IPB3" s="64"/>
      <c r="IPC3" s="64"/>
      <c r="IPD3" s="64"/>
      <c r="IPE3" s="64"/>
      <c r="IPF3" s="64"/>
      <c r="IPG3" s="64"/>
      <c r="IPH3" s="64"/>
      <c r="IPI3" s="64"/>
      <c r="IPJ3" s="64"/>
      <c r="IPK3" s="64"/>
      <c r="IPL3" s="64"/>
      <c r="IPM3" s="64"/>
      <c r="IPN3" s="64"/>
      <c r="IPO3" s="64"/>
      <c r="IPP3" s="64"/>
      <c r="IPQ3" s="64"/>
      <c r="IPR3" s="64"/>
      <c r="IPS3" s="64"/>
      <c r="IPT3" s="64"/>
      <c r="IPU3" s="64"/>
      <c r="IPV3" s="64"/>
      <c r="IPW3" s="64"/>
      <c r="IPX3" s="64"/>
      <c r="IPY3" s="64"/>
      <c r="IPZ3" s="64"/>
      <c r="IQA3" s="64"/>
      <c r="IQB3" s="64"/>
      <c r="IQC3" s="64"/>
      <c r="IQD3" s="64"/>
      <c r="IQE3" s="64"/>
      <c r="IQF3" s="64"/>
      <c r="IQG3" s="64"/>
      <c r="IQH3" s="64"/>
      <c r="IQI3" s="64"/>
      <c r="IQJ3" s="64"/>
      <c r="IQK3" s="64"/>
      <c r="IQL3" s="64"/>
      <c r="IQM3" s="64"/>
      <c r="IQN3" s="64"/>
      <c r="IQO3" s="64"/>
      <c r="IQP3" s="64"/>
      <c r="IQQ3" s="64"/>
      <c r="IQR3" s="64"/>
      <c r="IQS3" s="64"/>
      <c r="IQT3" s="64"/>
      <c r="IQU3" s="64"/>
      <c r="IQV3" s="64"/>
      <c r="IQW3" s="64"/>
      <c r="IQX3" s="64"/>
      <c r="IQY3" s="64"/>
      <c r="IQZ3" s="64"/>
      <c r="IRA3" s="64"/>
      <c r="IRB3" s="64"/>
      <c r="IRC3" s="64"/>
      <c r="IRD3" s="64"/>
      <c r="IRE3" s="64"/>
      <c r="IRF3" s="64"/>
      <c r="IRG3" s="64"/>
      <c r="IRH3" s="64"/>
      <c r="IRI3" s="64"/>
      <c r="IRJ3" s="64"/>
      <c r="IRK3" s="64"/>
      <c r="IRL3" s="64"/>
      <c r="IRM3" s="64"/>
      <c r="IRN3" s="64"/>
      <c r="IRO3" s="64"/>
      <c r="IRP3" s="64"/>
      <c r="IRQ3" s="64"/>
      <c r="IRR3" s="64"/>
      <c r="IRS3" s="64"/>
      <c r="IRT3" s="64"/>
      <c r="IRU3" s="64"/>
      <c r="IRV3" s="64"/>
      <c r="IRW3" s="64"/>
      <c r="IRX3" s="64"/>
      <c r="IRY3" s="64"/>
      <c r="IRZ3" s="64"/>
      <c r="ISA3" s="64"/>
      <c r="ISB3" s="64"/>
      <c r="ISC3" s="64"/>
      <c r="ISD3" s="64"/>
      <c r="ISE3" s="64"/>
      <c r="ISF3" s="64"/>
      <c r="ISG3" s="64"/>
      <c r="ISH3" s="64"/>
      <c r="ISI3" s="64"/>
      <c r="ISJ3" s="64"/>
      <c r="ISK3" s="64"/>
      <c r="ISL3" s="64"/>
      <c r="ISM3" s="64"/>
      <c r="ISN3" s="64"/>
      <c r="ISO3" s="64"/>
      <c r="ISP3" s="64"/>
      <c r="ISQ3" s="64"/>
      <c r="ISR3" s="64"/>
      <c r="ISS3" s="64"/>
      <c r="IST3" s="64"/>
      <c r="ISU3" s="64"/>
      <c r="ISV3" s="64"/>
      <c r="ISW3" s="64"/>
      <c r="ISX3" s="64"/>
      <c r="ISY3" s="64"/>
      <c r="ISZ3" s="64"/>
      <c r="ITA3" s="64"/>
      <c r="ITB3" s="64"/>
      <c r="ITC3" s="64"/>
      <c r="ITD3" s="64"/>
      <c r="ITE3" s="64"/>
      <c r="ITF3" s="64"/>
      <c r="ITG3" s="64"/>
      <c r="ITH3" s="64"/>
      <c r="ITI3" s="64"/>
      <c r="ITJ3" s="64"/>
      <c r="ITK3" s="64"/>
      <c r="ITL3" s="64"/>
      <c r="ITM3" s="64"/>
      <c r="ITN3" s="64"/>
      <c r="ITO3" s="64"/>
      <c r="ITP3" s="64"/>
      <c r="ITQ3" s="64"/>
      <c r="ITR3" s="64"/>
      <c r="ITS3" s="64"/>
      <c r="ITT3" s="64"/>
      <c r="ITU3" s="64"/>
      <c r="ITV3" s="64"/>
      <c r="ITW3" s="64"/>
      <c r="ITX3" s="64"/>
      <c r="ITY3" s="64"/>
      <c r="ITZ3" s="64"/>
      <c r="IUA3" s="64"/>
      <c r="IUB3" s="64"/>
      <c r="IUC3" s="64"/>
      <c r="IUD3" s="64"/>
      <c r="IUE3" s="64"/>
      <c r="IUF3" s="64"/>
      <c r="IUG3" s="64"/>
      <c r="IUH3" s="64"/>
      <c r="IUI3" s="64"/>
      <c r="IUJ3" s="64"/>
      <c r="IUK3" s="64"/>
      <c r="IUL3" s="64"/>
      <c r="IUM3" s="64"/>
      <c r="IUN3" s="64"/>
      <c r="IUO3" s="64"/>
      <c r="IUP3" s="64"/>
      <c r="IUQ3" s="64"/>
      <c r="IUR3" s="64"/>
      <c r="IUS3" s="64"/>
      <c r="IUT3" s="64"/>
      <c r="IUU3" s="64"/>
      <c r="IUV3" s="64"/>
      <c r="IUW3" s="64"/>
      <c r="IUX3" s="64"/>
      <c r="IUY3" s="64"/>
      <c r="IUZ3" s="64"/>
      <c r="IVA3" s="64"/>
      <c r="IVB3" s="64"/>
      <c r="IVC3" s="64"/>
      <c r="IVD3" s="64"/>
      <c r="IVE3" s="64"/>
      <c r="IVF3" s="64"/>
      <c r="IVG3" s="64"/>
      <c r="IVH3" s="64"/>
      <c r="IVI3" s="64"/>
      <c r="IVJ3" s="64"/>
      <c r="IVK3" s="64"/>
      <c r="IVL3" s="64"/>
      <c r="IVM3" s="64"/>
      <c r="IVN3" s="64"/>
      <c r="IVO3" s="64"/>
      <c r="IVP3" s="64"/>
      <c r="IVQ3" s="64"/>
      <c r="IVR3" s="64"/>
      <c r="IVS3" s="64"/>
      <c r="IVT3" s="64"/>
      <c r="IVU3" s="64"/>
      <c r="IVV3" s="64"/>
      <c r="IVW3" s="64"/>
      <c r="IVX3" s="64"/>
      <c r="IVY3" s="64"/>
      <c r="IVZ3" s="64"/>
      <c r="IWA3" s="64"/>
      <c r="IWB3" s="64"/>
      <c r="IWC3" s="64"/>
      <c r="IWD3" s="64"/>
      <c r="IWE3" s="64"/>
      <c r="IWF3" s="64"/>
      <c r="IWG3" s="64"/>
      <c r="IWH3" s="64"/>
      <c r="IWI3" s="64"/>
      <c r="IWJ3" s="64"/>
      <c r="IWK3" s="64"/>
      <c r="IWL3" s="64"/>
      <c r="IWM3" s="64"/>
      <c r="IWN3" s="64"/>
      <c r="IWO3" s="64"/>
      <c r="IWP3" s="64"/>
      <c r="IWQ3" s="64"/>
      <c r="IWR3" s="64"/>
      <c r="IWS3" s="64"/>
      <c r="IWT3" s="64"/>
      <c r="IWU3" s="64"/>
      <c r="IWV3" s="64"/>
      <c r="IWW3" s="64"/>
      <c r="IWX3" s="64"/>
      <c r="IWY3" s="64"/>
      <c r="IWZ3" s="64"/>
      <c r="IXA3" s="64"/>
      <c r="IXB3" s="64"/>
      <c r="IXC3" s="64"/>
      <c r="IXD3" s="64"/>
      <c r="IXE3" s="64"/>
      <c r="IXF3" s="64"/>
      <c r="IXG3" s="64"/>
      <c r="IXH3" s="64"/>
      <c r="IXI3" s="64"/>
      <c r="IXJ3" s="64"/>
      <c r="IXK3" s="64"/>
      <c r="IXL3" s="64"/>
      <c r="IXM3" s="64"/>
      <c r="IXN3" s="64"/>
      <c r="IXO3" s="64"/>
      <c r="IXP3" s="64"/>
      <c r="IXQ3" s="64"/>
      <c r="IXR3" s="64"/>
      <c r="IXS3" s="64"/>
      <c r="IXT3" s="64"/>
      <c r="IXU3" s="64"/>
      <c r="IXV3" s="64"/>
      <c r="IXW3" s="64"/>
      <c r="IXX3" s="64"/>
      <c r="IXY3" s="64"/>
      <c r="IXZ3" s="64"/>
      <c r="IYA3" s="64"/>
      <c r="IYB3" s="64"/>
      <c r="IYC3" s="64"/>
      <c r="IYD3" s="64"/>
      <c r="IYE3" s="64"/>
      <c r="IYF3" s="64"/>
      <c r="IYG3" s="64"/>
      <c r="IYH3" s="64"/>
      <c r="IYI3" s="64"/>
      <c r="IYJ3" s="64"/>
      <c r="IYK3" s="64"/>
      <c r="IYL3" s="64"/>
      <c r="IYM3" s="64"/>
      <c r="IYN3" s="64"/>
      <c r="IYO3" s="64"/>
      <c r="IYP3" s="64"/>
      <c r="IYQ3" s="64"/>
      <c r="IYR3" s="64"/>
      <c r="IYS3" s="64"/>
      <c r="IYT3" s="64"/>
      <c r="IYU3" s="64"/>
      <c r="IYV3" s="64"/>
      <c r="IYW3" s="64"/>
      <c r="IYX3" s="64"/>
      <c r="IYY3" s="64"/>
      <c r="IYZ3" s="64"/>
      <c r="IZA3" s="64"/>
      <c r="IZB3" s="64"/>
      <c r="IZC3" s="64"/>
      <c r="IZD3" s="64"/>
      <c r="IZE3" s="64"/>
      <c r="IZF3" s="64"/>
      <c r="IZG3" s="64"/>
      <c r="IZH3" s="64"/>
      <c r="IZI3" s="64"/>
      <c r="IZJ3" s="64"/>
      <c r="IZK3" s="64"/>
      <c r="IZL3" s="64"/>
      <c r="IZM3" s="64"/>
      <c r="IZN3" s="64"/>
      <c r="IZO3" s="64"/>
      <c r="IZP3" s="64"/>
      <c r="IZQ3" s="64"/>
      <c r="IZR3" s="64"/>
      <c r="IZS3" s="64"/>
      <c r="IZT3" s="64"/>
      <c r="IZU3" s="64"/>
      <c r="IZV3" s="64"/>
      <c r="IZW3" s="64"/>
      <c r="IZX3" s="64"/>
      <c r="IZY3" s="64"/>
      <c r="IZZ3" s="64"/>
      <c r="JAA3" s="64"/>
      <c r="JAB3" s="64"/>
      <c r="JAC3" s="64"/>
      <c r="JAD3" s="64"/>
      <c r="JAE3" s="64"/>
      <c r="JAF3" s="64"/>
      <c r="JAG3" s="64"/>
      <c r="JAH3" s="64"/>
      <c r="JAI3" s="64"/>
      <c r="JAJ3" s="64"/>
      <c r="JAK3" s="64"/>
      <c r="JAL3" s="64"/>
      <c r="JAM3" s="64"/>
      <c r="JAN3" s="64"/>
      <c r="JAO3" s="64"/>
      <c r="JAP3" s="64"/>
      <c r="JAQ3" s="64"/>
      <c r="JAR3" s="64"/>
      <c r="JAS3" s="64"/>
      <c r="JAT3" s="64"/>
      <c r="JAU3" s="64"/>
      <c r="JAV3" s="64"/>
      <c r="JAW3" s="64"/>
      <c r="JAX3" s="64"/>
      <c r="JAY3" s="64"/>
      <c r="JAZ3" s="64"/>
      <c r="JBA3" s="64"/>
      <c r="JBB3" s="64"/>
      <c r="JBC3" s="64"/>
      <c r="JBD3" s="64"/>
      <c r="JBE3" s="64"/>
      <c r="JBF3" s="64"/>
      <c r="JBG3" s="64"/>
      <c r="JBH3" s="64"/>
      <c r="JBI3" s="64"/>
      <c r="JBJ3" s="64"/>
      <c r="JBK3" s="64"/>
      <c r="JBL3" s="64"/>
      <c r="JBM3" s="64"/>
      <c r="JBN3" s="64"/>
      <c r="JBO3" s="64"/>
      <c r="JBP3" s="64"/>
      <c r="JBQ3" s="64"/>
      <c r="JBR3" s="64"/>
      <c r="JBS3" s="64"/>
      <c r="JBT3" s="64"/>
      <c r="JBU3" s="64"/>
      <c r="JBV3" s="64"/>
      <c r="JBW3" s="64"/>
      <c r="JBX3" s="64"/>
      <c r="JBY3" s="64"/>
      <c r="JBZ3" s="64"/>
      <c r="JCA3" s="64"/>
      <c r="JCB3" s="64"/>
      <c r="JCC3" s="64"/>
      <c r="JCD3" s="64"/>
      <c r="JCE3" s="64"/>
      <c r="JCF3" s="64"/>
      <c r="JCG3" s="64"/>
      <c r="JCH3" s="64"/>
      <c r="JCI3" s="64"/>
      <c r="JCJ3" s="64"/>
      <c r="JCK3" s="64"/>
      <c r="JCL3" s="64"/>
      <c r="JCM3" s="64"/>
      <c r="JCN3" s="64"/>
      <c r="JCO3" s="64"/>
      <c r="JCP3" s="64"/>
      <c r="JCQ3" s="64"/>
      <c r="JCR3" s="64"/>
      <c r="JCS3" s="64"/>
      <c r="JCT3" s="64"/>
      <c r="JCU3" s="64"/>
      <c r="JCV3" s="64"/>
      <c r="JCW3" s="64"/>
      <c r="JCX3" s="64"/>
      <c r="JCY3" s="64"/>
      <c r="JCZ3" s="64"/>
      <c r="JDA3" s="64"/>
      <c r="JDB3" s="64"/>
      <c r="JDC3" s="64"/>
      <c r="JDD3" s="64"/>
      <c r="JDE3" s="64"/>
      <c r="JDF3" s="64"/>
      <c r="JDG3" s="64"/>
      <c r="JDH3" s="64"/>
      <c r="JDI3" s="64"/>
      <c r="JDJ3" s="64"/>
      <c r="JDK3" s="64"/>
      <c r="JDL3" s="64"/>
      <c r="JDM3" s="64"/>
      <c r="JDN3" s="64"/>
      <c r="JDO3" s="64"/>
      <c r="JDP3" s="64"/>
      <c r="JDQ3" s="64"/>
      <c r="JDR3" s="64"/>
      <c r="JDS3" s="64"/>
      <c r="JDT3" s="64"/>
      <c r="JDU3" s="64"/>
      <c r="JDV3" s="64"/>
      <c r="JDW3" s="64"/>
      <c r="JDX3" s="64"/>
      <c r="JDY3" s="64"/>
      <c r="JDZ3" s="64"/>
      <c r="JEA3" s="64"/>
      <c r="JEB3" s="64"/>
      <c r="JEC3" s="64"/>
      <c r="JED3" s="64"/>
      <c r="JEE3" s="64"/>
      <c r="JEF3" s="64"/>
      <c r="JEG3" s="64"/>
      <c r="JEH3" s="64"/>
      <c r="JEI3" s="64"/>
      <c r="JEJ3" s="64"/>
      <c r="JEK3" s="64"/>
      <c r="JEL3" s="64"/>
      <c r="JEM3" s="64"/>
      <c r="JEN3" s="64"/>
      <c r="JEO3" s="64"/>
      <c r="JEP3" s="64"/>
      <c r="JEQ3" s="64"/>
      <c r="JER3" s="64"/>
      <c r="JES3" s="64"/>
      <c r="JET3" s="64"/>
      <c r="JEU3" s="64"/>
      <c r="JEV3" s="64"/>
      <c r="JEW3" s="64"/>
      <c r="JEX3" s="64"/>
      <c r="JEY3" s="64"/>
      <c r="JEZ3" s="64"/>
      <c r="JFA3" s="64"/>
      <c r="JFB3" s="64"/>
      <c r="JFC3" s="64"/>
      <c r="JFD3" s="64"/>
      <c r="JFE3" s="64"/>
      <c r="JFF3" s="64"/>
      <c r="JFG3" s="64"/>
      <c r="JFH3" s="64"/>
      <c r="JFI3" s="64"/>
      <c r="JFJ3" s="64"/>
      <c r="JFK3" s="64"/>
      <c r="JFL3" s="64"/>
      <c r="JFM3" s="64"/>
      <c r="JFN3" s="64"/>
      <c r="JFO3" s="64"/>
      <c r="JFP3" s="64"/>
      <c r="JFQ3" s="64"/>
      <c r="JFR3" s="64"/>
      <c r="JFS3" s="64"/>
      <c r="JFT3" s="64"/>
      <c r="JFU3" s="64"/>
      <c r="JFV3" s="64"/>
      <c r="JFW3" s="64"/>
      <c r="JFX3" s="64"/>
      <c r="JFY3" s="64"/>
      <c r="JFZ3" s="64"/>
      <c r="JGA3" s="64"/>
      <c r="JGB3" s="64"/>
      <c r="JGC3" s="64"/>
      <c r="JGD3" s="64"/>
      <c r="JGE3" s="64"/>
      <c r="JGF3" s="64"/>
      <c r="JGG3" s="64"/>
      <c r="JGH3" s="64"/>
      <c r="JGI3" s="64"/>
      <c r="JGJ3" s="64"/>
      <c r="JGK3" s="64"/>
      <c r="JGL3" s="64"/>
      <c r="JGM3" s="64"/>
      <c r="JGN3" s="64"/>
      <c r="JGO3" s="64"/>
      <c r="JGP3" s="64"/>
      <c r="JGQ3" s="64"/>
      <c r="JGR3" s="64"/>
      <c r="JGS3" s="64"/>
      <c r="JGT3" s="64"/>
      <c r="JGU3" s="64"/>
      <c r="JGV3" s="64"/>
      <c r="JGW3" s="64"/>
      <c r="JGX3" s="64"/>
      <c r="JGY3" s="64"/>
      <c r="JGZ3" s="64"/>
      <c r="JHA3" s="64"/>
      <c r="JHB3" s="64"/>
      <c r="JHC3" s="64"/>
      <c r="JHD3" s="64"/>
      <c r="JHE3" s="64"/>
      <c r="JHF3" s="64"/>
      <c r="JHG3" s="64"/>
      <c r="JHH3" s="64"/>
      <c r="JHI3" s="64"/>
      <c r="JHJ3" s="64"/>
      <c r="JHK3" s="64"/>
      <c r="JHL3" s="64"/>
      <c r="JHM3" s="64"/>
      <c r="JHN3" s="64"/>
      <c r="JHO3" s="64"/>
      <c r="JHP3" s="64"/>
      <c r="JHQ3" s="64"/>
      <c r="JHR3" s="64"/>
      <c r="JHS3" s="64"/>
      <c r="JHT3" s="64"/>
      <c r="JHU3" s="64"/>
      <c r="JHV3" s="64"/>
      <c r="JHW3" s="64"/>
      <c r="JHX3" s="64"/>
      <c r="JHY3" s="64"/>
      <c r="JHZ3" s="64"/>
      <c r="JIA3" s="64"/>
      <c r="JIB3" s="64"/>
      <c r="JIC3" s="64"/>
      <c r="JID3" s="64"/>
      <c r="JIE3" s="64"/>
      <c r="JIF3" s="64"/>
      <c r="JIG3" s="64"/>
      <c r="JIH3" s="64"/>
      <c r="JII3" s="64"/>
      <c r="JIJ3" s="64"/>
      <c r="JIK3" s="64"/>
      <c r="JIL3" s="64"/>
      <c r="JIM3" s="64"/>
      <c r="JIN3" s="64"/>
      <c r="JIO3" s="64"/>
      <c r="JIP3" s="64"/>
      <c r="JIQ3" s="64"/>
      <c r="JIR3" s="64"/>
      <c r="JIS3" s="64"/>
      <c r="JIT3" s="64"/>
      <c r="JIU3" s="64"/>
      <c r="JIV3" s="64"/>
      <c r="JIW3" s="64"/>
      <c r="JIX3" s="64"/>
      <c r="JIY3" s="64"/>
      <c r="JIZ3" s="64"/>
      <c r="JJA3" s="64"/>
      <c r="JJB3" s="64"/>
      <c r="JJC3" s="64"/>
      <c r="JJD3" s="64"/>
      <c r="JJE3" s="64"/>
      <c r="JJF3" s="64"/>
      <c r="JJG3" s="64"/>
      <c r="JJH3" s="64"/>
      <c r="JJI3" s="64"/>
      <c r="JJJ3" s="64"/>
      <c r="JJK3" s="64"/>
      <c r="JJL3" s="64"/>
      <c r="JJM3" s="64"/>
      <c r="JJN3" s="64"/>
      <c r="JJO3" s="64"/>
      <c r="JJP3" s="64"/>
      <c r="JJQ3" s="64"/>
      <c r="JJR3" s="64"/>
      <c r="JJS3" s="64"/>
      <c r="JJT3" s="64"/>
      <c r="JJU3" s="64"/>
      <c r="JJV3" s="64"/>
      <c r="JJW3" s="64"/>
      <c r="JJX3" s="64"/>
      <c r="JJY3" s="64"/>
      <c r="JJZ3" s="64"/>
      <c r="JKA3" s="64"/>
      <c r="JKB3" s="64"/>
      <c r="JKC3" s="64"/>
      <c r="JKD3" s="64"/>
      <c r="JKE3" s="64"/>
      <c r="JKF3" s="64"/>
      <c r="JKG3" s="64"/>
      <c r="JKH3" s="64"/>
      <c r="JKI3" s="64"/>
      <c r="JKJ3" s="64"/>
      <c r="JKK3" s="64"/>
      <c r="JKL3" s="64"/>
      <c r="JKM3" s="64"/>
      <c r="JKN3" s="64"/>
      <c r="JKO3" s="64"/>
      <c r="JKP3" s="64"/>
      <c r="JKQ3" s="64"/>
      <c r="JKR3" s="64"/>
      <c r="JKS3" s="64"/>
      <c r="JKT3" s="64"/>
      <c r="JKU3" s="64"/>
      <c r="JKV3" s="64"/>
      <c r="JKW3" s="64"/>
      <c r="JKX3" s="64"/>
      <c r="JKY3" s="64"/>
      <c r="JKZ3" s="64"/>
      <c r="JLA3" s="64"/>
      <c r="JLB3" s="64"/>
      <c r="JLC3" s="64"/>
      <c r="JLD3" s="64"/>
      <c r="JLE3" s="64"/>
      <c r="JLF3" s="64"/>
      <c r="JLG3" s="64"/>
      <c r="JLH3" s="64"/>
      <c r="JLI3" s="64"/>
      <c r="JLJ3" s="64"/>
      <c r="JLK3" s="64"/>
      <c r="JLL3" s="64"/>
      <c r="JLM3" s="64"/>
      <c r="JLN3" s="64"/>
      <c r="JLO3" s="64"/>
      <c r="JLP3" s="64"/>
      <c r="JLQ3" s="64"/>
      <c r="JLR3" s="64"/>
      <c r="JLS3" s="64"/>
      <c r="JLT3" s="64"/>
      <c r="JLU3" s="64"/>
      <c r="JLV3" s="64"/>
      <c r="JLW3" s="64"/>
      <c r="JLX3" s="64"/>
      <c r="JLY3" s="64"/>
      <c r="JLZ3" s="64"/>
      <c r="JMA3" s="64"/>
      <c r="JMB3" s="64"/>
      <c r="JMC3" s="64"/>
      <c r="JMD3" s="64"/>
      <c r="JME3" s="64"/>
      <c r="JMF3" s="64"/>
      <c r="JMG3" s="64"/>
      <c r="JMH3" s="64"/>
      <c r="JMI3" s="64"/>
      <c r="JMJ3" s="64"/>
      <c r="JMK3" s="64"/>
      <c r="JML3" s="64"/>
      <c r="JMM3" s="64"/>
      <c r="JMN3" s="64"/>
      <c r="JMO3" s="64"/>
      <c r="JMP3" s="64"/>
      <c r="JMQ3" s="64"/>
      <c r="JMR3" s="64"/>
      <c r="JMS3" s="64"/>
      <c r="JMT3" s="64"/>
      <c r="JMU3" s="64"/>
      <c r="JMV3" s="64"/>
      <c r="JMW3" s="64"/>
      <c r="JMX3" s="64"/>
      <c r="JMY3" s="64"/>
      <c r="JMZ3" s="64"/>
      <c r="JNA3" s="64"/>
      <c r="JNB3" s="64"/>
      <c r="JNC3" s="64"/>
      <c r="JND3" s="64"/>
      <c r="JNE3" s="64"/>
      <c r="JNF3" s="64"/>
      <c r="JNG3" s="64"/>
      <c r="JNH3" s="64"/>
      <c r="JNI3" s="64"/>
      <c r="JNJ3" s="64"/>
      <c r="JNK3" s="64"/>
      <c r="JNL3" s="64"/>
      <c r="JNM3" s="64"/>
      <c r="JNN3" s="64"/>
      <c r="JNO3" s="64"/>
      <c r="JNP3" s="64"/>
      <c r="JNQ3" s="64"/>
      <c r="JNR3" s="64"/>
      <c r="JNS3" s="64"/>
      <c r="JNT3" s="64"/>
      <c r="JNU3" s="64"/>
      <c r="JNV3" s="64"/>
      <c r="JNW3" s="64"/>
      <c r="JNX3" s="64"/>
      <c r="JNY3" s="64"/>
      <c r="JNZ3" s="64"/>
      <c r="JOA3" s="64"/>
      <c r="JOB3" s="64"/>
      <c r="JOC3" s="64"/>
      <c r="JOD3" s="64"/>
      <c r="JOE3" s="64"/>
      <c r="JOF3" s="64"/>
      <c r="JOG3" s="64"/>
      <c r="JOH3" s="64"/>
      <c r="JOI3" s="64"/>
      <c r="JOJ3" s="64"/>
      <c r="JOK3" s="64"/>
      <c r="JOL3" s="64"/>
      <c r="JOM3" s="64"/>
      <c r="JON3" s="64"/>
      <c r="JOO3" s="64"/>
      <c r="JOP3" s="64"/>
      <c r="JOQ3" s="64"/>
      <c r="JOR3" s="64"/>
      <c r="JOS3" s="64"/>
      <c r="JOT3" s="64"/>
      <c r="JOU3" s="64"/>
      <c r="JOV3" s="64"/>
      <c r="JOW3" s="64"/>
      <c r="JOX3" s="64"/>
      <c r="JOY3" s="64"/>
      <c r="JOZ3" s="64"/>
      <c r="JPA3" s="64"/>
      <c r="JPB3" s="64"/>
      <c r="JPC3" s="64"/>
      <c r="JPD3" s="64"/>
      <c r="JPE3" s="64"/>
      <c r="JPF3" s="64"/>
      <c r="JPG3" s="64"/>
      <c r="JPH3" s="64"/>
      <c r="JPI3" s="64"/>
      <c r="JPJ3" s="64"/>
      <c r="JPK3" s="64"/>
      <c r="JPL3" s="64"/>
      <c r="JPM3" s="64"/>
      <c r="JPN3" s="64"/>
      <c r="JPO3" s="64"/>
      <c r="JPP3" s="64"/>
      <c r="JPQ3" s="64"/>
      <c r="JPR3" s="64"/>
      <c r="JPS3" s="64"/>
      <c r="JPT3" s="64"/>
      <c r="JPU3" s="64"/>
      <c r="JPV3" s="64"/>
      <c r="JPW3" s="64"/>
      <c r="JPX3" s="64"/>
      <c r="JPY3" s="64"/>
      <c r="JPZ3" s="64"/>
      <c r="JQA3" s="64"/>
      <c r="JQB3" s="64"/>
      <c r="JQC3" s="64"/>
      <c r="JQD3" s="64"/>
      <c r="JQE3" s="64"/>
      <c r="JQF3" s="64"/>
      <c r="JQG3" s="64"/>
      <c r="JQH3" s="64"/>
      <c r="JQI3" s="64"/>
      <c r="JQJ3" s="64"/>
      <c r="JQK3" s="64"/>
      <c r="JQL3" s="64"/>
      <c r="JQM3" s="64"/>
      <c r="JQN3" s="64"/>
      <c r="JQO3" s="64"/>
      <c r="JQP3" s="64"/>
      <c r="JQQ3" s="64"/>
      <c r="JQR3" s="64"/>
      <c r="JQS3" s="64"/>
      <c r="JQT3" s="64"/>
      <c r="JQU3" s="64"/>
      <c r="JQV3" s="64"/>
      <c r="JQW3" s="64"/>
      <c r="JQX3" s="64"/>
      <c r="JQY3" s="64"/>
      <c r="JQZ3" s="64"/>
      <c r="JRA3" s="64"/>
      <c r="JRB3" s="64"/>
      <c r="JRC3" s="64"/>
      <c r="JRD3" s="64"/>
      <c r="JRE3" s="64"/>
      <c r="JRF3" s="64"/>
      <c r="JRG3" s="64"/>
      <c r="JRH3" s="64"/>
      <c r="JRI3" s="64"/>
      <c r="JRJ3" s="64"/>
      <c r="JRK3" s="64"/>
      <c r="JRL3" s="64"/>
      <c r="JRM3" s="64"/>
      <c r="JRN3" s="64"/>
      <c r="JRO3" s="64"/>
      <c r="JRP3" s="64"/>
      <c r="JRQ3" s="64"/>
      <c r="JRR3" s="64"/>
      <c r="JRS3" s="64"/>
      <c r="JRT3" s="64"/>
      <c r="JRU3" s="64"/>
      <c r="JRV3" s="64"/>
      <c r="JRW3" s="64"/>
      <c r="JRX3" s="64"/>
      <c r="JRY3" s="64"/>
      <c r="JRZ3" s="64"/>
      <c r="JSA3" s="64"/>
      <c r="JSB3" s="64"/>
      <c r="JSC3" s="64"/>
      <c r="JSD3" s="64"/>
      <c r="JSE3" s="64"/>
      <c r="JSF3" s="64"/>
      <c r="JSG3" s="64"/>
      <c r="JSH3" s="64"/>
      <c r="JSI3" s="64"/>
      <c r="JSJ3" s="64"/>
      <c r="JSK3" s="64"/>
      <c r="JSL3" s="64"/>
      <c r="JSM3" s="64"/>
      <c r="JSN3" s="64"/>
      <c r="JSO3" s="64"/>
      <c r="JSP3" s="64"/>
      <c r="JSQ3" s="64"/>
      <c r="JSR3" s="64"/>
      <c r="JSS3" s="64"/>
      <c r="JST3" s="64"/>
      <c r="JSU3" s="64"/>
      <c r="JSV3" s="64"/>
      <c r="JSW3" s="64"/>
      <c r="JSX3" s="64"/>
      <c r="JSY3" s="64"/>
      <c r="JSZ3" s="64"/>
      <c r="JTA3" s="64"/>
      <c r="JTB3" s="64"/>
      <c r="JTC3" s="64"/>
      <c r="JTD3" s="64"/>
      <c r="JTE3" s="64"/>
      <c r="JTF3" s="64"/>
      <c r="JTG3" s="64"/>
      <c r="JTH3" s="64"/>
      <c r="JTI3" s="64"/>
      <c r="JTJ3" s="64"/>
      <c r="JTK3" s="64"/>
      <c r="JTL3" s="64"/>
      <c r="JTM3" s="64"/>
      <c r="JTN3" s="64"/>
      <c r="JTO3" s="64"/>
      <c r="JTP3" s="64"/>
      <c r="JTQ3" s="64"/>
      <c r="JTR3" s="64"/>
      <c r="JTS3" s="64"/>
      <c r="JTT3" s="64"/>
      <c r="JTU3" s="64"/>
      <c r="JTV3" s="64"/>
      <c r="JTW3" s="64"/>
      <c r="JTX3" s="64"/>
      <c r="JTY3" s="64"/>
      <c r="JTZ3" s="64"/>
      <c r="JUA3" s="64"/>
      <c r="JUB3" s="64"/>
      <c r="JUC3" s="64"/>
      <c r="JUD3" s="64"/>
      <c r="JUE3" s="64"/>
      <c r="JUF3" s="64"/>
      <c r="JUG3" s="64"/>
      <c r="JUH3" s="64"/>
      <c r="JUI3" s="64"/>
      <c r="JUJ3" s="64"/>
      <c r="JUK3" s="64"/>
      <c r="JUL3" s="64"/>
      <c r="JUM3" s="64"/>
      <c r="JUN3" s="64"/>
      <c r="JUO3" s="64"/>
      <c r="JUP3" s="64"/>
      <c r="JUQ3" s="64"/>
      <c r="JUR3" s="64"/>
      <c r="JUS3" s="64"/>
      <c r="JUT3" s="64"/>
      <c r="JUU3" s="64"/>
      <c r="JUV3" s="64"/>
      <c r="JUW3" s="64"/>
      <c r="JUX3" s="64"/>
      <c r="JUY3" s="64"/>
      <c r="JUZ3" s="64"/>
      <c r="JVA3" s="64"/>
      <c r="JVB3" s="64"/>
      <c r="JVC3" s="64"/>
      <c r="JVD3" s="64"/>
      <c r="JVE3" s="64"/>
      <c r="JVF3" s="64"/>
      <c r="JVG3" s="64"/>
      <c r="JVH3" s="64"/>
      <c r="JVI3" s="64"/>
      <c r="JVJ3" s="64"/>
      <c r="JVK3" s="64"/>
      <c r="JVL3" s="64"/>
      <c r="JVM3" s="64"/>
      <c r="JVN3" s="64"/>
      <c r="JVO3" s="64"/>
      <c r="JVP3" s="64"/>
      <c r="JVQ3" s="64"/>
      <c r="JVR3" s="64"/>
      <c r="JVS3" s="64"/>
      <c r="JVT3" s="64"/>
      <c r="JVU3" s="64"/>
      <c r="JVV3" s="64"/>
      <c r="JVW3" s="64"/>
      <c r="JVX3" s="64"/>
      <c r="JVY3" s="64"/>
      <c r="JVZ3" s="64"/>
      <c r="JWA3" s="64"/>
      <c r="JWB3" s="64"/>
      <c r="JWC3" s="64"/>
      <c r="JWD3" s="64"/>
      <c r="JWE3" s="64"/>
      <c r="JWF3" s="64"/>
      <c r="JWG3" s="64"/>
      <c r="JWH3" s="64"/>
      <c r="JWI3" s="64"/>
      <c r="JWJ3" s="64"/>
      <c r="JWK3" s="64"/>
      <c r="JWL3" s="64"/>
      <c r="JWM3" s="64"/>
      <c r="JWN3" s="64"/>
      <c r="JWO3" s="64"/>
      <c r="JWP3" s="64"/>
      <c r="JWQ3" s="64"/>
      <c r="JWR3" s="64"/>
      <c r="JWS3" s="64"/>
      <c r="JWT3" s="64"/>
      <c r="JWU3" s="64"/>
      <c r="JWV3" s="64"/>
      <c r="JWW3" s="64"/>
      <c r="JWX3" s="64"/>
      <c r="JWY3" s="64"/>
      <c r="JWZ3" s="64"/>
      <c r="JXA3" s="64"/>
      <c r="JXB3" s="64"/>
      <c r="JXC3" s="64"/>
      <c r="JXD3" s="64"/>
      <c r="JXE3" s="64"/>
      <c r="JXF3" s="64"/>
      <c r="JXG3" s="64"/>
      <c r="JXH3" s="64"/>
      <c r="JXI3" s="64"/>
      <c r="JXJ3" s="64"/>
      <c r="JXK3" s="64"/>
      <c r="JXL3" s="64"/>
      <c r="JXM3" s="64"/>
      <c r="JXN3" s="64"/>
      <c r="JXO3" s="64"/>
      <c r="JXP3" s="64"/>
      <c r="JXQ3" s="64"/>
      <c r="JXR3" s="64"/>
      <c r="JXS3" s="64"/>
      <c r="JXT3" s="64"/>
      <c r="JXU3" s="64"/>
      <c r="JXV3" s="64"/>
      <c r="JXW3" s="64"/>
      <c r="JXX3" s="64"/>
      <c r="JXY3" s="64"/>
      <c r="JXZ3" s="64"/>
      <c r="JYA3" s="64"/>
      <c r="JYB3" s="64"/>
      <c r="JYC3" s="64"/>
      <c r="JYD3" s="64"/>
      <c r="JYE3" s="64"/>
      <c r="JYF3" s="64"/>
      <c r="JYG3" s="64"/>
      <c r="JYH3" s="64"/>
      <c r="JYI3" s="64"/>
      <c r="JYJ3" s="64"/>
      <c r="JYK3" s="64"/>
      <c r="JYL3" s="64"/>
      <c r="JYM3" s="64"/>
      <c r="JYN3" s="64"/>
      <c r="JYO3" s="64"/>
      <c r="JYP3" s="64"/>
      <c r="JYQ3" s="64"/>
      <c r="JYR3" s="64"/>
      <c r="JYS3" s="64"/>
      <c r="JYT3" s="64"/>
      <c r="JYU3" s="64"/>
      <c r="JYV3" s="64"/>
      <c r="JYW3" s="64"/>
      <c r="JYX3" s="64"/>
      <c r="JYY3" s="64"/>
      <c r="JYZ3" s="64"/>
      <c r="JZA3" s="64"/>
      <c r="JZB3" s="64"/>
      <c r="JZC3" s="64"/>
      <c r="JZD3" s="64"/>
      <c r="JZE3" s="64"/>
      <c r="JZF3" s="64"/>
      <c r="JZG3" s="64"/>
      <c r="JZH3" s="64"/>
      <c r="JZI3" s="64"/>
      <c r="JZJ3" s="64"/>
      <c r="JZK3" s="64"/>
      <c r="JZL3" s="64"/>
      <c r="JZM3" s="64"/>
      <c r="JZN3" s="64"/>
      <c r="JZO3" s="64"/>
      <c r="JZP3" s="64"/>
      <c r="JZQ3" s="64"/>
      <c r="JZR3" s="64"/>
      <c r="JZS3" s="64"/>
      <c r="JZT3" s="64"/>
      <c r="JZU3" s="64"/>
      <c r="JZV3" s="64"/>
      <c r="JZW3" s="64"/>
      <c r="JZX3" s="64"/>
      <c r="JZY3" s="64"/>
      <c r="JZZ3" s="64"/>
      <c r="KAA3" s="64"/>
      <c r="KAB3" s="64"/>
      <c r="KAC3" s="64"/>
      <c r="KAD3" s="64"/>
      <c r="KAE3" s="64"/>
      <c r="KAF3" s="64"/>
      <c r="KAG3" s="64"/>
      <c r="KAH3" s="64"/>
      <c r="KAI3" s="64"/>
      <c r="KAJ3" s="64"/>
      <c r="KAK3" s="64"/>
      <c r="KAL3" s="64"/>
      <c r="KAM3" s="64"/>
      <c r="KAN3" s="64"/>
      <c r="KAO3" s="64"/>
      <c r="KAP3" s="64"/>
      <c r="KAQ3" s="64"/>
      <c r="KAR3" s="64"/>
      <c r="KAS3" s="64"/>
      <c r="KAT3" s="64"/>
      <c r="KAU3" s="64"/>
      <c r="KAV3" s="64"/>
      <c r="KAW3" s="64"/>
      <c r="KAX3" s="64"/>
      <c r="KAY3" s="64"/>
      <c r="KAZ3" s="64"/>
      <c r="KBA3" s="64"/>
      <c r="KBB3" s="64"/>
      <c r="KBC3" s="64"/>
      <c r="KBD3" s="64"/>
      <c r="KBE3" s="64"/>
      <c r="KBF3" s="64"/>
      <c r="KBG3" s="64"/>
      <c r="KBH3" s="64"/>
      <c r="KBI3" s="64"/>
      <c r="KBJ3" s="64"/>
      <c r="KBK3" s="64"/>
      <c r="KBL3" s="64"/>
      <c r="KBM3" s="64"/>
      <c r="KBN3" s="64"/>
      <c r="KBO3" s="64"/>
      <c r="KBP3" s="64"/>
      <c r="KBQ3" s="64"/>
      <c r="KBR3" s="64"/>
      <c r="KBS3" s="64"/>
      <c r="KBT3" s="64"/>
      <c r="KBU3" s="64"/>
      <c r="KBV3" s="64"/>
      <c r="KBW3" s="64"/>
      <c r="KBX3" s="64"/>
      <c r="KBY3" s="64"/>
      <c r="KBZ3" s="64"/>
      <c r="KCA3" s="64"/>
      <c r="KCB3" s="64"/>
      <c r="KCC3" s="64"/>
      <c r="KCD3" s="64"/>
      <c r="KCE3" s="64"/>
      <c r="KCF3" s="64"/>
      <c r="KCG3" s="64"/>
      <c r="KCH3" s="64"/>
      <c r="KCI3" s="64"/>
      <c r="KCJ3" s="64"/>
      <c r="KCK3" s="64"/>
      <c r="KCL3" s="64"/>
      <c r="KCM3" s="64"/>
      <c r="KCN3" s="64"/>
      <c r="KCO3" s="64"/>
      <c r="KCP3" s="64"/>
      <c r="KCQ3" s="64"/>
      <c r="KCR3" s="64"/>
      <c r="KCS3" s="64"/>
      <c r="KCT3" s="64"/>
      <c r="KCU3" s="64"/>
      <c r="KCV3" s="64"/>
      <c r="KCW3" s="64"/>
      <c r="KCX3" s="64"/>
      <c r="KCY3" s="64"/>
      <c r="KCZ3" s="64"/>
      <c r="KDA3" s="64"/>
      <c r="KDB3" s="64"/>
      <c r="KDC3" s="64"/>
      <c r="KDD3" s="64"/>
      <c r="KDE3" s="64"/>
      <c r="KDF3" s="64"/>
      <c r="KDG3" s="64"/>
      <c r="KDH3" s="64"/>
      <c r="KDI3" s="64"/>
      <c r="KDJ3" s="64"/>
      <c r="KDK3" s="64"/>
      <c r="KDL3" s="64"/>
      <c r="KDM3" s="64"/>
      <c r="KDN3" s="64"/>
      <c r="KDO3" s="64"/>
      <c r="KDP3" s="64"/>
      <c r="KDQ3" s="64"/>
      <c r="KDR3" s="64"/>
      <c r="KDS3" s="64"/>
      <c r="KDT3" s="64"/>
      <c r="KDU3" s="64"/>
      <c r="KDV3" s="64"/>
      <c r="KDW3" s="64"/>
      <c r="KDX3" s="64"/>
      <c r="KDY3" s="64"/>
      <c r="KDZ3" s="64"/>
      <c r="KEA3" s="64"/>
      <c r="KEB3" s="64"/>
      <c r="KEC3" s="64"/>
      <c r="KED3" s="64"/>
      <c r="KEE3" s="64"/>
      <c r="KEF3" s="64"/>
      <c r="KEG3" s="64"/>
      <c r="KEH3" s="64"/>
      <c r="KEI3" s="64"/>
      <c r="KEJ3" s="64"/>
      <c r="KEK3" s="64"/>
      <c r="KEL3" s="64"/>
      <c r="KEM3" s="64"/>
      <c r="KEN3" s="64"/>
      <c r="KEO3" s="64"/>
      <c r="KEP3" s="64"/>
      <c r="KEQ3" s="64"/>
      <c r="KER3" s="64"/>
      <c r="KES3" s="64"/>
      <c r="KET3" s="64"/>
      <c r="KEU3" s="64"/>
      <c r="KEV3" s="64"/>
      <c r="KEW3" s="64"/>
      <c r="KEX3" s="64"/>
      <c r="KEY3" s="64"/>
      <c r="KEZ3" s="64"/>
      <c r="KFA3" s="64"/>
      <c r="KFB3" s="64"/>
      <c r="KFC3" s="64"/>
      <c r="KFD3" s="64"/>
      <c r="KFE3" s="64"/>
      <c r="KFF3" s="64"/>
      <c r="KFG3" s="64"/>
      <c r="KFH3" s="64"/>
      <c r="KFI3" s="64"/>
      <c r="KFJ3" s="64"/>
      <c r="KFK3" s="64"/>
      <c r="KFL3" s="64"/>
      <c r="KFM3" s="64"/>
      <c r="KFN3" s="64"/>
      <c r="KFO3" s="64"/>
      <c r="KFP3" s="64"/>
      <c r="KFQ3" s="64"/>
      <c r="KFR3" s="64"/>
      <c r="KFS3" s="64"/>
      <c r="KFT3" s="64"/>
      <c r="KFU3" s="64"/>
      <c r="KFV3" s="64"/>
      <c r="KFW3" s="64"/>
      <c r="KFX3" s="64"/>
      <c r="KFY3" s="64"/>
      <c r="KFZ3" s="64"/>
      <c r="KGA3" s="64"/>
      <c r="KGB3" s="64"/>
      <c r="KGC3" s="64"/>
      <c r="KGD3" s="64"/>
      <c r="KGE3" s="64"/>
      <c r="KGF3" s="64"/>
      <c r="KGG3" s="64"/>
      <c r="KGH3" s="64"/>
      <c r="KGI3" s="64"/>
      <c r="KGJ3" s="64"/>
      <c r="KGK3" s="64"/>
      <c r="KGL3" s="64"/>
      <c r="KGM3" s="64"/>
      <c r="KGN3" s="64"/>
      <c r="KGO3" s="64"/>
      <c r="KGP3" s="64"/>
      <c r="KGQ3" s="64"/>
      <c r="KGR3" s="64"/>
      <c r="KGS3" s="64"/>
      <c r="KGT3" s="64"/>
      <c r="KGU3" s="64"/>
      <c r="KGV3" s="64"/>
      <c r="KGW3" s="64"/>
      <c r="KGX3" s="64"/>
      <c r="KGY3" s="64"/>
      <c r="KGZ3" s="64"/>
      <c r="KHA3" s="64"/>
      <c r="KHB3" s="64"/>
      <c r="KHC3" s="64"/>
      <c r="KHD3" s="64"/>
      <c r="KHE3" s="64"/>
      <c r="KHF3" s="64"/>
      <c r="KHG3" s="64"/>
      <c r="KHH3" s="64"/>
      <c r="KHI3" s="64"/>
      <c r="KHJ3" s="64"/>
      <c r="KHK3" s="64"/>
      <c r="KHL3" s="64"/>
      <c r="KHM3" s="64"/>
      <c r="KHN3" s="64"/>
      <c r="KHO3" s="64"/>
      <c r="KHP3" s="64"/>
      <c r="KHQ3" s="64"/>
      <c r="KHR3" s="64"/>
      <c r="KHS3" s="64"/>
      <c r="KHT3" s="64"/>
      <c r="KHU3" s="64"/>
      <c r="KHV3" s="64"/>
      <c r="KHW3" s="64"/>
      <c r="KHX3" s="64"/>
      <c r="KHY3" s="64"/>
      <c r="KHZ3" s="64"/>
      <c r="KIA3" s="64"/>
      <c r="KIB3" s="64"/>
      <c r="KIC3" s="64"/>
      <c r="KID3" s="64"/>
      <c r="KIE3" s="64"/>
      <c r="KIF3" s="64"/>
      <c r="KIG3" s="64"/>
      <c r="KIH3" s="64"/>
      <c r="KII3" s="64"/>
      <c r="KIJ3" s="64"/>
      <c r="KIK3" s="64"/>
      <c r="KIL3" s="64"/>
      <c r="KIM3" s="64"/>
      <c r="KIN3" s="64"/>
      <c r="KIO3" s="64"/>
      <c r="KIP3" s="64"/>
      <c r="KIQ3" s="64"/>
      <c r="KIR3" s="64"/>
      <c r="KIS3" s="64"/>
      <c r="KIT3" s="64"/>
      <c r="KIU3" s="64"/>
      <c r="KIV3" s="64"/>
      <c r="KIW3" s="64"/>
      <c r="KIX3" s="64"/>
      <c r="KIY3" s="64"/>
      <c r="KIZ3" s="64"/>
      <c r="KJA3" s="64"/>
      <c r="KJB3" s="64"/>
      <c r="KJC3" s="64"/>
      <c r="KJD3" s="64"/>
      <c r="KJE3" s="64"/>
      <c r="KJF3" s="64"/>
      <c r="KJG3" s="64"/>
      <c r="KJH3" s="64"/>
      <c r="KJI3" s="64"/>
      <c r="KJJ3" s="64"/>
      <c r="KJK3" s="64"/>
      <c r="KJL3" s="64"/>
      <c r="KJM3" s="64"/>
      <c r="KJN3" s="64"/>
      <c r="KJO3" s="64"/>
      <c r="KJP3" s="64"/>
      <c r="KJQ3" s="64"/>
      <c r="KJR3" s="64"/>
      <c r="KJS3" s="64"/>
      <c r="KJT3" s="64"/>
      <c r="KJU3" s="64"/>
      <c r="KJV3" s="64"/>
      <c r="KJW3" s="64"/>
      <c r="KJX3" s="64"/>
      <c r="KJY3" s="64"/>
      <c r="KJZ3" s="64"/>
      <c r="KKA3" s="64"/>
      <c r="KKB3" s="64"/>
      <c r="KKC3" s="64"/>
      <c r="KKD3" s="64"/>
      <c r="KKE3" s="64"/>
      <c r="KKF3" s="64"/>
      <c r="KKG3" s="64"/>
      <c r="KKH3" s="64"/>
      <c r="KKI3" s="64"/>
      <c r="KKJ3" s="64"/>
      <c r="KKK3" s="64"/>
      <c r="KKL3" s="64"/>
      <c r="KKM3" s="64"/>
      <c r="KKN3" s="64"/>
      <c r="KKO3" s="64"/>
      <c r="KKP3" s="64"/>
      <c r="KKQ3" s="64"/>
      <c r="KKR3" s="64"/>
      <c r="KKS3" s="64"/>
      <c r="KKT3" s="64"/>
      <c r="KKU3" s="64"/>
      <c r="KKV3" s="64"/>
      <c r="KKW3" s="64"/>
      <c r="KKX3" s="64"/>
      <c r="KKY3" s="64"/>
      <c r="KKZ3" s="64"/>
      <c r="KLA3" s="64"/>
      <c r="KLB3" s="64"/>
      <c r="KLC3" s="64"/>
      <c r="KLD3" s="64"/>
      <c r="KLE3" s="64"/>
      <c r="KLF3" s="64"/>
      <c r="KLG3" s="64"/>
      <c r="KLH3" s="64"/>
      <c r="KLI3" s="64"/>
      <c r="KLJ3" s="64"/>
      <c r="KLK3" s="64"/>
      <c r="KLL3" s="64"/>
      <c r="KLM3" s="64"/>
      <c r="KLN3" s="64"/>
      <c r="KLO3" s="64"/>
      <c r="KLP3" s="64"/>
      <c r="KLQ3" s="64"/>
      <c r="KLR3" s="64"/>
      <c r="KLS3" s="64"/>
      <c r="KLT3" s="64"/>
      <c r="KLU3" s="64"/>
      <c r="KLV3" s="64"/>
      <c r="KLW3" s="64"/>
      <c r="KLX3" s="64"/>
      <c r="KLY3" s="64"/>
      <c r="KLZ3" s="64"/>
      <c r="KMA3" s="64"/>
      <c r="KMB3" s="64"/>
      <c r="KMC3" s="64"/>
      <c r="KMD3" s="64"/>
      <c r="KME3" s="64"/>
      <c r="KMF3" s="64"/>
      <c r="KMG3" s="64"/>
      <c r="KMH3" s="64"/>
      <c r="KMI3" s="64"/>
      <c r="KMJ3" s="64"/>
      <c r="KMK3" s="64"/>
      <c r="KML3" s="64"/>
      <c r="KMM3" s="64"/>
      <c r="KMN3" s="64"/>
      <c r="KMO3" s="64"/>
      <c r="KMP3" s="64"/>
      <c r="KMQ3" s="64"/>
      <c r="KMR3" s="64"/>
      <c r="KMS3" s="64"/>
      <c r="KMT3" s="64"/>
      <c r="KMU3" s="64"/>
      <c r="KMV3" s="64"/>
      <c r="KMW3" s="64"/>
      <c r="KMX3" s="64"/>
      <c r="KMY3" s="64"/>
      <c r="KMZ3" s="64"/>
      <c r="KNA3" s="64"/>
      <c r="KNB3" s="64"/>
      <c r="KNC3" s="64"/>
      <c r="KND3" s="64"/>
      <c r="KNE3" s="64"/>
      <c r="KNF3" s="64"/>
      <c r="KNG3" s="64"/>
      <c r="KNH3" s="64"/>
      <c r="KNI3" s="64"/>
      <c r="KNJ3" s="64"/>
      <c r="KNK3" s="64"/>
      <c r="KNL3" s="64"/>
      <c r="KNM3" s="64"/>
      <c r="KNN3" s="64"/>
      <c r="KNO3" s="64"/>
      <c r="KNP3" s="64"/>
      <c r="KNQ3" s="64"/>
      <c r="KNR3" s="64"/>
      <c r="KNS3" s="64"/>
      <c r="KNT3" s="64"/>
      <c r="KNU3" s="64"/>
      <c r="KNV3" s="64"/>
      <c r="KNW3" s="64"/>
      <c r="KNX3" s="64"/>
      <c r="KNY3" s="64"/>
      <c r="KNZ3" s="64"/>
      <c r="KOA3" s="64"/>
      <c r="KOB3" s="64"/>
      <c r="KOC3" s="64"/>
      <c r="KOD3" s="64"/>
      <c r="KOE3" s="64"/>
      <c r="KOF3" s="64"/>
      <c r="KOG3" s="64"/>
      <c r="KOH3" s="64"/>
      <c r="KOI3" s="64"/>
      <c r="KOJ3" s="64"/>
      <c r="KOK3" s="64"/>
      <c r="KOL3" s="64"/>
      <c r="KOM3" s="64"/>
      <c r="KON3" s="64"/>
      <c r="KOO3" s="64"/>
      <c r="KOP3" s="64"/>
      <c r="KOQ3" s="64"/>
      <c r="KOR3" s="64"/>
      <c r="KOS3" s="64"/>
      <c r="KOT3" s="64"/>
      <c r="KOU3" s="64"/>
      <c r="KOV3" s="64"/>
      <c r="KOW3" s="64"/>
      <c r="KOX3" s="64"/>
      <c r="KOY3" s="64"/>
      <c r="KOZ3" s="64"/>
      <c r="KPA3" s="64"/>
      <c r="KPB3" s="64"/>
      <c r="KPC3" s="64"/>
      <c r="KPD3" s="64"/>
      <c r="KPE3" s="64"/>
      <c r="KPF3" s="64"/>
      <c r="KPG3" s="64"/>
      <c r="KPH3" s="64"/>
      <c r="KPI3" s="64"/>
      <c r="KPJ3" s="64"/>
      <c r="KPK3" s="64"/>
      <c r="KPL3" s="64"/>
      <c r="KPM3" s="64"/>
      <c r="KPN3" s="64"/>
      <c r="KPO3" s="64"/>
      <c r="KPP3" s="64"/>
      <c r="KPQ3" s="64"/>
      <c r="KPR3" s="64"/>
      <c r="KPS3" s="64"/>
      <c r="KPT3" s="64"/>
      <c r="KPU3" s="64"/>
      <c r="KPV3" s="64"/>
      <c r="KPW3" s="64"/>
      <c r="KPX3" s="64"/>
      <c r="KPY3" s="64"/>
      <c r="KPZ3" s="64"/>
      <c r="KQA3" s="64"/>
      <c r="KQB3" s="64"/>
      <c r="KQC3" s="64"/>
      <c r="KQD3" s="64"/>
      <c r="KQE3" s="64"/>
      <c r="KQF3" s="64"/>
      <c r="KQG3" s="64"/>
      <c r="KQH3" s="64"/>
      <c r="KQI3" s="64"/>
      <c r="KQJ3" s="64"/>
      <c r="KQK3" s="64"/>
      <c r="KQL3" s="64"/>
      <c r="KQM3" s="64"/>
      <c r="KQN3" s="64"/>
      <c r="KQO3" s="64"/>
      <c r="KQP3" s="64"/>
      <c r="KQQ3" s="64"/>
      <c r="KQR3" s="64"/>
      <c r="KQS3" s="64"/>
      <c r="KQT3" s="64"/>
      <c r="KQU3" s="64"/>
      <c r="KQV3" s="64"/>
      <c r="KQW3" s="64"/>
      <c r="KQX3" s="64"/>
      <c r="KQY3" s="64"/>
      <c r="KQZ3" s="64"/>
      <c r="KRA3" s="64"/>
      <c r="KRB3" s="64"/>
      <c r="KRC3" s="64"/>
      <c r="KRD3" s="64"/>
      <c r="KRE3" s="64"/>
      <c r="KRF3" s="64"/>
      <c r="KRG3" s="64"/>
      <c r="KRH3" s="64"/>
      <c r="KRI3" s="64"/>
      <c r="KRJ3" s="64"/>
      <c r="KRK3" s="64"/>
      <c r="KRL3" s="64"/>
      <c r="KRM3" s="64"/>
      <c r="KRN3" s="64"/>
      <c r="KRO3" s="64"/>
      <c r="KRP3" s="64"/>
      <c r="KRQ3" s="64"/>
      <c r="KRR3" s="64"/>
      <c r="KRS3" s="64"/>
      <c r="KRT3" s="64"/>
      <c r="KRU3" s="64"/>
      <c r="KRV3" s="64"/>
      <c r="KRW3" s="64"/>
      <c r="KRX3" s="64"/>
      <c r="KRY3" s="64"/>
      <c r="KRZ3" s="64"/>
      <c r="KSA3" s="64"/>
      <c r="KSB3" s="64"/>
      <c r="KSC3" s="64"/>
      <c r="KSD3" s="64"/>
      <c r="KSE3" s="64"/>
      <c r="KSF3" s="64"/>
      <c r="KSG3" s="64"/>
      <c r="KSH3" s="64"/>
      <c r="KSI3" s="64"/>
      <c r="KSJ3" s="64"/>
      <c r="KSK3" s="64"/>
      <c r="KSL3" s="64"/>
      <c r="KSM3" s="64"/>
      <c r="KSN3" s="64"/>
      <c r="KSO3" s="64"/>
      <c r="KSP3" s="64"/>
      <c r="KSQ3" s="64"/>
      <c r="KSR3" s="64"/>
      <c r="KSS3" s="64"/>
      <c r="KST3" s="64"/>
      <c r="KSU3" s="64"/>
      <c r="KSV3" s="64"/>
      <c r="KSW3" s="64"/>
      <c r="KSX3" s="64"/>
      <c r="KSY3" s="64"/>
      <c r="KSZ3" s="64"/>
      <c r="KTA3" s="64"/>
      <c r="KTB3" s="64"/>
      <c r="KTC3" s="64"/>
      <c r="KTD3" s="64"/>
      <c r="KTE3" s="64"/>
      <c r="KTF3" s="64"/>
      <c r="KTG3" s="64"/>
      <c r="KTH3" s="64"/>
      <c r="KTI3" s="64"/>
      <c r="KTJ3" s="64"/>
      <c r="KTK3" s="64"/>
      <c r="KTL3" s="64"/>
      <c r="KTM3" s="64"/>
      <c r="KTN3" s="64"/>
      <c r="KTO3" s="64"/>
      <c r="KTP3" s="64"/>
      <c r="KTQ3" s="64"/>
      <c r="KTR3" s="64"/>
      <c r="KTS3" s="64"/>
      <c r="KTT3" s="64"/>
      <c r="KTU3" s="64"/>
      <c r="KTV3" s="64"/>
      <c r="KTW3" s="64"/>
      <c r="KTX3" s="64"/>
      <c r="KTY3" s="64"/>
      <c r="KTZ3" s="64"/>
      <c r="KUA3" s="64"/>
      <c r="KUB3" s="64"/>
      <c r="KUC3" s="64"/>
      <c r="KUD3" s="64"/>
      <c r="KUE3" s="64"/>
      <c r="KUF3" s="64"/>
      <c r="KUG3" s="64"/>
      <c r="KUH3" s="64"/>
      <c r="KUI3" s="64"/>
      <c r="KUJ3" s="64"/>
      <c r="KUK3" s="64"/>
      <c r="KUL3" s="64"/>
      <c r="KUM3" s="64"/>
      <c r="KUN3" s="64"/>
      <c r="KUO3" s="64"/>
      <c r="KUP3" s="64"/>
      <c r="KUQ3" s="64"/>
      <c r="KUR3" s="64"/>
      <c r="KUS3" s="64"/>
      <c r="KUT3" s="64"/>
      <c r="KUU3" s="64"/>
      <c r="KUV3" s="64"/>
      <c r="KUW3" s="64"/>
      <c r="KUX3" s="64"/>
      <c r="KUY3" s="64"/>
      <c r="KUZ3" s="64"/>
      <c r="KVA3" s="64"/>
      <c r="KVB3" s="64"/>
      <c r="KVC3" s="64"/>
      <c r="KVD3" s="64"/>
      <c r="KVE3" s="64"/>
      <c r="KVF3" s="64"/>
      <c r="KVG3" s="64"/>
      <c r="KVH3" s="64"/>
      <c r="KVI3" s="64"/>
      <c r="KVJ3" s="64"/>
      <c r="KVK3" s="64"/>
      <c r="KVL3" s="64"/>
      <c r="KVM3" s="64"/>
      <c r="KVN3" s="64"/>
      <c r="KVO3" s="64"/>
      <c r="KVP3" s="64"/>
      <c r="KVQ3" s="64"/>
      <c r="KVR3" s="64"/>
      <c r="KVS3" s="64"/>
      <c r="KVT3" s="64"/>
      <c r="KVU3" s="64"/>
      <c r="KVV3" s="64"/>
      <c r="KVW3" s="64"/>
      <c r="KVX3" s="64"/>
      <c r="KVY3" s="64"/>
      <c r="KVZ3" s="64"/>
      <c r="KWA3" s="64"/>
      <c r="KWB3" s="64"/>
      <c r="KWC3" s="64"/>
      <c r="KWD3" s="64"/>
      <c r="KWE3" s="64"/>
      <c r="KWF3" s="64"/>
      <c r="KWG3" s="64"/>
      <c r="KWH3" s="64"/>
      <c r="KWI3" s="64"/>
      <c r="KWJ3" s="64"/>
      <c r="KWK3" s="64"/>
      <c r="KWL3" s="64"/>
      <c r="KWM3" s="64"/>
      <c r="KWN3" s="64"/>
      <c r="KWO3" s="64"/>
      <c r="KWP3" s="64"/>
      <c r="KWQ3" s="64"/>
      <c r="KWR3" s="64"/>
      <c r="KWS3" s="64"/>
      <c r="KWT3" s="64"/>
      <c r="KWU3" s="64"/>
      <c r="KWV3" s="64"/>
      <c r="KWW3" s="64"/>
      <c r="KWX3" s="64"/>
      <c r="KWY3" s="64"/>
      <c r="KWZ3" s="64"/>
      <c r="KXA3" s="64"/>
      <c r="KXB3" s="64"/>
      <c r="KXC3" s="64"/>
      <c r="KXD3" s="64"/>
      <c r="KXE3" s="64"/>
      <c r="KXF3" s="64"/>
      <c r="KXG3" s="64"/>
      <c r="KXH3" s="64"/>
      <c r="KXI3" s="64"/>
      <c r="KXJ3" s="64"/>
      <c r="KXK3" s="64"/>
      <c r="KXL3" s="64"/>
      <c r="KXM3" s="64"/>
      <c r="KXN3" s="64"/>
      <c r="KXO3" s="64"/>
      <c r="KXP3" s="64"/>
      <c r="KXQ3" s="64"/>
      <c r="KXR3" s="64"/>
      <c r="KXS3" s="64"/>
      <c r="KXT3" s="64"/>
      <c r="KXU3" s="64"/>
      <c r="KXV3" s="64"/>
      <c r="KXW3" s="64"/>
      <c r="KXX3" s="64"/>
      <c r="KXY3" s="64"/>
      <c r="KXZ3" s="64"/>
      <c r="KYA3" s="64"/>
      <c r="KYB3" s="64"/>
      <c r="KYC3" s="64"/>
      <c r="KYD3" s="64"/>
      <c r="KYE3" s="64"/>
      <c r="KYF3" s="64"/>
      <c r="KYG3" s="64"/>
      <c r="KYH3" s="64"/>
      <c r="KYI3" s="64"/>
      <c r="KYJ3" s="64"/>
      <c r="KYK3" s="64"/>
      <c r="KYL3" s="64"/>
      <c r="KYM3" s="64"/>
      <c r="KYN3" s="64"/>
      <c r="KYO3" s="64"/>
      <c r="KYP3" s="64"/>
      <c r="KYQ3" s="64"/>
      <c r="KYR3" s="64"/>
      <c r="KYS3" s="64"/>
      <c r="KYT3" s="64"/>
      <c r="KYU3" s="64"/>
      <c r="KYV3" s="64"/>
      <c r="KYW3" s="64"/>
      <c r="KYX3" s="64"/>
      <c r="KYY3" s="64"/>
      <c r="KYZ3" s="64"/>
      <c r="KZA3" s="64"/>
      <c r="KZB3" s="64"/>
      <c r="KZC3" s="64"/>
      <c r="KZD3" s="64"/>
      <c r="KZE3" s="64"/>
      <c r="KZF3" s="64"/>
      <c r="KZG3" s="64"/>
      <c r="KZH3" s="64"/>
      <c r="KZI3" s="64"/>
      <c r="KZJ3" s="64"/>
      <c r="KZK3" s="64"/>
      <c r="KZL3" s="64"/>
      <c r="KZM3" s="64"/>
      <c r="KZN3" s="64"/>
      <c r="KZO3" s="64"/>
      <c r="KZP3" s="64"/>
      <c r="KZQ3" s="64"/>
      <c r="KZR3" s="64"/>
      <c r="KZS3" s="64"/>
      <c r="KZT3" s="64"/>
      <c r="KZU3" s="64"/>
      <c r="KZV3" s="64"/>
      <c r="KZW3" s="64"/>
      <c r="KZX3" s="64"/>
      <c r="KZY3" s="64"/>
      <c r="KZZ3" s="64"/>
      <c r="LAA3" s="64"/>
      <c r="LAB3" s="64"/>
      <c r="LAC3" s="64"/>
      <c r="LAD3" s="64"/>
      <c r="LAE3" s="64"/>
      <c r="LAF3" s="64"/>
      <c r="LAG3" s="64"/>
      <c r="LAH3" s="64"/>
      <c r="LAI3" s="64"/>
      <c r="LAJ3" s="64"/>
      <c r="LAK3" s="64"/>
      <c r="LAL3" s="64"/>
      <c r="LAM3" s="64"/>
      <c r="LAN3" s="64"/>
      <c r="LAO3" s="64"/>
      <c r="LAP3" s="64"/>
      <c r="LAQ3" s="64"/>
      <c r="LAR3" s="64"/>
      <c r="LAS3" s="64"/>
      <c r="LAT3" s="64"/>
      <c r="LAU3" s="64"/>
      <c r="LAV3" s="64"/>
      <c r="LAW3" s="64"/>
      <c r="LAX3" s="64"/>
      <c r="LAY3" s="64"/>
      <c r="LAZ3" s="64"/>
      <c r="LBA3" s="64"/>
      <c r="LBB3" s="64"/>
      <c r="LBC3" s="64"/>
      <c r="LBD3" s="64"/>
      <c r="LBE3" s="64"/>
      <c r="LBF3" s="64"/>
      <c r="LBG3" s="64"/>
      <c r="LBH3" s="64"/>
      <c r="LBI3" s="64"/>
      <c r="LBJ3" s="64"/>
      <c r="LBK3" s="64"/>
      <c r="LBL3" s="64"/>
      <c r="LBM3" s="64"/>
      <c r="LBN3" s="64"/>
      <c r="LBO3" s="64"/>
      <c r="LBP3" s="64"/>
      <c r="LBQ3" s="64"/>
      <c r="LBR3" s="64"/>
      <c r="LBS3" s="64"/>
      <c r="LBT3" s="64"/>
      <c r="LBU3" s="64"/>
      <c r="LBV3" s="64"/>
      <c r="LBW3" s="64"/>
      <c r="LBX3" s="64"/>
      <c r="LBY3" s="64"/>
      <c r="LBZ3" s="64"/>
      <c r="LCA3" s="64"/>
      <c r="LCB3" s="64"/>
      <c r="LCC3" s="64"/>
      <c r="LCD3" s="64"/>
      <c r="LCE3" s="64"/>
      <c r="LCF3" s="64"/>
      <c r="LCG3" s="64"/>
      <c r="LCH3" s="64"/>
      <c r="LCI3" s="64"/>
      <c r="LCJ3" s="64"/>
      <c r="LCK3" s="64"/>
      <c r="LCL3" s="64"/>
      <c r="LCM3" s="64"/>
      <c r="LCN3" s="64"/>
      <c r="LCO3" s="64"/>
      <c r="LCP3" s="64"/>
      <c r="LCQ3" s="64"/>
      <c r="LCR3" s="64"/>
      <c r="LCS3" s="64"/>
      <c r="LCT3" s="64"/>
      <c r="LCU3" s="64"/>
      <c r="LCV3" s="64"/>
      <c r="LCW3" s="64"/>
      <c r="LCX3" s="64"/>
      <c r="LCY3" s="64"/>
      <c r="LCZ3" s="64"/>
      <c r="LDA3" s="64"/>
      <c r="LDB3" s="64"/>
      <c r="LDC3" s="64"/>
      <c r="LDD3" s="64"/>
      <c r="LDE3" s="64"/>
      <c r="LDF3" s="64"/>
      <c r="LDG3" s="64"/>
      <c r="LDH3" s="64"/>
      <c r="LDI3" s="64"/>
      <c r="LDJ3" s="64"/>
      <c r="LDK3" s="64"/>
      <c r="LDL3" s="64"/>
      <c r="LDM3" s="64"/>
      <c r="LDN3" s="64"/>
      <c r="LDO3" s="64"/>
      <c r="LDP3" s="64"/>
      <c r="LDQ3" s="64"/>
      <c r="LDR3" s="64"/>
      <c r="LDS3" s="64"/>
      <c r="LDT3" s="64"/>
      <c r="LDU3" s="64"/>
      <c r="LDV3" s="64"/>
      <c r="LDW3" s="64"/>
      <c r="LDX3" s="64"/>
      <c r="LDY3" s="64"/>
      <c r="LDZ3" s="64"/>
      <c r="LEA3" s="64"/>
      <c r="LEB3" s="64"/>
      <c r="LEC3" s="64"/>
      <c r="LED3" s="64"/>
      <c r="LEE3" s="64"/>
      <c r="LEF3" s="64"/>
      <c r="LEG3" s="64"/>
      <c r="LEH3" s="64"/>
      <c r="LEI3" s="64"/>
      <c r="LEJ3" s="64"/>
      <c r="LEK3" s="64"/>
      <c r="LEL3" s="64"/>
      <c r="LEM3" s="64"/>
      <c r="LEN3" s="64"/>
      <c r="LEO3" s="64"/>
      <c r="LEP3" s="64"/>
      <c r="LEQ3" s="64"/>
      <c r="LER3" s="64"/>
      <c r="LES3" s="64"/>
      <c r="LET3" s="64"/>
      <c r="LEU3" s="64"/>
      <c r="LEV3" s="64"/>
      <c r="LEW3" s="64"/>
      <c r="LEX3" s="64"/>
      <c r="LEY3" s="64"/>
      <c r="LEZ3" s="64"/>
      <c r="LFA3" s="64"/>
      <c r="LFB3" s="64"/>
      <c r="LFC3" s="64"/>
      <c r="LFD3" s="64"/>
      <c r="LFE3" s="64"/>
      <c r="LFF3" s="64"/>
      <c r="LFG3" s="64"/>
      <c r="LFH3" s="64"/>
      <c r="LFI3" s="64"/>
      <c r="LFJ3" s="64"/>
      <c r="LFK3" s="64"/>
      <c r="LFL3" s="64"/>
      <c r="LFM3" s="64"/>
      <c r="LFN3" s="64"/>
      <c r="LFO3" s="64"/>
      <c r="LFP3" s="64"/>
      <c r="LFQ3" s="64"/>
      <c r="LFR3" s="64"/>
      <c r="LFS3" s="64"/>
      <c r="LFT3" s="64"/>
      <c r="LFU3" s="64"/>
      <c r="LFV3" s="64"/>
      <c r="LFW3" s="64"/>
      <c r="LFX3" s="64"/>
      <c r="LFY3" s="64"/>
      <c r="LFZ3" s="64"/>
      <c r="LGA3" s="64"/>
      <c r="LGB3" s="64"/>
      <c r="LGC3" s="64"/>
      <c r="LGD3" s="64"/>
      <c r="LGE3" s="64"/>
      <c r="LGF3" s="64"/>
      <c r="LGG3" s="64"/>
      <c r="LGH3" s="64"/>
      <c r="LGI3" s="64"/>
      <c r="LGJ3" s="64"/>
      <c r="LGK3" s="64"/>
      <c r="LGL3" s="64"/>
      <c r="LGM3" s="64"/>
      <c r="LGN3" s="64"/>
      <c r="LGO3" s="64"/>
      <c r="LGP3" s="64"/>
      <c r="LGQ3" s="64"/>
      <c r="LGR3" s="64"/>
      <c r="LGS3" s="64"/>
      <c r="LGT3" s="64"/>
      <c r="LGU3" s="64"/>
      <c r="LGV3" s="64"/>
      <c r="LGW3" s="64"/>
      <c r="LGX3" s="64"/>
      <c r="LGY3" s="64"/>
      <c r="LGZ3" s="64"/>
      <c r="LHA3" s="64"/>
      <c r="LHB3" s="64"/>
      <c r="LHC3" s="64"/>
      <c r="LHD3" s="64"/>
      <c r="LHE3" s="64"/>
      <c r="LHF3" s="64"/>
      <c r="LHG3" s="64"/>
      <c r="LHH3" s="64"/>
      <c r="LHI3" s="64"/>
      <c r="LHJ3" s="64"/>
      <c r="LHK3" s="64"/>
      <c r="LHL3" s="64"/>
      <c r="LHM3" s="64"/>
      <c r="LHN3" s="64"/>
      <c r="LHO3" s="64"/>
      <c r="LHP3" s="64"/>
      <c r="LHQ3" s="64"/>
      <c r="LHR3" s="64"/>
      <c r="LHS3" s="64"/>
      <c r="LHT3" s="64"/>
      <c r="LHU3" s="64"/>
      <c r="LHV3" s="64"/>
      <c r="LHW3" s="64"/>
      <c r="LHX3" s="64"/>
      <c r="LHY3" s="64"/>
      <c r="LHZ3" s="64"/>
      <c r="LIA3" s="64"/>
      <c r="LIB3" s="64"/>
      <c r="LIC3" s="64"/>
      <c r="LID3" s="64"/>
      <c r="LIE3" s="64"/>
      <c r="LIF3" s="64"/>
      <c r="LIG3" s="64"/>
      <c r="LIH3" s="64"/>
      <c r="LII3" s="64"/>
      <c r="LIJ3" s="64"/>
      <c r="LIK3" s="64"/>
      <c r="LIL3" s="64"/>
      <c r="LIM3" s="64"/>
      <c r="LIN3" s="64"/>
      <c r="LIO3" s="64"/>
      <c r="LIP3" s="64"/>
      <c r="LIQ3" s="64"/>
      <c r="LIR3" s="64"/>
      <c r="LIS3" s="64"/>
      <c r="LIT3" s="64"/>
      <c r="LIU3" s="64"/>
      <c r="LIV3" s="64"/>
      <c r="LIW3" s="64"/>
      <c r="LIX3" s="64"/>
      <c r="LIY3" s="64"/>
      <c r="LIZ3" s="64"/>
      <c r="LJA3" s="64"/>
      <c r="LJB3" s="64"/>
      <c r="LJC3" s="64"/>
      <c r="LJD3" s="64"/>
      <c r="LJE3" s="64"/>
      <c r="LJF3" s="64"/>
      <c r="LJG3" s="64"/>
      <c r="LJH3" s="64"/>
      <c r="LJI3" s="64"/>
      <c r="LJJ3" s="64"/>
      <c r="LJK3" s="64"/>
      <c r="LJL3" s="64"/>
      <c r="LJM3" s="64"/>
      <c r="LJN3" s="64"/>
      <c r="LJO3" s="64"/>
      <c r="LJP3" s="64"/>
      <c r="LJQ3" s="64"/>
      <c r="LJR3" s="64"/>
      <c r="LJS3" s="64"/>
      <c r="LJT3" s="64"/>
      <c r="LJU3" s="64"/>
      <c r="LJV3" s="64"/>
      <c r="LJW3" s="64"/>
      <c r="LJX3" s="64"/>
      <c r="LJY3" s="64"/>
      <c r="LJZ3" s="64"/>
      <c r="LKA3" s="64"/>
      <c r="LKB3" s="64"/>
      <c r="LKC3" s="64"/>
      <c r="LKD3" s="64"/>
      <c r="LKE3" s="64"/>
      <c r="LKF3" s="64"/>
      <c r="LKG3" s="64"/>
      <c r="LKH3" s="64"/>
      <c r="LKI3" s="64"/>
      <c r="LKJ3" s="64"/>
      <c r="LKK3" s="64"/>
      <c r="LKL3" s="64"/>
      <c r="LKM3" s="64"/>
      <c r="LKN3" s="64"/>
      <c r="LKO3" s="64"/>
      <c r="LKP3" s="64"/>
      <c r="LKQ3" s="64"/>
      <c r="LKR3" s="64"/>
      <c r="LKS3" s="64"/>
      <c r="LKT3" s="64"/>
      <c r="LKU3" s="64"/>
      <c r="LKV3" s="64"/>
      <c r="LKW3" s="64"/>
      <c r="LKX3" s="64"/>
      <c r="LKY3" s="64"/>
      <c r="LKZ3" s="64"/>
      <c r="LLA3" s="64"/>
      <c r="LLB3" s="64"/>
      <c r="LLC3" s="64"/>
      <c r="LLD3" s="64"/>
      <c r="LLE3" s="64"/>
      <c r="LLF3" s="64"/>
      <c r="LLG3" s="64"/>
      <c r="LLH3" s="64"/>
      <c r="LLI3" s="64"/>
      <c r="LLJ3" s="64"/>
      <c r="LLK3" s="64"/>
      <c r="LLL3" s="64"/>
      <c r="LLM3" s="64"/>
      <c r="LLN3" s="64"/>
      <c r="LLO3" s="64"/>
      <c r="LLP3" s="64"/>
      <c r="LLQ3" s="64"/>
      <c r="LLR3" s="64"/>
      <c r="LLS3" s="64"/>
      <c r="LLT3" s="64"/>
      <c r="LLU3" s="64"/>
      <c r="LLV3" s="64"/>
      <c r="LLW3" s="64"/>
      <c r="LLX3" s="64"/>
      <c r="LLY3" s="64"/>
      <c r="LLZ3" s="64"/>
      <c r="LMA3" s="64"/>
      <c r="LMB3" s="64"/>
      <c r="LMC3" s="64"/>
      <c r="LMD3" s="64"/>
      <c r="LME3" s="64"/>
      <c r="LMF3" s="64"/>
      <c r="LMG3" s="64"/>
      <c r="LMH3" s="64"/>
      <c r="LMI3" s="64"/>
      <c r="LMJ3" s="64"/>
      <c r="LMK3" s="64"/>
      <c r="LML3" s="64"/>
      <c r="LMM3" s="64"/>
      <c r="LMN3" s="64"/>
      <c r="LMO3" s="64"/>
      <c r="LMP3" s="64"/>
      <c r="LMQ3" s="64"/>
      <c r="LMR3" s="64"/>
      <c r="LMS3" s="64"/>
      <c r="LMT3" s="64"/>
      <c r="LMU3" s="64"/>
      <c r="LMV3" s="64"/>
      <c r="LMW3" s="64"/>
      <c r="LMX3" s="64"/>
      <c r="LMY3" s="64"/>
      <c r="LMZ3" s="64"/>
      <c r="LNA3" s="64"/>
      <c r="LNB3" s="64"/>
      <c r="LNC3" s="64"/>
      <c r="LND3" s="64"/>
      <c r="LNE3" s="64"/>
      <c r="LNF3" s="64"/>
      <c r="LNG3" s="64"/>
      <c r="LNH3" s="64"/>
      <c r="LNI3" s="64"/>
      <c r="LNJ3" s="64"/>
      <c r="LNK3" s="64"/>
      <c r="LNL3" s="64"/>
      <c r="LNM3" s="64"/>
      <c r="LNN3" s="64"/>
      <c r="LNO3" s="64"/>
      <c r="LNP3" s="64"/>
      <c r="LNQ3" s="64"/>
      <c r="LNR3" s="64"/>
      <c r="LNS3" s="64"/>
      <c r="LNT3" s="64"/>
      <c r="LNU3" s="64"/>
      <c r="LNV3" s="64"/>
      <c r="LNW3" s="64"/>
      <c r="LNX3" s="64"/>
      <c r="LNY3" s="64"/>
      <c r="LNZ3" s="64"/>
      <c r="LOA3" s="64"/>
      <c r="LOB3" s="64"/>
      <c r="LOC3" s="64"/>
      <c r="LOD3" s="64"/>
      <c r="LOE3" s="64"/>
      <c r="LOF3" s="64"/>
      <c r="LOG3" s="64"/>
      <c r="LOH3" s="64"/>
      <c r="LOI3" s="64"/>
      <c r="LOJ3" s="64"/>
      <c r="LOK3" s="64"/>
      <c r="LOL3" s="64"/>
      <c r="LOM3" s="64"/>
      <c r="LON3" s="64"/>
      <c r="LOO3" s="64"/>
      <c r="LOP3" s="64"/>
      <c r="LOQ3" s="64"/>
      <c r="LOR3" s="64"/>
      <c r="LOS3" s="64"/>
      <c r="LOT3" s="64"/>
      <c r="LOU3" s="64"/>
      <c r="LOV3" s="64"/>
      <c r="LOW3" s="64"/>
      <c r="LOX3" s="64"/>
      <c r="LOY3" s="64"/>
      <c r="LOZ3" s="64"/>
      <c r="LPA3" s="64"/>
      <c r="LPB3" s="64"/>
      <c r="LPC3" s="64"/>
      <c r="LPD3" s="64"/>
      <c r="LPE3" s="64"/>
      <c r="LPF3" s="64"/>
      <c r="LPG3" s="64"/>
      <c r="LPH3" s="64"/>
      <c r="LPI3" s="64"/>
      <c r="LPJ3" s="64"/>
      <c r="LPK3" s="64"/>
      <c r="LPL3" s="64"/>
      <c r="LPM3" s="64"/>
      <c r="LPN3" s="64"/>
      <c r="LPO3" s="64"/>
      <c r="LPP3" s="64"/>
      <c r="LPQ3" s="64"/>
      <c r="LPR3" s="64"/>
      <c r="LPS3" s="64"/>
      <c r="LPT3" s="64"/>
      <c r="LPU3" s="64"/>
      <c r="LPV3" s="64"/>
      <c r="LPW3" s="64"/>
      <c r="LPX3" s="64"/>
      <c r="LPY3" s="64"/>
      <c r="LPZ3" s="64"/>
      <c r="LQA3" s="64"/>
      <c r="LQB3" s="64"/>
      <c r="LQC3" s="64"/>
      <c r="LQD3" s="64"/>
      <c r="LQE3" s="64"/>
      <c r="LQF3" s="64"/>
      <c r="LQG3" s="64"/>
      <c r="LQH3" s="64"/>
      <c r="LQI3" s="64"/>
      <c r="LQJ3" s="64"/>
      <c r="LQK3" s="64"/>
      <c r="LQL3" s="64"/>
      <c r="LQM3" s="64"/>
      <c r="LQN3" s="64"/>
      <c r="LQO3" s="64"/>
      <c r="LQP3" s="64"/>
      <c r="LQQ3" s="64"/>
      <c r="LQR3" s="64"/>
      <c r="LQS3" s="64"/>
      <c r="LQT3" s="64"/>
      <c r="LQU3" s="64"/>
      <c r="LQV3" s="64"/>
      <c r="LQW3" s="64"/>
      <c r="LQX3" s="64"/>
      <c r="LQY3" s="64"/>
      <c r="LQZ3" s="64"/>
      <c r="LRA3" s="64"/>
      <c r="LRB3" s="64"/>
      <c r="LRC3" s="64"/>
      <c r="LRD3" s="64"/>
      <c r="LRE3" s="64"/>
      <c r="LRF3" s="64"/>
      <c r="LRG3" s="64"/>
      <c r="LRH3" s="64"/>
      <c r="LRI3" s="64"/>
      <c r="LRJ3" s="64"/>
      <c r="LRK3" s="64"/>
      <c r="LRL3" s="64"/>
      <c r="LRM3" s="64"/>
      <c r="LRN3" s="64"/>
      <c r="LRO3" s="64"/>
      <c r="LRP3" s="64"/>
      <c r="LRQ3" s="64"/>
      <c r="LRR3" s="64"/>
      <c r="LRS3" s="64"/>
      <c r="LRT3" s="64"/>
      <c r="LRU3" s="64"/>
      <c r="LRV3" s="64"/>
      <c r="LRW3" s="64"/>
      <c r="LRX3" s="64"/>
      <c r="LRY3" s="64"/>
      <c r="LRZ3" s="64"/>
      <c r="LSA3" s="64"/>
      <c r="LSB3" s="64"/>
      <c r="LSC3" s="64"/>
      <c r="LSD3" s="64"/>
      <c r="LSE3" s="64"/>
      <c r="LSF3" s="64"/>
      <c r="LSG3" s="64"/>
      <c r="LSH3" s="64"/>
      <c r="LSI3" s="64"/>
      <c r="LSJ3" s="64"/>
      <c r="LSK3" s="64"/>
      <c r="LSL3" s="64"/>
      <c r="LSM3" s="64"/>
      <c r="LSN3" s="64"/>
      <c r="LSO3" s="64"/>
      <c r="LSP3" s="64"/>
      <c r="LSQ3" s="64"/>
      <c r="LSR3" s="64"/>
      <c r="LSS3" s="64"/>
      <c r="LST3" s="64"/>
      <c r="LSU3" s="64"/>
      <c r="LSV3" s="64"/>
      <c r="LSW3" s="64"/>
      <c r="LSX3" s="64"/>
      <c r="LSY3" s="64"/>
      <c r="LSZ3" s="64"/>
      <c r="LTA3" s="64"/>
      <c r="LTB3" s="64"/>
      <c r="LTC3" s="64"/>
      <c r="LTD3" s="64"/>
      <c r="LTE3" s="64"/>
      <c r="LTF3" s="64"/>
      <c r="LTG3" s="64"/>
      <c r="LTH3" s="64"/>
      <c r="LTI3" s="64"/>
      <c r="LTJ3" s="64"/>
      <c r="LTK3" s="64"/>
      <c r="LTL3" s="64"/>
      <c r="LTM3" s="64"/>
      <c r="LTN3" s="64"/>
      <c r="LTO3" s="64"/>
      <c r="LTP3" s="64"/>
      <c r="LTQ3" s="64"/>
      <c r="LTR3" s="64"/>
      <c r="LTS3" s="64"/>
      <c r="LTT3" s="64"/>
      <c r="LTU3" s="64"/>
      <c r="LTV3" s="64"/>
      <c r="LTW3" s="64"/>
      <c r="LTX3" s="64"/>
      <c r="LTY3" s="64"/>
      <c r="LTZ3" s="64"/>
      <c r="LUA3" s="64"/>
      <c r="LUB3" s="64"/>
      <c r="LUC3" s="64"/>
      <c r="LUD3" s="64"/>
      <c r="LUE3" s="64"/>
      <c r="LUF3" s="64"/>
      <c r="LUG3" s="64"/>
      <c r="LUH3" s="64"/>
      <c r="LUI3" s="64"/>
      <c r="LUJ3" s="64"/>
      <c r="LUK3" s="64"/>
      <c r="LUL3" s="64"/>
      <c r="LUM3" s="64"/>
      <c r="LUN3" s="64"/>
      <c r="LUO3" s="64"/>
      <c r="LUP3" s="64"/>
      <c r="LUQ3" s="64"/>
      <c r="LUR3" s="64"/>
      <c r="LUS3" s="64"/>
      <c r="LUT3" s="64"/>
      <c r="LUU3" s="64"/>
      <c r="LUV3" s="64"/>
      <c r="LUW3" s="64"/>
      <c r="LUX3" s="64"/>
      <c r="LUY3" s="64"/>
      <c r="LUZ3" s="64"/>
      <c r="LVA3" s="64"/>
      <c r="LVB3" s="64"/>
      <c r="LVC3" s="64"/>
      <c r="LVD3" s="64"/>
      <c r="LVE3" s="64"/>
      <c r="LVF3" s="64"/>
      <c r="LVG3" s="64"/>
      <c r="LVH3" s="64"/>
      <c r="LVI3" s="64"/>
      <c r="LVJ3" s="64"/>
      <c r="LVK3" s="64"/>
      <c r="LVL3" s="64"/>
      <c r="LVM3" s="64"/>
      <c r="LVN3" s="64"/>
      <c r="LVO3" s="64"/>
      <c r="LVP3" s="64"/>
      <c r="LVQ3" s="64"/>
      <c r="LVR3" s="64"/>
      <c r="LVS3" s="64"/>
      <c r="LVT3" s="64"/>
      <c r="LVU3" s="64"/>
      <c r="LVV3" s="64"/>
      <c r="LVW3" s="64"/>
      <c r="LVX3" s="64"/>
      <c r="LVY3" s="64"/>
      <c r="LVZ3" s="64"/>
      <c r="LWA3" s="64"/>
      <c r="LWB3" s="64"/>
      <c r="LWC3" s="64"/>
      <c r="LWD3" s="64"/>
      <c r="LWE3" s="64"/>
      <c r="LWF3" s="64"/>
      <c r="LWG3" s="64"/>
      <c r="LWH3" s="64"/>
      <c r="LWI3" s="64"/>
      <c r="LWJ3" s="64"/>
      <c r="LWK3" s="64"/>
      <c r="LWL3" s="64"/>
      <c r="LWM3" s="64"/>
      <c r="LWN3" s="64"/>
      <c r="LWO3" s="64"/>
      <c r="LWP3" s="64"/>
      <c r="LWQ3" s="64"/>
      <c r="LWR3" s="64"/>
      <c r="LWS3" s="64"/>
      <c r="LWT3" s="64"/>
      <c r="LWU3" s="64"/>
      <c r="LWV3" s="64"/>
      <c r="LWW3" s="64"/>
      <c r="LWX3" s="64"/>
      <c r="LWY3" s="64"/>
      <c r="LWZ3" s="64"/>
      <c r="LXA3" s="64"/>
      <c r="LXB3" s="64"/>
      <c r="LXC3" s="64"/>
      <c r="LXD3" s="64"/>
      <c r="LXE3" s="64"/>
      <c r="LXF3" s="64"/>
      <c r="LXG3" s="64"/>
      <c r="LXH3" s="64"/>
      <c r="LXI3" s="64"/>
      <c r="LXJ3" s="64"/>
      <c r="LXK3" s="64"/>
      <c r="LXL3" s="64"/>
      <c r="LXM3" s="64"/>
      <c r="LXN3" s="64"/>
      <c r="LXO3" s="64"/>
      <c r="LXP3" s="64"/>
      <c r="LXQ3" s="64"/>
      <c r="LXR3" s="64"/>
      <c r="LXS3" s="64"/>
      <c r="LXT3" s="64"/>
      <c r="LXU3" s="64"/>
      <c r="LXV3" s="64"/>
      <c r="LXW3" s="64"/>
      <c r="LXX3" s="64"/>
      <c r="LXY3" s="64"/>
      <c r="LXZ3" s="64"/>
      <c r="LYA3" s="64"/>
      <c r="LYB3" s="64"/>
      <c r="LYC3" s="64"/>
      <c r="LYD3" s="64"/>
      <c r="LYE3" s="64"/>
      <c r="LYF3" s="64"/>
      <c r="LYG3" s="64"/>
      <c r="LYH3" s="64"/>
      <c r="LYI3" s="64"/>
      <c r="LYJ3" s="64"/>
      <c r="LYK3" s="64"/>
      <c r="LYL3" s="64"/>
      <c r="LYM3" s="64"/>
      <c r="LYN3" s="64"/>
      <c r="LYO3" s="64"/>
      <c r="LYP3" s="64"/>
      <c r="LYQ3" s="64"/>
      <c r="LYR3" s="64"/>
      <c r="LYS3" s="64"/>
      <c r="LYT3" s="64"/>
      <c r="LYU3" s="64"/>
      <c r="LYV3" s="64"/>
      <c r="LYW3" s="64"/>
      <c r="LYX3" s="64"/>
      <c r="LYY3" s="64"/>
      <c r="LYZ3" s="64"/>
      <c r="LZA3" s="64"/>
      <c r="LZB3" s="64"/>
      <c r="LZC3" s="64"/>
      <c r="LZD3" s="64"/>
      <c r="LZE3" s="64"/>
      <c r="LZF3" s="64"/>
      <c r="LZG3" s="64"/>
      <c r="LZH3" s="64"/>
      <c r="LZI3" s="64"/>
      <c r="LZJ3" s="64"/>
      <c r="LZK3" s="64"/>
      <c r="LZL3" s="64"/>
      <c r="LZM3" s="64"/>
      <c r="LZN3" s="64"/>
      <c r="LZO3" s="64"/>
      <c r="LZP3" s="64"/>
      <c r="LZQ3" s="64"/>
      <c r="LZR3" s="64"/>
      <c r="LZS3" s="64"/>
      <c r="LZT3" s="64"/>
      <c r="LZU3" s="64"/>
      <c r="LZV3" s="64"/>
      <c r="LZW3" s="64"/>
      <c r="LZX3" s="64"/>
      <c r="LZY3" s="64"/>
      <c r="LZZ3" s="64"/>
      <c r="MAA3" s="64"/>
      <c r="MAB3" s="64"/>
      <c r="MAC3" s="64"/>
      <c r="MAD3" s="64"/>
      <c r="MAE3" s="64"/>
      <c r="MAF3" s="64"/>
      <c r="MAG3" s="64"/>
      <c r="MAH3" s="64"/>
      <c r="MAI3" s="64"/>
      <c r="MAJ3" s="64"/>
      <c r="MAK3" s="64"/>
      <c r="MAL3" s="64"/>
      <c r="MAM3" s="64"/>
      <c r="MAN3" s="64"/>
      <c r="MAO3" s="64"/>
      <c r="MAP3" s="64"/>
      <c r="MAQ3" s="64"/>
      <c r="MAR3" s="64"/>
      <c r="MAS3" s="64"/>
      <c r="MAT3" s="64"/>
      <c r="MAU3" s="64"/>
      <c r="MAV3" s="64"/>
      <c r="MAW3" s="64"/>
      <c r="MAX3" s="64"/>
      <c r="MAY3" s="64"/>
      <c r="MAZ3" s="64"/>
      <c r="MBA3" s="64"/>
      <c r="MBB3" s="64"/>
      <c r="MBC3" s="64"/>
      <c r="MBD3" s="64"/>
      <c r="MBE3" s="64"/>
      <c r="MBF3" s="64"/>
      <c r="MBG3" s="64"/>
      <c r="MBH3" s="64"/>
      <c r="MBI3" s="64"/>
      <c r="MBJ3" s="64"/>
      <c r="MBK3" s="64"/>
      <c r="MBL3" s="64"/>
      <c r="MBM3" s="64"/>
      <c r="MBN3" s="64"/>
      <c r="MBO3" s="64"/>
      <c r="MBP3" s="64"/>
      <c r="MBQ3" s="64"/>
      <c r="MBR3" s="64"/>
      <c r="MBS3" s="64"/>
      <c r="MBT3" s="64"/>
      <c r="MBU3" s="64"/>
      <c r="MBV3" s="64"/>
      <c r="MBW3" s="64"/>
      <c r="MBX3" s="64"/>
      <c r="MBY3" s="64"/>
      <c r="MBZ3" s="64"/>
      <c r="MCA3" s="64"/>
      <c r="MCB3" s="64"/>
      <c r="MCC3" s="64"/>
      <c r="MCD3" s="64"/>
      <c r="MCE3" s="64"/>
      <c r="MCF3" s="64"/>
      <c r="MCG3" s="64"/>
      <c r="MCH3" s="64"/>
      <c r="MCI3" s="64"/>
      <c r="MCJ3" s="64"/>
      <c r="MCK3" s="64"/>
      <c r="MCL3" s="64"/>
      <c r="MCM3" s="64"/>
      <c r="MCN3" s="64"/>
      <c r="MCO3" s="64"/>
      <c r="MCP3" s="64"/>
      <c r="MCQ3" s="64"/>
      <c r="MCR3" s="64"/>
      <c r="MCS3" s="64"/>
      <c r="MCT3" s="64"/>
      <c r="MCU3" s="64"/>
      <c r="MCV3" s="64"/>
      <c r="MCW3" s="64"/>
      <c r="MCX3" s="64"/>
      <c r="MCY3" s="64"/>
      <c r="MCZ3" s="64"/>
      <c r="MDA3" s="64"/>
      <c r="MDB3" s="64"/>
      <c r="MDC3" s="64"/>
      <c r="MDD3" s="64"/>
      <c r="MDE3" s="64"/>
      <c r="MDF3" s="64"/>
      <c r="MDG3" s="64"/>
      <c r="MDH3" s="64"/>
      <c r="MDI3" s="64"/>
      <c r="MDJ3" s="64"/>
      <c r="MDK3" s="64"/>
      <c r="MDL3" s="64"/>
      <c r="MDM3" s="64"/>
      <c r="MDN3" s="64"/>
      <c r="MDO3" s="64"/>
      <c r="MDP3" s="64"/>
      <c r="MDQ3" s="64"/>
      <c r="MDR3" s="64"/>
      <c r="MDS3" s="64"/>
      <c r="MDT3" s="64"/>
      <c r="MDU3" s="64"/>
      <c r="MDV3" s="64"/>
      <c r="MDW3" s="64"/>
      <c r="MDX3" s="64"/>
      <c r="MDY3" s="64"/>
      <c r="MDZ3" s="64"/>
      <c r="MEA3" s="64"/>
      <c r="MEB3" s="64"/>
      <c r="MEC3" s="64"/>
      <c r="MED3" s="64"/>
      <c r="MEE3" s="64"/>
      <c r="MEF3" s="64"/>
      <c r="MEG3" s="64"/>
      <c r="MEH3" s="64"/>
      <c r="MEI3" s="64"/>
      <c r="MEJ3" s="64"/>
      <c r="MEK3" s="64"/>
      <c r="MEL3" s="64"/>
      <c r="MEM3" s="64"/>
      <c r="MEN3" s="64"/>
      <c r="MEO3" s="64"/>
      <c r="MEP3" s="64"/>
      <c r="MEQ3" s="64"/>
      <c r="MER3" s="64"/>
      <c r="MES3" s="64"/>
      <c r="MET3" s="64"/>
      <c r="MEU3" s="64"/>
      <c r="MEV3" s="64"/>
      <c r="MEW3" s="64"/>
      <c r="MEX3" s="64"/>
      <c r="MEY3" s="64"/>
      <c r="MEZ3" s="64"/>
      <c r="MFA3" s="64"/>
      <c r="MFB3" s="64"/>
      <c r="MFC3" s="64"/>
      <c r="MFD3" s="64"/>
      <c r="MFE3" s="64"/>
      <c r="MFF3" s="64"/>
      <c r="MFG3" s="64"/>
      <c r="MFH3" s="64"/>
      <c r="MFI3" s="64"/>
      <c r="MFJ3" s="64"/>
      <c r="MFK3" s="64"/>
      <c r="MFL3" s="64"/>
      <c r="MFM3" s="64"/>
      <c r="MFN3" s="64"/>
      <c r="MFO3" s="64"/>
      <c r="MFP3" s="64"/>
      <c r="MFQ3" s="64"/>
      <c r="MFR3" s="64"/>
      <c r="MFS3" s="64"/>
      <c r="MFT3" s="64"/>
      <c r="MFU3" s="64"/>
      <c r="MFV3" s="64"/>
      <c r="MFW3" s="64"/>
      <c r="MFX3" s="64"/>
      <c r="MFY3" s="64"/>
      <c r="MFZ3" s="64"/>
      <c r="MGA3" s="64"/>
      <c r="MGB3" s="64"/>
      <c r="MGC3" s="64"/>
      <c r="MGD3" s="64"/>
      <c r="MGE3" s="64"/>
      <c r="MGF3" s="64"/>
      <c r="MGG3" s="64"/>
      <c r="MGH3" s="64"/>
      <c r="MGI3" s="64"/>
      <c r="MGJ3" s="64"/>
      <c r="MGK3" s="64"/>
      <c r="MGL3" s="64"/>
      <c r="MGM3" s="64"/>
      <c r="MGN3" s="64"/>
      <c r="MGO3" s="64"/>
      <c r="MGP3" s="64"/>
      <c r="MGQ3" s="64"/>
      <c r="MGR3" s="64"/>
      <c r="MGS3" s="64"/>
      <c r="MGT3" s="64"/>
      <c r="MGU3" s="64"/>
      <c r="MGV3" s="64"/>
      <c r="MGW3" s="64"/>
      <c r="MGX3" s="64"/>
      <c r="MGY3" s="64"/>
      <c r="MGZ3" s="64"/>
      <c r="MHA3" s="64"/>
      <c r="MHB3" s="64"/>
      <c r="MHC3" s="64"/>
      <c r="MHD3" s="64"/>
      <c r="MHE3" s="64"/>
      <c r="MHF3" s="64"/>
      <c r="MHG3" s="64"/>
      <c r="MHH3" s="64"/>
      <c r="MHI3" s="64"/>
      <c r="MHJ3" s="64"/>
      <c r="MHK3" s="64"/>
      <c r="MHL3" s="64"/>
      <c r="MHM3" s="64"/>
      <c r="MHN3" s="64"/>
      <c r="MHO3" s="64"/>
      <c r="MHP3" s="64"/>
      <c r="MHQ3" s="64"/>
      <c r="MHR3" s="64"/>
      <c r="MHS3" s="64"/>
      <c r="MHT3" s="64"/>
      <c r="MHU3" s="64"/>
      <c r="MHV3" s="64"/>
      <c r="MHW3" s="64"/>
      <c r="MHX3" s="64"/>
      <c r="MHY3" s="64"/>
      <c r="MHZ3" s="64"/>
      <c r="MIA3" s="64"/>
      <c r="MIB3" s="64"/>
      <c r="MIC3" s="64"/>
      <c r="MID3" s="64"/>
      <c r="MIE3" s="64"/>
      <c r="MIF3" s="64"/>
      <c r="MIG3" s="64"/>
      <c r="MIH3" s="64"/>
      <c r="MII3" s="64"/>
      <c r="MIJ3" s="64"/>
      <c r="MIK3" s="64"/>
      <c r="MIL3" s="64"/>
      <c r="MIM3" s="64"/>
      <c r="MIN3" s="64"/>
      <c r="MIO3" s="64"/>
      <c r="MIP3" s="64"/>
      <c r="MIQ3" s="64"/>
      <c r="MIR3" s="64"/>
      <c r="MIS3" s="64"/>
      <c r="MIT3" s="64"/>
      <c r="MIU3" s="64"/>
      <c r="MIV3" s="64"/>
      <c r="MIW3" s="64"/>
      <c r="MIX3" s="64"/>
      <c r="MIY3" s="64"/>
      <c r="MIZ3" s="64"/>
      <c r="MJA3" s="64"/>
      <c r="MJB3" s="64"/>
      <c r="MJC3" s="64"/>
      <c r="MJD3" s="64"/>
      <c r="MJE3" s="64"/>
      <c r="MJF3" s="64"/>
      <c r="MJG3" s="64"/>
      <c r="MJH3" s="64"/>
      <c r="MJI3" s="64"/>
      <c r="MJJ3" s="64"/>
      <c r="MJK3" s="64"/>
      <c r="MJL3" s="64"/>
      <c r="MJM3" s="64"/>
      <c r="MJN3" s="64"/>
      <c r="MJO3" s="64"/>
      <c r="MJP3" s="64"/>
      <c r="MJQ3" s="64"/>
      <c r="MJR3" s="64"/>
      <c r="MJS3" s="64"/>
      <c r="MJT3" s="64"/>
      <c r="MJU3" s="64"/>
      <c r="MJV3" s="64"/>
      <c r="MJW3" s="64"/>
      <c r="MJX3" s="64"/>
      <c r="MJY3" s="64"/>
      <c r="MJZ3" s="64"/>
      <c r="MKA3" s="64"/>
      <c r="MKB3" s="64"/>
      <c r="MKC3" s="64"/>
      <c r="MKD3" s="64"/>
      <c r="MKE3" s="64"/>
      <c r="MKF3" s="64"/>
      <c r="MKG3" s="64"/>
      <c r="MKH3" s="64"/>
      <c r="MKI3" s="64"/>
      <c r="MKJ3" s="64"/>
      <c r="MKK3" s="64"/>
      <c r="MKL3" s="64"/>
      <c r="MKM3" s="64"/>
      <c r="MKN3" s="64"/>
      <c r="MKO3" s="64"/>
      <c r="MKP3" s="64"/>
      <c r="MKQ3" s="64"/>
      <c r="MKR3" s="64"/>
      <c r="MKS3" s="64"/>
      <c r="MKT3" s="64"/>
      <c r="MKU3" s="64"/>
      <c r="MKV3" s="64"/>
      <c r="MKW3" s="64"/>
      <c r="MKX3" s="64"/>
      <c r="MKY3" s="64"/>
      <c r="MKZ3" s="64"/>
      <c r="MLA3" s="64"/>
      <c r="MLB3" s="64"/>
      <c r="MLC3" s="64"/>
      <c r="MLD3" s="64"/>
      <c r="MLE3" s="64"/>
      <c r="MLF3" s="64"/>
      <c r="MLG3" s="64"/>
      <c r="MLH3" s="64"/>
      <c r="MLI3" s="64"/>
      <c r="MLJ3" s="64"/>
      <c r="MLK3" s="64"/>
      <c r="MLL3" s="64"/>
      <c r="MLM3" s="64"/>
      <c r="MLN3" s="64"/>
      <c r="MLO3" s="64"/>
      <c r="MLP3" s="64"/>
      <c r="MLQ3" s="64"/>
      <c r="MLR3" s="64"/>
      <c r="MLS3" s="64"/>
      <c r="MLT3" s="64"/>
      <c r="MLU3" s="64"/>
      <c r="MLV3" s="64"/>
      <c r="MLW3" s="64"/>
      <c r="MLX3" s="64"/>
      <c r="MLY3" s="64"/>
      <c r="MLZ3" s="64"/>
      <c r="MMA3" s="64"/>
      <c r="MMB3" s="64"/>
      <c r="MMC3" s="64"/>
      <c r="MMD3" s="64"/>
      <c r="MME3" s="64"/>
      <c r="MMF3" s="64"/>
      <c r="MMG3" s="64"/>
      <c r="MMH3" s="64"/>
      <c r="MMI3" s="64"/>
      <c r="MMJ3" s="64"/>
      <c r="MMK3" s="64"/>
      <c r="MML3" s="64"/>
      <c r="MMM3" s="64"/>
      <c r="MMN3" s="64"/>
      <c r="MMO3" s="64"/>
      <c r="MMP3" s="64"/>
      <c r="MMQ3" s="64"/>
      <c r="MMR3" s="64"/>
      <c r="MMS3" s="64"/>
      <c r="MMT3" s="64"/>
      <c r="MMU3" s="64"/>
      <c r="MMV3" s="64"/>
      <c r="MMW3" s="64"/>
      <c r="MMX3" s="64"/>
      <c r="MMY3" s="64"/>
      <c r="MMZ3" s="64"/>
      <c r="MNA3" s="64"/>
      <c r="MNB3" s="64"/>
      <c r="MNC3" s="64"/>
      <c r="MND3" s="64"/>
      <c r="MNE3" s="64"/>
      <c r="MNF3" s="64"/>
      <c r="MNG3" s="64"/>
      <c r="MNH3" s="64"/>
      <c r="MNI3" s="64"/>
      <c r="MNJ3" s="64"/>
      <c r="MNK3" s="64"/>
      <c r="MNL3" s="64"/>
      <c r="MNM3" s="64"/>
      <c r="MNN3" s="64"/>
      <c r="MNO3" s="64"/>
      <c r="MNP3" s="64"/>
      <c r="MNQ3" s="64"/>
      <c r="MNR3" s="64"/>
      <c r="MNS3" s="64"/>
      <c r="MNT3" s="64"/>
      <c r="MNU3" s="64"/>
      <c r="MNV3" s="64"/>
      <c r="MNW3" s="64"/>
      <c r="MNX3" s="64"/>
      <c r="MNY3" s="64"/>
      <c r="MNZ3" s="64"/>
      <c r="MOA3" s="64"/>
      <c r="MOB3" s="64"/>
      <c r="MOC3" s="64"/>
      <c r="MOD3" s="64"/>
      <c r="MOE3" s="64"/>
      <c r="MOF3" s="64"/>
      <c r="MOG3" s="64"/>
      <c r="MOH3" s="64"/>
      <c r="MOI3" s="64"/>
      <c r="MOJ3" s="64"/>
      <c r="MOK3" s="64"/>
      <c r="MOL3" s="64"/>
      <c r="MOM3" s="64"/>
      <c r="MON3" s="64"/>
      <c r="MOO3" s="64"/>
      <c r="MOP3" s="64"/>
      <c r="MOQ3" s="64"/>
      <c r="MOR3" s="64"/>
      <c r="MOS3" s="64"/>
      <c r="MOT3" s="64"/>
      <c r="MOU3" s="64"/>
      <c r="MOV3" s="64"/>
      <c r="MOW3" s="64"/>
      <c r="MOX3" s="64"/>
      <c r="MOY3" s="64"/>
      <c r="MOZ3" s="64"/>
      <c r="MPA3" s="64"/>
      <c r="MPB3" s="64"/>
      <c r="MPC3" s="64"/>
      <c r="MPD3" s="64"/>
      <c r="MPE3" s="64"/>
      <c r="MPF3" s="64"/>
      <c r="MPG3" s="64"/>
      <c r="MPH3" s="64"/>
      <c r="MPI3" s="64"/>
      <c r="MPJ3" s="64"/>
      <c r="MPK3" s="64"/>
      <c r="MPL3" s="64"/>
      <c r="MPM3" s="64"/>
      <c r="MPN3" s="64"/>
      <c r="MPO3" s="64"/>
      <c r="MPP3" s="64"/>
      <c r="MPQ3" s="64"/>
      <c r="MPR3" s="64"/>
      <c r="MPS3" s="64"/>
      <c r="MPT3" s="64"/>
      <c r="MPU3" s="64"/>
      <c r="MPV3" s="64"/>
      <c r="MPW3" s="64"/>
      <c r="MPX3" s="64"/>
      <c r="MPY3" s="64"/>
      <c r="MPZ3" s="64"/>
      <c r="MQA3" s="64"/>
      <c r="MQB3" s="64"/>
      <c r="MQC3" s="64"/>
      <c r="MQD3" s="64"/>
      <c r="MQE3" s="64"/>
      <c r="MQF3" s="64"/>
      <c r="MQG3" s="64"/>
      <c r="MQH3" s="64"/>
      <c r="MQI3" s="64"/>
      <c r="MQJ3" s="64"/>
      <c r="MQK3" s="64"/>
      <c r="MQL3" s="64"/>
      <c r="MQM3" s="64"/>
      <c r="MQN3" s="64"/>
      <c r="MQO3" s="64"/>
      <c r="MQP3" s="64"/>
      <c r="MQQ3" s="64"/>
      <c r="MQR3" s="64"/>
      <c r="MQS3" s="64"/>
      <c r="MQT3" s="64"/>
      <c r="MQU3" s="64"/>
      <c r="MQV3" s="64"/>
      <c r="MQW3" s="64"/>
      <c r="MQX3" s="64"/>
      <c r="MQY3" s="64"/>
      <c r="MQZ3" s="64"/>
      <c r="MRA3" s="64"/>
      <c r="MRB3" s="64"/>
      <c r="MRC3" s="64"/>
      <c r="MRD3" s="64"/>
      <c r="MRE3" s="64"/>
      <c r="MRF3" s="64"/>
      <c r="MRG3" s="64"/>
      <c r="MRH3" s="64"/>
      <c r="MRI3" s="64"/>
      <c r="MRJ3" s="64"/>
      <c r="MRK3" s="64"/>
      <c r="MRL3" s="64"/>
      <c r="MRM3" s="64"/>
      <c r="MRN3" s="64"/>
      <c r="MRO3" s="64"/>
      <c r="MRP3" s="64"/>
      <c r="MRQ3" s="64"/>
      <c r="MRR3" s="64"/>
      <c r="MRS3" s="64"/>
      <c r="MRT3" s="64"/>
      <c r="MRU3" s="64"/>
      <c r="MRV3" s="64"/>
      <c r="MRW3" s="64"/>
      <c r="MRX3" s="64"/>
      <c r="MRY3" s="64"/>
      <c r="MRZ3" s="64"/>
      <c r="MSA3" s="64"/>
      <c r="MSB3" s="64"/>
      <c r="MSC3" s="64"/>
      <c r="MSD3" s="64"/>
      <c r="MSE3" s="64"/>
      <c r="MSF3" s="64"/>
      <c r="MSG3" s="64"/>
      <c r="MSH3" s="64"/>
      <c r="MSI3" s="64"/>
      <c r="MSJ3" s="64"/>
      <c r="MSK3" s="64"/>
      <c r="MSL3" s="64"/>
      <c r="MSM3" s="64"/>
      <c r="MSN3" s="64"/>
      <c r="MSO3" s="64"/>
      <c r="MSP3" s="64"/>
      <c r="MSQ3" s="64"/>
      <c r="MSR3" s="64"/>
      <c r="MSS3" s="64"/>
      <c r="MST3" s="64"/>
      <c r="MSU3" s="64"/>
      <c r="MSV3" s="64"/>
      <c r="MSW3" s="64"/>
      <c r="MSX3" s="64"/>
      <c r="MSY3" s="64"/>
      <c r="MSZ3" s="64"/>
      <c r="MTA3" s="64"/>
      <c r="MTB3" s="64"/>
      <c r="MTC3" s="64"/>
      <c r="MTD3" s="64"/>
      <c r="MTE3" s="64"/>
      <c r="MTF3" s="64"/>
      <c r="MTG3" s="64"/>
      <c r="MTH3" s="64"/>
      <c r="MTI3" s="64"/>
      <c r="MTJ3" s="64"/>
      <c r="MTK3" s="64"/>
      <c r="MTL3" s="64"/>
      <c r="MTM3" s="64"/>
      <c r="MTN3" s="64"/>
      <c r="MTO3" s="64"/>
      <c r="MTP3" s="64"/>
      <c r="MTQ3" s="64"/>
      <c r="MTR3" s="64"/>
      <c r="MTS3" s="64"/>
      <c r="MTT3" s="64"/>
      <c r="MTU3" s="64"/>
      <c r="MTV3" s="64"/>
      <c r="MTW3" s="64"/>
      <c r="MTX3" s="64"/>
      <c r="MTY3" s="64"/>
      <c r="MTZ3" s="64"/>
      <c r="MUA3" s="64"/>
      <c r="MUB3" s="64"/>
      <c r="MUC3" s="64"/>
      <c r="MUD3" s="64"/>
      <c r="MUE3" s="64"/>
      <c r="MUF3" s="64"/>
      <c r="MUG3" s="64"/>
      <c r="MUH3" s="64"/>
      <c r="MUI3" s="64"/>
      <c r="MUJ3" s="64"/>
      <c r="MUK3" s="64"/>
      <c r="MUL3" s="64"/>
      <c r="MUM3" s="64"/>
      <c r="MUN3" s="64"/>
      <c r="MUO3" s="64"/>
      <c r="MUP3" s="64"/>
      <c r="MUQ3" s="64"/>
      <c r="MUR3" s="64"/>
      <c r="MUS3" s="64"/>
      <c r="MUT3" s="64"/>
      <c r="MUU3" s="64"/>
      <c r="MUV3" s="64"/>
      <c r="MUW3" s="64"/>
      <c r="MUX3" s="64"/>
      <c r="MUY3" s="64"/>
      <c r="MUZ3" s="64"/>
      <c r="MVA3" s="64"/>
      <c r="MVB3" s="64"/>
      <c r="MVC3" s="64"/>
      <c r="MVD3" s="64"/>
      <c r="MVE3" s="64"/>
      <c r="MVF3" s="64"/>
      <c r="MVG3" s="64"/>
      <c r="MVH3" s="64"/>
      <c r="MVI3" s="64"/>
      <c r="MVJ3" s="64"/>
      <c r="MVK3" s="64"/>
      <c r="MVL3" s="64"/>
      <c r="MVM3" s="64"/>
      <c r="MVN3" s="64"/>
      <c r="MVO3" s="64"/>
      <c r="MVP3" s="64"/>
      <c r="MVQ3" s="64"/>
      <c r="MVR3" s="64"/>
      <c r="MVS3" s="64"/>
      <c r="MVT3" s="64"/>
      <c r="MVU3" s="64"/>
      <c r="MVV3" s="64"/>
      <c r="MVW3" s="64"/>
      <c r="MVX3" s="64"/>
      <c r="MVY3" s="64"/>
      <c r="MVZ3" s="64"/>
      <c r="MWA3" s="64"/>
      <c r="MWB3" s="64"/>
      <c r="MWC3" s="64"/>
      <c r="MWD3" s="64"/>
      <c r="MWE3" s="64"/>
      <c r="MWF3" s="64"/>
      <c r="MWG3" s="64"/>
      <c r="MWH3" s="64"/>
      <c r="MWI3" s="64"/>
      <c r="MWJ3" s="64"/>
      <c r="MWK3" s="64"/>
      <c r="MWL3" s="64"/>
      <c r="MWM3" s="64"/>
      <c r="MWN3" s="64"/>
      <c r="MWO3" s="64"/>
      <c r="MWP3" s="64"/>
      <c r="MWQ3" s="64"/>
      <c r="MWR3" s="64"/>
      <c r="MWS3" s="64"/>
      <c r="MWT3" s="64"/>
      <c r="MWU3" s="64"/>
      <c r="MWV3" s="64"/>
      <c r="MWW3" s="64"/>
      <c r="MWX3" s="64"/>
      <c r="MWY3" s="64"/>
      <c r="MWZ3" s="64"/>
      <c r="MXA3" s="64"/>
      <c r="MXB3" s="64"/>
      <c r="MXC3" s="64"/>
      <c r="MXD3" s="64"/>
      <c r="MXE3" s="64"/>
      <c r="MXF3" s="64"/>
      <c r="MXG3" s="64"/>
      <c r="MXH3" s="64"/>
      <c r="MXI3" s="64"/>
      <c r="MXJ3" s="64"/>
      <c r="MXK3" s="64"/>
      <c r="MXL3" s="64"/>
      <c r="MXM3" s="64"/>
      <c r="MXN3" s="64"/>
      <c r="MXO3" s="64"/>
      <c r="MXP3" s="64"/>
      <c r="MXQ3" s="64"/>
      <c r="MXR3" s="64"/>
      <c r="MXS3" s="64"/>
      <c r="MXT3" s="64"/>
      <c r="MXU3" s="64"/>
      <c r="MXV3" s="64"/>
      <c r="MXW3" s="64"/>
      <c r="MXX3" s="64"/>
      <c r="MXY3" s="64"/>
      <c r="MXZ3" s="64"/>
      <c r="MYA3" s="64"/>
      <c r="MYB3" s="64"/>
      <c r="MYC3" s="64"/>
      <c r="MYD3" s="64"/>
      <c r="MYE3" s="64"/>
      <c r="MYF3" s="64"/>
      <c r="MYG3" s="64"/>
      <c r="MYH3" s="64"/>
      <c r="MYI3" s="64"/>
      <c r="MYJ3" s="64"/>
      <c r="MYK3" s="64"/>
      <c r="MYL3" s="64"/>
      <c r="MYM3" s="64"/>
      <c r="MYN3" s="64"/>
      <c r="MYO3" s="64"/>
      <c r="MYP3" s="64"/>
      <c r="MYQ3" s="64"/>
      <c r="MYR3" s="64"/>
      <c r="MYS3" s="64"/>
      <c r="MYT3" s="64"/>
      <c r="MYU3" s="64"/>
      <c r="MYV3" s="64"/>
      <c r="MYW3" s="64"/>
      <c r="MYX3" s="64"/>
      <c r="MYY3" s="64"/>
      <c r="MYZ3" s="64"/>
      <c r="MZA3" s="64"/>
      <c r="MZB3" s="64"/>
      <c r="MZC3" s="64"/>
      <c r="MZD3" s="64"/>
      <c r="MZE3" s="64"/>
      <c r="MZF3" s="64"/>
      <c r="MZG3" s="64"/>
      <c r="MZH3" s="64"/>
      <c r="MZI3" s="64"/>
      <c r="MZJ3" s="64"/>
      <c r="MZK3" s="64"/>
      <c r="MZL3" s="64"/>
      <c r="MZM3" s="64"/>
      <c r="MZN3" s="64"/>
      <c r="MZO3" s="64"/>
      <c r="MZP3" s="64"/>
      <c r="MZQ3" s="64"/>
      <c r="MZR3" s="64"/>
      <c r="MZS3" s="64"/>
      <c r="MZT3" s="64"/>
      <c r="MZU3" s="64"/>
      <c r="MZV3" s="64"/>
      <c r="MZW3" s="64"/>
      <c r="MZX3" s="64"/>
      <c r="MZY3" s="64"/>
      <c r="MZZ3" s="64"/>
      <c r="NAA3" s="64"/>
      <c r="NAB3" s="64"/>
      <c r="NAC3" s="64"/>
      <c r="NAD3" s="64"/>
      <c r="NAE3" s="64"/>
      <c r="NAF3" s="64"/>
      <c r="NAG3" s="64"/>
      <c r="NAH3" s="64"/>
      <c r="NAI3" s="64"/>
      <c r="NAJ3" s="64"/>
      <c r="NAK3" s="64"/>
      <c r="NAL3" s="64"/>
      <c r="NAM3" s="64"/>
      <c r="NAN3" s="64"/>
      <c r="NAO3" s="64"/>
      <c r="NAP3" s="64"/>
      <c r="NAQ3" s="64"/>
      <c r="NAR3" s="64"/>
      <c r="NAS3" s="64"/>
      <c r="NAT3" s="64"/>
      <c r="NAU3" s="64"/>
      <c r="NAV3" s="64"/>
      <c r="NAW3" s="64"/>
      <c r="NAX3" s="64"/>
      <c r="NAY3" s="64"/>
      <c r="NAZ3" s="64"/>
      <c r="NBA3" s="64"/>
      <c r="NBB3" s="64"/>
      <c r="NBC3" s="64"/>
      <c r="NBD3" s="64"/>
      <c r="NBE3" s="64"/>
      <c r="NBF3" s="64"/>
      <c r="NBG3" s="64"/>
      <c r="NBH3" s="64"/>
      <c r="NBI3" s="64"/>
      <c r="NBJ3" s="64"/>
      <c r="NBK3" s="64"/>
      <c r="NBL3" s="64"/>
      <c r="NBM3" s="64"/>
      <c r="NBN3" s="64"/>
      <c r="NBO3" s="64"/>
      <c r="NBP3" s="64"/>
      <c r="NBQ3" s="64"/>
      <c r="NBR3" s="64"/>
      <c r="NBS3" s="64"/>
      <c r="NBT3" s="64"/>
      <c r="NBU3" s="64"/>
      <c r="NBV3" s="64"/>
      <c r="NBW3" s="64"/>
      <c r="NBX3" s="64"/>
      <c r="NBY3" s="64"/>
      <c r="NBZ3" s="64"/>
      <c r="NCA3" s="64"/>
      <c r="NCB3" s="64"/>
      <c r="NCC3" s="64"/>
      <c r="NCD3" s="64"/>
      <c r="NCE3" s="64"/>
      <c r="NCF3" s="64"/>
      <c r="NCG3" s="64"/>
      <c r="NCH3" s="64"/>
      <c r="NCI3" s="64"/>
      <c r="NCJ3" s="64"/>
      <c r="NCK3" s="64"/>
      <c r="NCL3" s="64"/>
      <c r="NCM3" s="64"/>
      <c r="NCN3" s="64"/>
      <c r="NCO3" s="64"/>
      <c r="NCP3" s="64"/>
      <c r="NCQ3" s="64"/>
      <c r="NCR3" s="64"/>
      <c r="NCS3" s="64"/>
      <c r="NCT3" s="64"/>
      <c r="NCU3" s="64"/>
      <c r="NCV3" s="64"/>
      <c r="NCW3" s="64"/>
      <c r="NCX3" s="64"/>
      <c r="NCY3" s="64"/>
      <c r="NCZ3" s="64"/>
      <c r="NDA3" s="64"/>
      <c r="NDB3" s="64"/>
      <c r="NDC3" s="64"/>
      <c r="NDD3" s="64"/>
      <c r="NDE3" s="64"/>
      <c r="NDF3" s="64"/>
      <c r="NDG3" s="64"/>
      <c r="NDH3" s="64"/>
      <c r="NDI3" s="64"/>
      <c r="NDJ3" s="64"/>
      <c r="NDK3" s="64"/>
      <c r="NDL3" s="64"/>
      <c r="NDM3" s="64"/>
      <c r="NDN3" s="64"/>
      <c r="NDO3" s="64"/>
      <c r="NDP3" s="64"/>
      <c r="NDQ3" s="64"/>
      <c r="NDR3" s="64"/>
      <c r="NDS3" s="64"/>
      <c r="NDT3" s="64"/>
      <c r="NDU3" s="64"/>
      <c r="NDV3" s="64"/>
      <c r="NDW3" s="64"/>
      <c r="NDX3" s="64"/>
      <c r="NDY3" s="64"/>
      <c r="NDZ3" s="64"/>
      <c r="NEA3" s="64"/>
      <c r="NEB3" s="64"/>
      <c r="NEC3" s="64"/>
      <c r="NED3" s="64"/>
      <c r="NEE3" s="64"/>
      <c r="NEF3" s="64"/>
      <c r="NEG3" s="64"/>
      <c r="NEH3" s="64"/>
      <c r="NEI3" s="64"/>
      <c r="NEJ3" s="64"/>
      <c r="NEK3" s="64"/>
      <c r="NEL3" s="64"/>
      <c r="NEM3" s="64"/>
      <c r="NEN3" s="64"/>
      <c r="NEO3" s="64"/>
      <c r="NEP3" s="64"/>
      <c r="NEQ3" s="64"/>
      <c r="NER3" s="64"/>
      <c r="NES3" s="64"/>
      <c r="NET3" s="64"/>
      <c r="NEU3" s="64"/>
      <c r="NEV3" s="64"/>
      <c r="NEW3" s="64"/>
      <c r="NEX3" s="64"/>
      <c r="NEY3" s="64"/>
      <c r="NEZ3" s="64"/>
      <c r="NFA3" s="64"/>
      <c r="NFB3" s="64"/>
      <c r="NFC3" s="64"/>
      <c r="NFD3" s="64"/>
      <c r="NFE3" s="64"/>
      <c r="NFF3" s="64"/>
      <c r="NFG3" s="64"/>
      <c r="NFH3" s="64"/>
      <c r="NFI3" s="64"/>
      <c r="NFJ3" s="64"/>
      <c r="NFK3" s="64"/>
      <c r="NFL3" s="64"/>
      <c r="NFM3" s="64"/>
      <c r="NFN3" s="64"/>
      <c r="NFO3" s="64"/>
      <c r="NFP3" s="64"/>
      <c r="NFQ3" s="64"/>
      <c r="NFR3" s="64"/>
      <c r="NFS3" s="64"/>
      <c r="NFT3" s="64"/>
      <c r="NFU3" s="64"/>
      <c r="NFV3" s="64"/>
      <c r="NFW3" s="64"/>
      <c r="NFX3" s="64"/>
      <c r="NFY3" s="64"/>
      <c r="NFZ3" s="64"/>
      <c r="NGA3" s="64"/>
      <c r="NGB3" s="64"/>
      <c r="NGC3" s="64"/>
      <c r="NGD3" s="64"/>
      <c r="NGE3" s="64"/>
      <c r="NGF3" s="64"/>
      <c r="NGG3" s="64"/>
      <c r="NGH3" s="64"/>
      <c r="NGI3" s="64"/>
      <c r="NGJ3" s="64"/>
      <c r="NGK3" s="64"/>
      <c r="NGL3" s="64"/>
      <c r="NGM3" s="64"/>
      <c r="NGN3" s="64"/>
      <c r="NGO3" s="64"/>
      <c r="NGP3" s="64"/>
      <c r="NGQ3" s="64"/>
      <c r="NGR3" s="64"/>
      <c r="NGS3" s="64"/>
      <c r="NGT3" s="64"/>
      <c r="NGU3" s="64"/>
      <c r="NGV3" s="64"/>
      <c r="NGW3" s="64"/>
      <c r="NGX3" s="64"/>
      <c r="NGY3" s="64"/>
      <c r="NGZ3" s="64"/>
      <c r="NHA3" s="64"/>
      <c r="NHB3" s="64"/>
      <c r="NHC3" s="64"/>
      <c r="NHD3" s="64"/>
      <c r="NHE3" s="64"/>
      <c r="NHF3" s="64"/>
      <c r="NHG3" s="64"/>
      <c r="NHH3" s="64"/>
      <c r="NHI3" s="64"/>
      <c r="NHJ3" s="64"/>
      <c r="NHK3" s="64"/>
      <c r="NHL3" s="64"/>
      <c r="NHM3" s="64"/>
      <c r="NHN3" s="64"/>
      <c r="NHO3" s="64"/>
      <c r="NHP3" s="64"/>
      <c r="NHQ3" s="64"/>
      <c r="NHR3" s="64"/>
      <c r="NHS3" s="64"/>
      <c r="NHT3" s="64"/>
      <c r="NHU3" s="64"/>
      <c r="NHV3" s="64"/>
      <c r="NHW3" s="64"/>
      <c r="NHX3" s="64"/>
      <c r="NHY3" s="64"/>
      <c r="NHZ3" s="64"/>
      <c r="NIA3" s="64"/>
      <c r="NIB3" s="64"/>
      <c r="NIC3" s="64"/>
      <c r="NID3" s="64"/>
      <c r="NIE3" s="64"/>
      <c r="NIF3" s="64"/>
      <c r="NIG3" s="64"/>
      <c r="NIH3" s="64"/>
      <c r="NII3" s="64"/>
      <c r="NIJ3" s="64"/>
      <c r="NIK3" s="64"/>
      <c r="NIL3" s="64"/>
      <c r="NIM3" s="64"/>
      <c r="NIN3" s="64"/>
      <c r="NIO3" s="64"/>
      <c r="NIP3" s="64"/>
      <c r="NIQ3" s="64"/>
      <c r="NIR3" s="64"/>
      <c r="NIS3" s="64"/>
      <c r="NIT3" s="64"/>
      <c r="NIU3" s="64"/>
      <c r="NIV3" s="64"/>
      <c r="NIW3" s="64"/>
      <c r="NIX3" s="64"/>
      <c r="NIY3" s="64"/>
      <c r="NIZ3" s="64"/>
      <c r="NJA3" s="64"/>
      <c r="NJB3" s="64"/>
      <c r="NJC3" s="64"/>
      <c r="NJD3" s="64"/>
      <c r="NJE3" s="64"/>
      <c r="NJF3" s="64"/>
      <c r="NJG3" s="64"/>
      <c r="NJH3" s="64"/>
      <c r="NJI3" s="64"/>
      <c r="NJJ3" s="64"/>
      <c r="NJK3" s="64"/>
      <c r="NJL3" s="64"/>
      <c r="NJM3" s="64"/>
      <c r="NJN3" s="64"/>
      <c r="NJO3" s="64"/>
      <c r="NJP3" s="64"/>
      <c r="NJQ3" s="64"/>
      <c r="NJR3" s="64"/>
      <c r="NJS3" s="64"/>
      <c r="NJT3" s="64"/>
      <c r="NJU3" s="64"/>
      <c r="NJV3" s="64"/>
      <c r="NJW3" s="64"/>
      <c r="NJX3" s="64"/>
      <c r="NJY3" s="64"/>
      <c r="NJZ3" s="64"/>
      <c r="NKA3" s="64"/>
      <c r="NKB3" s="64"/>
      <c r="NKC3" s="64"/>
      <c r="NKD3" s="64"/>
      <c r="NKE3" s="64"/>
      <c r="NKF3" s="64"/>
      <c r="NKG3" s="64"/>
      <c r="NKH3" s="64"/>
      <c r="NKI3" s="64"/>
      <c r="NKJ3" s="64"/>
      <c r="NKK3" s="64"/>
      <c r="NKL3" s="64"/>
      <c r="NKM3" s="64"/>
      <c r="NKN3" s="64"/>
      <c r="NKO3" s="64"/>
      <c r="NKP3" s="64"/>
      <c r="NKQ3" s="64"/>
      <c r="NKR3" s="64"/>
      <c r="NKS3" s="64"/>
      <c r="NKT3" s="64"/>
      <c r="NKU3" s="64"/>
      <c r="NKV3" s="64"/>
      <c r="NKW3" s="64"/>
      <c r="NKX3" s="64"/>
      <c r="NKY3" s="64"/>
      <c r="NKZ3" s="64"/>
      <c r="NLA3" s="64"/>
      <c r="NLB3" s="64"/>
      <c r="NLC3" s="64"/>
      <c r="NLD3" s="64"/>
      <c r="NLE3" s="64"/>
      <c r="NLF3" s="64"/>
      <c r="NLG3" s="64"/>
      <c r="NLH3" s="64"/>
      <c r="NLI3" s="64"/>
      <c r="NLJ3" s="64"/>
      <c r="NLK3" s="64"/>
      <c r="NLL3" s="64"/>
      <c r="NLM3" s="64"/>
      <c r="NLN3" s="64"/>
      <c r="NLO3" s="64"/>
      <c r="NLP3" s="64"/>
      <c r="NLQ3" s="64"/>
      <c r="NLR3" s="64"/>
      <c r="NLS3" s="64"/>
      <c r="NLT3" s="64"/>
      <c r="NLU3" s="64"/>
      <c r="NLV3" s="64"/>
      <c r="NLW3" s="64"/>
      <c r="NLX3" s="64"/>
      <c r="NLY3" s="64"/>
      <c r="NLZ3" s="64"/>
      <c r="NMA3" s="64"/>
      <c r="NMB3" s="64"/>
      <c r="NMC3" s="64"/>
      <c r="NMD3" s="64"/>
      <c r="NME3" s="64"/>
      <c r="NMF3" s="64"/>
      <c r="NMG3" s="64"/>
      <c r="NMH3" s="64"/>
      <c r="NMI3" s="64"/>
      <c r="NMJ3" s="64"/>
      <c r="NMK3" s="64"/>
      <c r="NML3" s="64"/>
      <c r="NMM3" s="64"/>
      <c r="NMN3" s="64"/>
      <c r="NMO3" s="64"/>
      <c r="NMP3" s="64"/>
      <c r="NMQ3" s="64"/>
      <c r="NMR3" s="64"/>
      <c r="NMS3" s="64"/>
      <c r="NMT3" s="64"/>
      <c r="NMU3" s="64"/>
      <c r="NMV3" s="64"/>
      <c r="NMW3" s="64"/>
      <c r="NMX3" s="64"/>
      <c r="NMY3" s="64"/>
      <c r="NMZ3" s="64"/>
      <c r="NNA3" s="64"/>
      <c r="NNB3" s="64"/>
      <c r="NNC3" s="64"/>
      <c r="NND3" s="64"/>
      <c r="NNE3" s="64"/>
      <c r="NNF3" s="64"/>
      <c r="NNG3" s="64"/>
      <c r="NNH3" s="64"/>
      <c r="NNI3" s="64"/>
      <c r="NNJ3" s="64"/>
      <c r="NNK3" s="64"/>
      <c r="NNL3" s="64"/>
      <c r="NNM3" s="64"/>
      <c r="NNN3" s="64"/>
      <c r="NNO3" s="64"/>
      <c r="NNP3" s="64"/>
      <c r="NNQ3" s="64"/>
      <c r="NNR3" s="64"/>
      <c r="NNS3" s="64"/>
      <c r="NNT3" s="64"/>
      <c r="NNU3" s="64"/>
      <c r="NNV3" s="64"/>
      <c r="NNW3" s="64"/>
      <c r="NNX3" s="64"/>
      <c r="NNY3" s="64"/>
      <c r="NNZ3" s="64"/>
      <c r="NOA3" s="64"/>
      <c r="NOB3" s="64"/>
      <c r="NOC3" s="64"/>
      <c r="NOD3" s="64"/>
      <c r="NOE3" s="64"/>
      <c r="NOF3" s="64"/>
      <c r="NOG3" s="64"/>
      <c r="NOH3" s="64"/>
      <c r="NOI3" s="64"/>
      <c r="NOJ3" s="64"/>
      <c r="NOK3" s="64"/>
      <c r="NOL3" s="64"/>
      <c r="NOM3" s="64"/>
      <c r="NON3" s="64"/>
      <c r="NOO3" s="64"/>
      <c r="NOP3" s="64"/>
      <c r="NOQ3" s="64"/>
      <c r="NOR3" s="64"/>
      <c r="NOS3" s="64"/>
      <c r="NOT3" s="64"/>
      <c r="NOU3" s="64"/>
      <c r="NOV3" s="64"/>
      <c r="NOW3" s="64"/>
      <c r="NOX3" s="64"/>
      <c r="NOY3" s="64"/>
      <c r="NOZ3" s="64"/>
      <c r="NPA3" s="64"/>
      <c r="NPB3" s="64"/>
      <c r="NPC3" s="64"/>
      <c r="NPD3" s="64"/>
      <c r="NPE3" s="64"/>
      <c r="NPF3" s="64"/>
      <c r="NPG3" s="64"/>
      <c r="NPH3" s="64"/>
      <c r="NPI3" s="64"/>
      <c r="NPJ3" s="64"/>
      <c r="NPK3" s="64"/>
      <c r="NPL3" s="64"/>
      <c r="NPM3" s="64"/>
      <c r="NPN3" s="64"/>
      <c r="NPO3" s="64"/>
      <c r="NPP3" s="64"/>
      <c r="NPQ3" s="64"/>
      <c r="NPR3" s="64"/>
      <c r="NPS3" s="64"/>
      <c r="NPT3" s="64"/>
      <c r="NPU3" s="64"/>
      <c r="NPV3" s="64"/>
      <c r="NPW3" s="64"/>
      <c r="NPX3" s="64"/>
      <c r="NPY3" s="64"/>
      <c r="NPZ3" s="64"/>
      <c r="NQA3" s="64"/>
      <c r="NQB3" s="64"/>
      <c r="NQC3" s="64"/>
      <c r="NQD3" s="64"/>
      <c r="NQE3" s="64"/>
      <c r="NQF3" s="64"/>
      <c r="NQG3" s="64"/>
      <c r="NQH3" s="64"/>
      <c r="NQI3" s="64"/>
      <c r="NQJ3" s="64"/>
      <c r="NQK3" s="64"/>
      <c r="NQL3" s="64"/>
      <c r="NQM3" s="64"/>
      <c r="NQN3" s="64"/>
      <c r="NQO3" s="64"/>
      <c r="NQP3" s="64"/>
      <c r="NQQ3" s="64"/>
      <c r="NQR3" s="64"/>
      <c r="NQS3" s="64"/>
      <c r="NQT3" s="64"/>
      <c r="NQU3" s="64"/>
      <c r="NQV3" s="64"/>
      <c r="NQW3" s="64"/>
      <c r="NQX3" s="64"/>
      <c r="NQY3" s="64"/>
      <c r="NQZ3" s="64"/>
      <c r="NRA3" s="64"/>
      <c r="NRB3" s="64"/>
      <c r="NRC3" s="64"/>
      <c r="NRD3" s="64"/>
      <c r="NRE3" s="64"/>
      <c r="NRF3" s="64"/>
      <c r="NRG3" s="64"/>
      <c r="NRH3" s="64"/>
      <c r="NRI3" s="64"/>
      <c r="NRJ3" s="64"/>
      <c r="NRK3" s="64"/>
      <c r="NRL3" s="64"/>
      <c r="NRM3" s="64"/>
      <c r="NRN3" s="64"/>
      <c r="NRO3" s="64"/>
      <c r="NRP3" s="64"/>
      <c r="NRQ3" s="64"/>
      <c r="NRR3" s="64"/>
      <c r="NRS3" s="64"/>
      <c r="NRT3" s="64"/>
      <c r="NRU3" s="64"/>
      <c r="NRV3" s="64"/>
      <c r="NRW3" s="64"/>
      <c r="NRX3" s="64"/>
      <c r="NRY3" s="64"/>
      <c r="NRZ3" s="64"/>
      <c r="NSA3" s="64"/>
      <c r="NSB3" s="64"/>
      <c r="NSC3" s="64"/>
      <c r="NSD3" s="64"/>
      <c r="NSE3" s="64"/>
      <c r="NSF3" s="64"/>
      <c r="NSG3" s="64"/>
      <c r="NSH3" s="64"/>
      <c r="NSI3" s="64"/>
      <c r="NSJ3" s="64"/>
      <c r="NSK3" s="64"/>
      <c r="NSL3" s="64"/>
      <c r="NSM3" s="64"/>
      <c r="NSN3" s="64"/>
      <c r="NSO3" s="64"/>
      <c r="NSP3" s="64"/>
      <c r="NSQ3" s="64"/>
      <c r="NSR3" s="64"/>
      <c r="NSS3" s="64"/>
      <c r="NST3" s="64"/>
      <c r="NSU3" s="64"/>
      <c r="NSV3" s="64"/>
      <c r="NSW3" s="64"/>
      <c r="NSX3" s="64"/>
      <c r="NSY3" s="64"/>
      <c r="NSZ3" s="64"/>
      <c r="NTA3" s="64"/>
      <c r="NTB3" s="64"/>
      <c r="NTC3" s="64"/>
      <c r="NTD3" s="64"/>
      <c r="NTE3" s="64"/>
      <c r="NTF3" s="64"/>
      <c r="NTG3" s="64"/>
      <c r="NTH3" s="64"/>
      <c r="NTI3" s="64"/>
      <c r="NTJ3" s="64"/>
      <c r="NTK3" s="64"/>
      <c r="NTL3" s="64"/>
      <c r="NTM3" s="64"/>
      <c r="NTN3" s="64"/>
      <c r="NTO3" s="64"/>
      <c r="NTP3" s="64"/>
      <c r="NTQ3" s="64"/>
      <c r="NTR3" s="64"/>
      <c r="NTS3" s="64"/>
      <c r="NTT3" s="64"/>
      <c r="NTU3" s="64"/>
      <c r="NTV3" s="64"/>
      <c r="NTW3" s="64"/>
      <c r="NTX3" s="64"/>
      <c r="NTY3" s="64"/>
      <c r="NTZ3" s="64"/>
      <c r="NUA3" s="64"/>
      <c r="NUB3" s="64"/>
      <c r="NUC3" s="64"/>
      <c r="NUD3" s="64"/>
      <c r="NUE3" s="64"/>
      <c r="NUF3" s="64"/>
      <c r="NUG3" s="64"/>
      <c r="NUH3" s="64"/>
      <c r="NUI3" s="64"/>
      <c r="NUJ3" s="64"/>
      <c r="NUK3" s="64"/>
      <c r="NUL3" s="64"/>
      <c r="NUM3" s="64"/>
      <c r="NUN3" s="64"/>
      <c r="NUO3" s="64"/>
      <c r="NUP3" s="64"/>
      <c r="NUQ3" s="64"/>
      <c r="NUR3" s="64"/>
      <c r="NUS3" s="64"/>
      <c r="NUT3" s="64"/>
      <c r="NUU3" s="64"/>
      <c r="NUV3" s="64"/>
      <c r="NUW3" s="64"/>
      <c r="NUX3" s="64"/>
      <c r="NUY3" s="64"/>
      <c r="NUZ3" s="64"/>
      <c r="NVA3" s="64"/>
      <c r="NVB3" s="64"/>
      <c r="NVC3" s="64"/>
      <c r="NVD3" s="64"/>
      <c r="NVE3" s="64"/>
      <c r="NVF3" s="64"/>
      <c r="NVG3" s="64"/>
      <c r="NVH3" s="64"/>
      <c r="NVI3" s="64"/>
      <c r="NVJ3" s="64"/>
      <c r="NVK3" s="64"/>
      <c r="NVL3" s="64"/>
      <c r="NVM3" s="64"/>
      <c r="NVN3" s="64"/>
      <c r="NVO3" s="64"/>
      <c r="NVP3" s="64"/>
      <c r="NVQ3" s="64"/>
      <c r="NVR3" s="64"/>
      <c r="NVS3" s="64"/>
      <c r="NVT3" s="64"/>
      <c r="NVU3" s="64"/>
      <c r="NVV3" s="64"/>
      <c r="NVW3" s="64"/>
      <c r="NVX3" s="64"/>
      <c r="NVY3" s="64"/>
      <c r="NVZ3" s="64"/>
      <c r="NWA3" s="64"/>
      <c r="NWB3" s="64"/>
      <c r="NWC3" s="64"/>
      <c r="NWD3" s="64"/>
      <c r="NWE3" s="64"/>
      <c r="NWF3" s="64"/>
      <c r="NWG3" s="64"/>
      <c r="NWH3" s="64"/>
      <c r="NWI3" s="64"/>
      <c r="NWJ3" s="64"/>
      <c r="NWK3" s="64"/>
      <c r="NWL3" s="64"/>
      <c r="NWM3" s="64"/>
      <c r="NWN3" s="64"/>
      <c r="NWO3" s="64"/>
      <c r="NWP3" s="64"/>
      <c r="NWQ3" s="64"/>
      <c r="NWR3" s="64"/>
      <c r="NWS3" s="64"/>
      <c r="NWT3" s="64"/>
      <c r="NWU3" s="64"/>
      <c r="NWV3" s="64"/>
      <c r="NWW3" s="64"/>
      <c r="NWX3" s="64"/>
      <c r="NWY3" s="64"/>
      <c r="NWZ3" s="64"/>
      <c r="NXA3" s="64"/>
      <c r="NXB3" s="64"/>
      <c r="NXC3" s="64"/>
      <c r="NXD3" s="64"/>
      <c r="NXE3" s="64"/>
      <c r="NXF3" s="64"/>
      <c r="NXG3" s="64"/>
      <c r="NXH3" s="64"/>
      <c r="NXI3" s="64"/>
      <c r="NXJ3" s="64"/>
      <c r="NXK3" s="64"/>
      <c r="NXL3" s="64"/>
      <c r="NXM3" s="64"/>
      <c r="NXN3" s="64"/>
      <c r="NXO3" s="64"/>
      <c r="NXP3" s="64"/>
      <c r="NXQ3" s="64"/>
      <c r="NXR3" s="64"/>
      <c r="NXS3" s="64"/>
      <c r="NXT3" s="64"/>
      <c r="NXU3" s="64"/>
      <c r="NXV3" s="64"/>
      <c r="NXW3" s="64"/>
      <c r="NXX3" s="64"/>
      <c r="NXY3" s="64"/>
      <c r="NXZ3" s="64"/>
      <c r="NYA3" s="64"/>
      <c r="NYB3" s="64"/>
      <c r="NYC3" s="64"/>
      <c r="NYD3" s="64"/>
      <c r="NYE3" s="64"/>
      <c r="NYF3" s="64"/>
      <c r="NYG3" s="64"/>
      <c r="NYH3" s="64"/>
      <c r="NYI3" s="64"/>
      <c r="NYJ3" s="64"/>
      <c r="NYK3" s="64"/>
      <c r="NYL3" s="64"/>
      <c r="NYM3" s="64"/>
      <c r="NYN3" s="64"/>
      <c r="NYO3" s="64"/>
      <c r="NYP3" s="64"/>
      <c r="NYQ3" s="64"/>
      <c r="NYR3" s="64"/>
      <c r="NYS3" s="64"/>
      <c r="NYT3" s="64"/>
      <c r="NYU3" s="64"/>
      <c r="NYV3" s="64"/>
      <c r="NYW3" s="64"/>
      <c r="NYX3" s="64"/>
      <c r="NYY3" s="64"/>
      <c r="NYZ3" s="64"/>
      <c r="NZA3" s="64"/>
      <c r="NZB3" s="64"/>
      <c r="NZC3" s="64"/>
      <c r="NZD3" s="64"/>
      <c r="NZE3" s="64"/>
      <c r="NZF3" s="64"/>
      <c r="NZG3" s="64"/>
      <c r="NZH3" s="64"/>
      <c r="NZI3" s="64"/>
      <c r="NZJ3" s="64"/>
      <c r="NZK3" s="64"/>
      <c r="NZL3" s="64"/>
      <c r="NZM3" s="64"/>
      <c r="NZN3" s="64"/>
      <c r="NZO3" s="64"/>
      <c r="NZP3" s="64"/>
      <c r="NZQ3" s="64"/>
      <c r="NZR3" s="64"/>
      <c r="NZS3" s="64"/>
      <c r="NZT3" s="64"/>
      <c r="NZU3" s="64"/>
      <c r="NZV3" s="64"/>
      <c r="NZW3" s="64"/>
      <c r="NZX3" s="64"/>
      <c r="NZY3" s="64"/>
      <c r="NZZ3" s="64"/>
      <c r="OAA3" s="64"/>
      <c r="OAB3" s="64"/>
      <c r="OAC3" s="64"/>
      <c r="OAD3" s="64"/>
      <c r="OAE3" s="64"/>
      <c r="OAF3" s="64"/>
      <c r="OAG3" s="64"/>
      <c r="OAH3" s="64"/>
      <c r="OAI3" s="64"/>
      <c r="OAJ3" s="64"/>
      <c r="OAK3" s="64"/>
      <c r="OAL3" s="64"/>
      <c r="OAM3" s="64"/>
      <c r="OAN3" s="64"/>
      <c r="OAO3" s="64"/>
      <c r="OAP3" s="64"/>
      <c r="OAQ3" s="64"/>
      <c r="OAR3" s="64"/>
      <c r="OAS3" s="64"/>
      <c r="OAT3" s="64"/>
      <c r="OAU3" s="64"/>
      <c r="OAV3" s="64"/>
      <c r="OAW3" s="64"/>
      <c r="OAX3" s="64"/>
      <c r="OAY3" s="64"/>
      <c r="OAZ3" s="64"/>
      <c r="OBA3" s="64"/>
      <c r="OBB3" s="64"/>
      <c r="OBC3" s="64"/>
      <c r="OBD3" s="64"/>
      <c r="OBE3" s="64"/>
      <c r="OBF3" s="64"/>
      <c r="OBG3" s="64"/>
      <c r="OBH3" s="64"/>
      <c r="OBI3" s="64"/>
      <c r="OBJ3" s="64"/>
      <c r="OBK3" s="64"/>
      <c r="OBL3" s="64"/>
      <c r="OBM3" s="64"/>
      <c r="OBN3" s="64"/>
      <c r="OBO3" s="64"/>
      <c r="OBP3" s="64"/>
      <c r="OBQ3" s="64"/>
      <c r="OBR3" s="64"/>
      <c r="OBS3" s="64"/>
      <c r="OBT3" s="64"/>
      <c r="OBU3" s="64"/>
      <c r="OBV3" s="64"/>
      <c r="OBW3" s="64"/>
      <c r="OBX3" s="64"/>
      <c r="OBY3" s="64"/>
      <c r="OBZ3" s="64"/>
      <c r="OCA3" s="64"/>
      <c r="OCB3" s="64"/>
      <c r="OCC3" s="64"/>
      <c r="OCD3" s="64"/>
      <c r="OCE3" s="64"/>
      <c r="OCF3" s="64"/>
      <c r="OCG3" s="64"/>
      <c r="OCH3" s="64"/>
      <c r="OCI3" s="64"/>
      <c r="OCJ3" s="64"/>
      <c r="OCK3" s="64"/>
      <c r="OCL3" s="64"/>
      <c r="OCM3" s="64"/>
      <c r="OCN3" s="64"/>
      <c r="OCO3" s="64"/>
      <c r="OCP3" s="64"/>
      <c r="OCQ3" s="64"/>
      <c r="OCR3" s="64"/>
      <c r="OCS3" s="64"/>
      <c r="OCT3" s="64"/>
      <c r="OCU3" s="64"/>
      <c r="OCV3" s="64"/>
      <c r="OCW3" s="64"/>
      <c r="OCX3" s="64"/>
      <c r="OCY3" s="64"/>
      <c r="OCZ3" s="64"/>
      <c r="ODA3" s="64"/>
      <c r="ODB3" s="64"/>
      <c r="ODC3" s="64"/>
      <c r="ODD3" s="64"/>
      <c r="ODE3" s="64"/>
      <c r="ODF3" s="64"/>
      <c r="ODG3" s="64"/>
      <c r="ODH3" s="64"/>
      <c r="ODI3" s="64"/>
      <c r="ODJ3" s="64"/>
      <c r="ODK3" s="64"/>
      <c r="ODL3" s="64"/>
      <c r="ODM3" s="64"/>
      <c r="ODN3" s="64"/>
      <c r="ODO3" s="64"/>
      <c r="ODP3" s="64"/>
      <c r="ODQ3" s="64"/>
      <c r="ODR3" s="64"/>
      <c r="ODS3" s="64"/>
      <c r="ODT3" s="64"/>
      <c r="ODU3" s="64"/>
      <c r="ODV3" s="64"/>
      <c r="ODW3" s="64"/>
      <c r="ODX3" s="64"/>
      <c r="ODY3" s="64"/>
      <c r="ODZ3" s="64"/>
      <c r="OEA3" s="64"/>
      <c r="OEB3" s="64"/>
      <c r="OEC3" s="64"/>
      <c r="OED3" s="64"/>
      <c r="OEE3" s="64"/>
      <c r="OEF3" s="64"/>
      <c r="OEG3" s="64"/>
      <c r="OEH3" s="64"/>
      <c r="OEI3" s="64"/>
      <c r="OEJ3" s="64"/>
      <c r="OEK3" s="64"/>
      <c r="OEL3" s="64"/>
      <c r="OEM3" s="64"/>
      <c r="OEN3" s="64"/>
      <c r="OEO3" s="64"/>
      <c r="OEP3" s="64"/>
      <c r="OEQ3" s="64"/>
      <c r="OER3" s="64"/>
      <c r="OES3" s="64"/>
      <c r="OET3" s="64"/>
      <c r="OEU3" s="64"/>
      <c r="OEV3" s="64"/>
      <c r="OEW3" s="64"/>
      <c r="OEX3" s="64"/>
      <c r="OEY3" s="64"/>
      <c r="OEZ3" s="64"/>
      <c r="OFA3" s="64"/>
      <c r="OFB3" s="64"/>
      <c r="OFC3" s="64"/>
      <c r="OFD3" s="64"/>
      <c r="OFE3" s="64"/>
      <c r="OFF3" s="64"/>
      <c r="OFG3" s="64"/>
      <c r="OFH3" s="64"/>
      <c r="OFI3" s="64"/>
      <c r="OFJ3" s="64"/>
      <c r="OFK3" s="64"/>
      <c r="OFL3" s="64"/>
      <c r="OFM3" s="64"/>
      <c r="OFN3" s="64"/>
      <c r="OFO3" s="64"/>
      <c r="OFP3" s="64"/>
      <c r="OFQ3" s="64"/>
      <c r="OFR3" s="64"/>
      <c r="OFS3" s="64"/>
      <c r="OFT3" s="64"/>
      <c r="OFU3" s="64"/>
      <c r="OFV3" s="64"/>
      <c r="OFW3" s="64"/>
      <c r="OFX3" s="64"/>
      <c r="OFY3" s="64"/>
      <c r="OFZ3" s="64"/>
      <c r="OGA3" s="64"/>
      <c r="OGB3" s="64"/>
      <c r="OGC3" s="64"/>
      <c r="OGD3" s="64"/>
      <c r="OGE3" s="64"/>
      <c r="OGF3" s="64"/>
      <c r="OGG3" s="64"/>
      <c r="OGH3" s="64"/>
      <c r="OGI3" s="64"/>
      <c r="OGJ3" s="64"/>
      <c r="OGK3" s="64"/>
      <c r="OGL3" s="64"/>
      <c r="OGM3" s="64"/>
      <c r="OGN3" s="64"/>
      <c r="OGO3" s="64"/>
      <c r="OGP3" s="64"/>
      <c r="OGQ3" s="64"/>
      <c r="OGR3" s="64"/>
      <c r="OGS3" s="64"/>
      <c r="OGT3" s="64"/>
      <c r="OGU3" s="64"/>
      <c r="OGV3" s="64"/>
      <c r="OGW3" s="64"/>
      <c r="OGX3" s="64"/>
      <c r="OGY3" s="64"/>
      <c r="OGZ3" s="64"/>
      <c r="OHA3" s="64"/>
      <c r="OHB3" s="64"/>
      <c r="OHC3" s="64"/>
      <c r="OHD3" s="64"/>
      <c r="OHE3" s="64"/>
      <c r="OHF3" s="64"/>
      <c r="OHG3" s="64"/>
      <c r="OHH3" s="64"/>
      <c r="OHI3" s="64"/>
      <c r="OHJ3" s="64"/>
      <c r="OHK3" s="64"/>
      <c r="OHL3" s="64"/>
      <c r="OHM3" s="64"/>
      <c r="OHN3" s="64"/>
      <c r="OHO3" s="64"/>
      <c r="OHP3" s="64"/>
      <c r="OHQ3" s="64"/>
      <c r="OHR3" s="64"/>
      <c r="OHS3" s="64"/>
      <c r="OHT3" s="64"/>
      <c r="OHU3" s="64"/>
      <c r="OHV3" s="64"/>
      <c r="OHW3" s="64"/>
      <c r="OHX3" s="64"/>
      <c r="OHY3" s="64"/>
      <c r="OHZ3" s="64"/>
      <c r="OIA3" s="64"/>
      <c r="OIB3" s="64"/>
      <c r="OIC3" s="64"/>
      <c r="OID3" s="64"/>
      <c r="OIE3" s="64"/>
      <c r="OIF3" s="64"/>
      <c r="OIG3" s="64"/>
      <c r="OIH3" s="64"/>
      <c r="OII3" s="64"/>
      <c r="OIJ3" s="64"/>
      <c r="OIK3" s="64"/>
      <c r="OIL3" s="64"/>
      <c r="OIM3" s="64"/>
      <c r="OIN3" s="64"/>
      <c r="OIO3" s="64"/>
      <c r="OIP3" s="64"/>
      <c r="OIQ3" s="64"/>
      <c r="OIR3" s="64"/>
      <c r="OIS3" s="64"/>
      <c r="OIT3" s="64"/>
      <c r="OIU3" s="64"/>
      <c r="OIV3" s="64"/>
      <c r="OIW3" s="64"/>
      <c r="OIX3" s="64"/>
      <c r="OIY3" s="64"/>
      <c r="OIZ3" s="64"/>
      <c r="OJA3" s="64"/>
      <c r="OJB3" s="64"/>
      <c r="OJC3" s="64"/>
      <c r="OJD3" s="64"/>
      <c r="OJE3" s="64"/>
      <c r="OJF3" s="64"/>
      <c r="OJG3" s="64"/>
      <c r="OJH3" s="64"/>
      <c r="OJI3" s="64"/>
      <c r="OJJ3" s="64"/>
      <c r="OJK3" s="64"/>
      <c r="OJL3" s="64"/>
      <c r="OJM3" s="64"/>
      <c r="OJN3" s="64"/>
      <c r="OJO3" s="64"/>
      <c r="OJP3" s="64"/>
      <c r="OJQ3" s="64"/>
      <c r="OJR3" s="64"/>
      <c r="OJS3" s="64"/>
      <c r="OJT3" s="64"/>
      <c r="OJU3" s="64"/>
      <c r="OJV3" s="64"/>
      <c r="OJW3" s="64"/>
      <c r="OJX3" s="64"/>
      <c r="OJY3" s="64"/>
      <c r="OJZ3" s="64"/>
      <c r="OKA3" s="64"/>
      <c r="OKB3" s="64"/>
      <c r="OKC3" s="64"/>
      <c r="OKD3" s="64"/>
      <c r="OKE3" s="64"/>
      <c r="OKF3" s="64"/>
      <c r="OKG3" s="64"/>
      <c r="OKH3" s="64"/>
      <c r="OKI3" s="64"/>
      <c r="OKJ3" s="64"/>
      <c r="OKK3" s="64"/>
      <c r="OKL3" s="64"/>
      <c r="OKM3" s="64"/>
      <c r="OKN3" s="64"/>
      <c r="OKO3" s="64"/>
      <c r="OKP3" s="64"/>
      <c r="OKQ3" s="64"/>
      <c r="OKR3" s="64"/>
      <c r="OKS3" s="64"/>
      <c r="OKT3" s="64"/>
      <c r="OKU3" s="64"/>
      <c r="OKV3" s="64"/>
      <c r="OKW3" s="64"/>
      <c r="OKX3" s="64"/>
      <c r="OKY3" s="64"/>
      <c r="OKZ3" s="64"/>
      <c r="OLA3" s="64"/>
      <c r="OLB3" s="64"/>
      <c r="OLC3" s="64"/>
      <c r="OLD3" s="64"/>
      <c r="OLE3" s="64"/>
      <c r="OLF3" s="64"/>
      <c r="OLG3" s="64"/>
      <c r="OLH3" s="64"/>
      <c r="OLI3" s="64"/>
      <c r="OLJ3" s="64"/>
      <c r="OLK3" s="64"/>
      <c r="OLL3" s="64"/>
      <c r="OLM3" s="64"/>
      <c r="OLN3" s="64"/>
      <c r="OLO3" s="64"/>
      <c r="OLP3" s="64"/>
      <c r="OLQ3" s="64"/>
      <c r="OLR3" s="64"/>
      <c r="OLS3" s="64"/>
      <c r="OLT3" s="64"/>
      <c r="OLU3" s="64"/>
      <c r="OLV3" s="64"/>
      <c r="OLW3" s="64"/>
      <c r="OLX3" s="64"/>
      <c r="OLY3" s="64"/>
      <c r="OLZ3" s="64"/>
      <c r="OMA3" s="64"/>
      <c r="OMB3" s="64"/>
      <c r="OMC3" s="64"/>
      <c r="OMD3" s="64"/>
      <c r="OME3" s="64"/>
      <c r="OMF3" s="64"/>
      <c r="OMG3" s="64"/>
      <c r="OMH3" s="64"/>
      <c r="OMI3" s="64"/>
      <c r="OMJ3" s="64"/>
      <c r="OMK3" s="64"/>
      <c r="OML3" s="64"/>
      <c r="OMM3" s="64"/>
      <c r="OMN3" s="64"/>
      <c r="OMO3" s="64"/>
      <c r="OMP3" s="64"/>
      <c r="OMQ3" s="64"/>
      <c r="OMR3" s="64"/>
      <c r="OMS3" s="64"/>
      <c r="OMT3" s="64"/>
      <c r="OMU3" s="64"/>
      <c r="OMV3" s="64"/>
      <c r="OMW3" s="64"/>
      <c r="OMX3" s="64"/>
      <c r="OMY3" s="64"/>
      <c r="OMZ3" s="64"/>
      <c r="ONA3" s="64"/>
      <c r="ONB3" s="64"/>
      <c r="ONC3" s="64"/>
      <c r="OND3" s="64"/>
      <c r="ONE3" s="64"/>
      <c r="ONF3" s="64"/>
      <c r="ONG3" s="64"/>
      <c r="ONH3" s="64"/>
      <c r="ONI3" s="64"/>
      <c r="ONJ3" s="64"/>
      <c r="ONK3" s="64"/>
      <c r="ONL3" s="64"/>
      <c r="ONM3" s="64"/>
      <c r="ONN3" s="64"/>
      <c r="ONO3" s="64"/>
      <c r="ONP3" s="64"/>
      <c r="ONQ3" s="64"/>
      <c r="ONR3" s="64"/>
      <c r="ONS3" s="64"/>
      <c r="ONT3" s="64"/>
      <c r="ONU3" s="64"/>
      <c r="ONV3" s="64"/>
      <c r="ONW3" s="64"/>
      <c r="ONX3" s="64"/>
      <c r="ONY3" s="64"/>
      <c r="ONZ3" s="64"/>
      <c r="OOA3" s="64"/>
      <c r="OOB3" s="64"/>
      <c r="OOC3" s="64"/>
      <c r="OOD3" s="64"/>
      <c r="OOE3" s="64"/>
      <c r="OOF3" s="64"/>
      <c r="OOG3" s="64"/>
      <c r="OOH3" s="64"/>
      <c r="OOI3" s="64"/>
      <c r="OOJ3" s="64"/>
      <c r="OOK3" s="64"/>
      <c r="OOL3" s="64"/>
      <c r="OOM3" s="64"/>
      <c r="OON3" s="64"/>
      <c r="OOO3" s="64"/>
      <c r="OOP3" s="64"/>
      <c r="OOQ3" s="64"/>
      <c r="OOR3" s="64"/>
      <c r="OOS3" s="64"/>
      <c r="OOT3" s="64"/>
      <c r="OOU3" s="64"/>
      <c r="OOV3" s="64"/>
      <c r="OOW3" s="64"/>
      <c r="OOX3" s="64"/>
      <c r="OOY3" s="64"/>
      <c r="OOZ3" s="64"/>
      <c r="OPA3" s="64"/>
      <c r="OPB3" s="64"/>
      <c r="OPC3" s="64"/>
      <c r="OPD3" s="64"/>
      <c r="OPE3" s="64"/>
      <c r="OPF3" s="64"/>
      <c r="OPG3" s="64"/>
      <c r="OPH3" s="64"/>
      <c r="OPI3" s="64"/>
      <c r="OPJ3" s="64"/>
      <c r="OPK3" s="64"/>
      <c r="OPL3" s="64"/>
      <c r="OPM3" s="64"/>
      <c r="OPN3" s="64"/>
      <c r="OPO3" s="64"/>
      <c r="OPP3" s="64"/>
      <c r="OPQ3" s="64"/>
      <c r="OPR3" s="64"/>
      <c r="OPS3" s="64"/>
      <c r="OPT3" s="64"/>
      <c r="OPU3" s="64"/>
      <c r="OPV3" s="64"/>
      <c r="OPW3" s="64"/>
      <c r="OPX3" s="64"/>
      <c r="OPY3" s="64"/>
      <c r="OPZ3" s="64"/>
      <c r="OQA3" s="64"/>
      <c r="OQB3" s="64"/>
      <c r="OQC3" s="64"/>
      <c r="OQD3" s="64"/>
      <c r="OQE3" s="64"/>
      <c r="OQF3" s="64"/>
      <c r="OQG3" s="64"/>
      <c r="OQH3" s="64"/>
      <c r="OQI3" s="64"/>
      <c r="OQJ3" s="64"/>
      <c r="OQK3" s="64"/>
      <c r="OQL3" s="64"/>
      <c r="OQM3" s="64"/>
      <c r="OQN3" s="64"/>
      <c r="OQO3" s="64"/>
      <c r="OQP3" s="64"/>
      <c r="OQQ3" s="64"/>
      <c r="OQR3" s="64"/>
      <c r="OQS3" s="64"/>
      <c r="OQT3" s="64"/>
      <c r="OQU3" s="64"/>
      <c r="OQV3" s="64"/>
      <c r="OQW3" s="64"/>
      <c r="OQX3" s="64"/>
      <c r="OQY3" s="64"/>
      <c r="OQZ3" s="64"/>
      <c r="ORA3" s="64"/>
      <c r="ORB3" s="64"/>
      <c r="ORC3" s="64"/>
      <c r="ORD3" s="64"/>
      <c r="ORE3" s="64"/>
      <c r="ORF3" s="64"/>
      <c r="ORG3" s="64"/>
      <c r="ORH3" s="64"/>
      <c r="ORI3" s="64"/>
      <c r="ORJ3" s="64"/>
      <c r="ORK3" s="64"/>
      <c r="ORL3" s="64"/>
      <c r="ORM3" s="64"/>
      <c r="ORN3" s="64"/>
      <c r="ORO3" s="64"/>
      <c r="ORP3" s="64"/>
      <c r="ORQ3" s="64"/>
      <c r="ORR3" s="64"/>
      <c r="ORS3" s="64"/>
      <c r="ORT3" s="64"/>
      <c r="ORU3" s="64"/>
      <c r="ORV3" s="64"/>
      <c r="ORW3" s="64"/>
      <c r="ORX3" s="64"/>
      <c r="ORY3" s="64"/>
      <c r="ORZ3" s="64"/>
      <c r="OSA3" s="64"/>
      <c r="OSB3" s="64"/>
      <c r="OSC3" s="64"/>
      <c r="OSD3" s="64"/>
      <c r="OSE3" s="64"/>
      <c r="OSF3" s="64"/>
      <c r="OSG3" s="64"/>
      <c r="OSH3" s="64"/>
      <c r="OSI3" s="64"/>
      <c r="OSJ3" s="64"/>
      <c r="OSK3" s="64"/>
      <c r="OSL3" s="64"/>
      <c r="OSM3" s="64"/>
      <c r="OSN3" s="64"/>
      <c r="OSO3" s="64"/>
      <c r="OSP3" s="64"/>
      <c r="OSQ3" s="64"/>
      <c r="OSR3" s="64"/>
      <c r="OSS3" s="64"/>
      <c r="OST3" s="64"/>
      <c r="OSU3" s="64"/>
      <c r="OSV3" s="64"/>
      <c r="OSW3" s="64"/>
      <c r="OSX3" s="64"/>
      <c r="OSY3" s="64"/>
      <c r="OSZ3" s="64"/>
      <c r="OTA3" s="64"/>
      <c r="OTB3" s="64"/>
      <c r="OTC3" s="64"/>
      <c r="OTD3" s="64"/>
      <c r="OTE3" s="64"/>
      <c r="OTF3" s="64"/>
      <c r="OTG3" s="64"/>
      <c r="OTH3" s="64"/>
      <c r="OTI3" s="64"/>
      <c r="OTJ3" s="64"/>
      <c r="OTK3" s="64"/>
      <c r="OTL3" s="64"/>
      <c r="OTM3" s="64"/>
      <c r="OTN3" s="64"/>
      <c r="OTO3" s="64"/>
      <c r="OTP3" s="64"/>
      <c r="OTQ3" s="64"/>
      <c r="OTR3" s="64"/>
      <c r="OTS3" s="64"/>
      <c r="OTT3" s="64"/>
      <c r="OTU3" s="64"/>
      <c r="OTV3" s="64"/>
      <c r="OTW3" s="64"/>
      <c r="OTX3" s="64"/>
      <c r="OTY3" s="64"/>
      <c r="OTZ3" s="64"/>
      <c r="OUA3" s="64"/>
      <c r="OUB3" s="64"/>
      <c r="OUC3" s="64"/>
      <c r="OUD3" s="64"/>
      <c r="OUE3" s="64"/>
      <c r="OUF3" s="64"/>
      <c r="OUG3" s="64"/>
      <c r="OUH3" s="64"/>
      <c r="OUI3" s="64"/>
      <c r="OUJ3" s="64"/>
      <c r="OUK3" s="64"/>
      <c r="OUL3" s="64"/>
      <c r="OUM3" s="64"/>
      <c r="OUN3" s="64"/>
      <c r="OUO3" s="64"/>
      <c r="OUP3" s="64"/>
      <c r="OUQ3" s="64"/>
      <c r="OUR3" s="64"/>
      <c r="OUS3" s="64"/>
      <c r="OUT3" s="64"/>
      <c r="OUU3" s="64"/>
      <c r="OUV3" s="64"/>
      <c r="OUW3" s="64"/>
      <c r="OUX3" s="64"/>
      <c r="OUY3" s="64"/>
      <c r="OUZ3" s="64"/>
      <c r="OVA3" s="64"/>
      <c r="OVB3" s="64"/>
      <c r="OVC3" s="64"/>
      <c r="OVD3" s="64"/>
      <c r="OVE3" s="64"/>
      <c r="OVF3" s="64"/>
      <c r="OVG3" s="64"/>
      <c r="OVH3" s="64"/>
      <c r="OVI3" s="64"/>
      <c r="OVJ3" s="64"/>
      <c r="OVK3" s="64"/>
      <c r="OVL3" s="64"/>
      <c r="OVM3" s="64"/>
      <c r="OVN3" s="64"/>
      <c r="OVO3" s="64"/>
      <c r="OVP3" s="64"/>
      <c r="OVQ3" s="64"/>
      <c r="OVR3" s="64"/>
      <c r="OVS3" s="64"/>
      <c r="OVT3" s="64"/>
      <c r="OVU3" s="64"/>
      <c r="OVV3" s="64"/>
      <c r="OVW3" s="64"/>
      <c r="OVX3" s="64"/>
      <c r="OVY3" s="64"/>
      <c r="OVZ3" s="64"/>
      <c r="OWA3" s="64"/>
      <c r="OWB3" s="64"/>
      <c r="OWC3" s="64"/>
      <c r="OWD3" s="64"/>
      <c r="OWE3" s="64"/>
      <c r="OWF3" s="64"/>
      <c r="OWG3" s="64"/>
      <c r="OWH3" s="64"/>
      <c r="OWI3" s="64"/>
      <c r="OWJ3" s="64"/>
      <c r="OWK3" s="64"/>
      <c r="OWL3" s="64"/>
      <c r="OWM3" s="64"/>
      <c r="OWN3" s="64"/>
      <c r="OWO3" s="64"/>
      <c r="OWP3" s="64"/>
      <c r="OWQ3" s="64"/>
      <c r="OWR3" s="64"/>
      <c r="OWS3" s="64"/>
      <c r="OWT3" s="64"/>
      <c r="OWU3" s="64"/>
      <c r="OWV3" s="64"/>
      <c r="OWW3" s="64"/>
      <c r="OWX3" s="64"/>
      <c r="OWY3" s="64"/>
      <c r="OWZ3" s="64"/>
      <c r="OXA3" s="64"/>
      <c r="OXB3" s="64"/>
      <c r="OXC3" s="64"/>
      <c r="OXD3" s="64"/>
      <c r="OXE3" s="64"/>
      <c r="OXF3" s="64"/>
      <c r="OXG3" s="64"/>
      <c r="OXH3" s="64"/>
      <c r="OXI3" s="64"/>
      <c r="OXJ3" s="64"/>
      <c r="OXK3" s="64"/>
      <c r="OXL3" s="64"/>
      <c r="OXM3" s="64"/>
      <c r="OXN3" s="64"/>
      <c r="OXO3" s="64"/>
      <c r="OXP3" s="64"/>
      <c r="OXQ3" s="64"/>
      <c r="OXR3" s="64"/>
      <c r="OXS3" s="64"/>
      <c r="OXT3" s="64"/>
      <c r="OXU3" s="64"/>
      <c r="OXV3" s="64"/>
      <c r="OXW3" s="64"/>
      <c r="OXX3" s="64"/>
      <c r="OXY3" s="64"/>
      <c r="OXZ3" s="64"/>
      <c r="OYA3" s="64"/>
      <c r="OYB3" s="64"/>
      <c r="OYC3" s="64"/>
      <c r="OYD3" s="64"/>
      <c r="OYE3" s="64"/>
      <c r="OYF3" s="64"/>
      <c r="OYG3" s="64"/>
      <c r="OYH3" s="64"/>
      <c r="OYI3" s="64"/>
      <c r="OYJ3" s="64"/>
      <c r="OYK3" s="64"/>
      <c r="OYL3" s="64"/>
      <c r="OYM3" s="64"/>
      <c r="OYN3" s="64"/>
      <c r="OYO3" s="64"/>
      <c r="OYP3" s="64"/>
      <c r="OYQ3" s="64"/>
      <c r="OYR3" s="64"/>
      <c r="OYS3" s="64"/>
      <c r="OYT3" s="64"/>
      <c r="OYU3" s="64"/>
      <c r="OYV3" s="64"/>
      <c r="OYW3" s="64"/>
      <c r="OYX3" s="64"/>
      <c r="OYY3" s="64"/>
      <c r="OYZ3" s="64"/>
      <c r="OZA3" s="64"/>
      <c r="OZB3" s="64"/>
      <c r="OZC3" s="64"/>
      <c r="OZD3" s="64"/>
      <c r="OZE3" s="64"/>
      <c r="OZF3" s="64"/>
      <c r="OZG3" s="64"/>
      <c r="OZH3" s="64"/>
      <c r="OZI3" s="64"/>
      <c r="OZJ3" s="64"/>
      <c r="OZK3" s="64"/>
      <c r="OZL3" s="64"/>
      <c r="OZM3" s="64"/>
      <c r="OZN3" s="64"/>
      <c r="OZO3" s="64"/>
      <c r="OZP3" s="64"/>
      <c r="OZQ3" s="64"/>
      <c r="OZR3" s="64"/>
      <c r="OZS3" s="64"/>
      <c r="OZT3" s="64"/>
      <c r="OZU3" s="64"/>
      <c r="OZV3" s="64"/>
      <c r="OZW3" s="64"/>
      <c r="OZX3" s="64"/>
      <c r="OZY3" s="64"/>
      <c r="OZZ3" s="64"/>
      <c r="PAA3" s="64"/>
      <c r="PAB3" s="64"/>
      <c r="PAC3" s="64"/>
      <c r="PAD3" s="64"/>
      <c r="PAE3" s="64"/>
      <c r="PAF3" s="64"/>
      <c r="PAG3" s="64"/>
      <c r="PAH3" s="64"/>
      <c r="PAI3" s="64"/>
      <c r="PAJ3" s="64"/>
      <c r="PAK3" s="64"/>
      <c r="PAL3" s="64"/>
      <c r="PAM3" s="64"/>
      <c r="PAN3" s="64"/>
      <c r="PAO3" s="64"/>
      <c r="PAP3" s="64"/>
      <c r="PAQ3" s="64"/>
      <c r="PAR3" s="64"/>
      <c r="PAS3" s="64"/>
      <c r="PAT3" s="64"/>
      <c r="PAU3" s="64"/>
      <c r="PAV3" s="64"/>
      <c r="PAW3" s="64"/>
      <c r="PAX3" s="64"/>
      <c r="PAY3" s="64"/>
      <c r="PAZ3" s="64"/>
      <c r="PBA3" s="64"/>
      <c r="PBB3" s="64"/>
      <c r="PBC3" s="64"/>
      <c r="PBD3" s="64"/>
      <c r="PBE3" s="64"/>
      <c r="PBF3" s="64"/>
      <c r="PBG3" s="64"/>
      <c r="PBH3" s="64"/>
      <c r="PBI3" s="64"/>
      <c r="PBJ3" s="64"/>
      <c r="PBK3" s="64"/>
      <c r="PBL3" s="64"/>
      <c r="PBM3" s="64"/>
      <c r="PBN3" s="64"/>
      <c r="PBO3" s="64"/>
      <c r="PBP3" s="64"/>
      <c r="PBQ3" s="64"/>
      <c r="PBR3" s="64"/>
      <c r="PBS3" s="64"/>
      <c r="PBT3" s="64"/>
      <c r="PBU3" s="64"/>
      <c r="PBV3" s="64"/>
      <c r="PBW3" s="64"/>
      <c r="PBX3" s="64"/>
      <c r="PBY3" s="64"/>
      <c r="PBZ3" s="64"/>
      <c r="PCA3" s="64"/>
      <c r="PCB3" s="64"/>
      <c r="PCC3" s="64"/>
      <c r="PCD3" s="64"/>
      <c r="PCE3" s="64"/>
      <c r="PCF3" s="64"/>
      <c r="PCG3" s="64"/>
      <c r="PCH3" s="64"/>
      <c r="PCI3" s="64"/>
      <c r="PCJ3" s="64"/>
      <c r="PCK3" s="64"/>
      <c r="PCL3" s="64"/>
      <c r="PCM3" s="64"/>
      <c r="PCN3" s="64"/>
      <c r="PCO3" s="64"/>
      <c r="PCP3" s="64"/>
      <c r="PCQ3" s="64"/>
      <c r="PCR3" s="64"/>
      <c r="PCS3" s="64"/>
      <c r="PCT3" s="64"/>
      <c r="PCU3" s="64"/>
      <c r="PCV3" s="64"/>
      <c r="PCW3" s="64"/>
      <c r="PCX3" s="64"/>
      <c r="PCY3" s="64"/>
      <c r="PCZ3" s="64"/>
      <c r="PDA3" s="64"/>
      <c r="PDB3" s="64"/>
      <c r="PDC3" s="64"/>
      <c r="PDD3" s="64"/>
      <c r="PDE3" s="64"/>
      <c r="PDF3" s="64"/>
      <c r="PDG3" s="64"/>
      <c r="PDH3" s="64"/>
      <c r="PDI3" s="64"/>
      <c r="PDJ3" s="64"/>
      <c r="PDK3" s="64"/>
      <c r="PDL3" s="64"/>
      <c r="PDM3" s="64"/>
      <c r="PDN3" s="64"/>
      <c r="PDO3" s="64"/>
      <c r="PDP3" s="64"/>
      <c r="PDQ3" s="64"/>
      <c r="PDR3" s="64"/>
      <c r="PDS3" s="64"/>
      <c r="PDT3" s="64"/>
      <c r="PDU3" s="64"/>
      <c r="PDV3" s="64"/>
      <c r="PDW3" s="64"/>
      <c r="PDX3" s="64"/>
      <c r="PDY3" s="64"/>
      <c r="PDZ3" s="64"/>
      <c r="PEA3" s="64"/>
      <c r="PEB3" s="64"/>
      <c r="PEC3" s="64"/>
      <c r="PED3" s="64"/>
      <c r="PEE3" s="64"/>
      <c r="PEF3" s="64"/>
      <c r="PEG3" s="64"/>
      <c r="PEH3" s="64"/>
      <c r="PEI3" s="64"/>
      <c r="PEJ3" s="64"/>
      <c r="PEK3" s="64"/>
      <c r="PEL3" s="64"/>
      <c r="PEM3" s="64"/>
      <c r="PEN3" s="64"/>
      <c r="PEO3" s="64"/>
      <c r="PEP3" s="64"/>
      <c r="PEQ3" s="64"/>
      <c r="PER3" s="64"/>
      <c r="PES3" s="64"/>
      <c r="PET3" s="64"/>
      <c r="PEU3" s="64"/>
      <c r="PEV3" s="64"/>
      <c r="PEW3" s="64"/>
      <c r="PEX3" s="64"/>
      <c r="PEY3" s="64"/>
      <c r="PEZ3" s="64"/>
      <c r="PFA3" s="64"/>
      <c r="PFB3" s="64"/>
      <c r="PFC3" s="64"/>
      <c r="PFD3" s="64"/>
      <c r="PFE3" s="64"/>
      <c r="PFF3" s="64"/>
      <c r="PFG3" s="64"/>
      <c r="PFH3" s="64"/>
      <c r="PFI3" s="64"/>
      <c r="PFJ3" s="64"/>
      <c r="PFK3" s="64"/>
      <c r="PFL3" s="64"/>
      <c r="PFM3" s="64"/>
      <c r="PFN3" s="64"/>
      <c r="PFO3" s="64"/>
      <c r="PFP3" s="64"/>
      <c r="PFQ3" s="64"/>
      <c r="PFR3" s="64"/>
      <c r="PFS3" s="64"/>
      <c r="PFT3" s="64"/>
      <c r="PFU3" s="64"/>
      <c r="PFV3" s="64"/>
      <c r="PFW3" s="64"/>
      <c r="PFX3" s="64"/>
      <c r="PFY3" s="64"/>
      <c r="PFZ3" s="64"/>
      <c r="PGA3" s="64"/>
      <c r="PGB3" s="64"/>
      <c r="PGC3" s="64"/>
      <c r="PGD3" s="64"/>
      <c r="PGE3" s="64"/>
      <c r="PGF3" s="64"/>
      <c r="PGG3" s="64"/>
      <c r="PGH3" s="64"/>
      <c r="PGI3" s="64"/>
      <c r="PGJ3" s="64"/>
      <c r="PGK3" s="64"/>
      <c r="PGL3" s="64"/>
      <c r="PGM3" s="64"/>
      <c r="PGN3" s="64"/>
      <c r="PGO3" s="64"/>
      <c r="PGP3" s="64"/>
      <c r="PGQ3" s="64"/>
      <c r="PGR3" s="64"/>
      <c r="PGS3" s="64"/>
      <c r="PGT3" s="64"/>
      <c r="PGU3" s="64"/>
      <c r="PGV3" s="64"/>
      <c r="PGW3" s="64"/>
      <c r="PGX3" s="64"/>
      <c r="PGY3" s="64"/>
      <c r="PGZ3" s="64"/>
      <c r="PHA3" s="64"/>
      <c r="PHB3" s="64"/>
      <c r="PHC3" s="64"/>
      <c r="PHD3" s="64"/>
      <c r="PHE3" s="64"/>
      <c r="PHF3" s="64"/>
      <c r="PHG3" s="64"/>
      <c r="PHH3" s="64"/>
      <c r="PHI3" s="64"/>
      <c r="PHJ3" s="64"/>
      <c r="PHK3" s="64"/>
      <c r="PHL3" s="64"/>
      <c r="PHM3" s="64"/>
      <c r="PHN3" s="64"/>
      <c r="PHO3" s="64"/>
      <c r="PHP3" s="64"/>
      <c r="PHQ3" s="64"/>
      <c r="PHR3" s="64"/>
      <c r="PHS3" s="64"/>
      <c r="PHT3" s="64"/>
      <c r="PHU3" s="64"/>
      <c r="PHV3" s="64"/>
      <c r="PHW3" s="64"/>
      <c r="PHX3" s="64"/>
      <c r="PHY3" s="64"/>
      <c r="PHZ3" s="64"/>
      <c r="PIA3" s="64"/>
      <c r="PIB3" s="64"/>
      <c r="PIC3" s="64"/>
      <c r="PID3" s="64"/>
      <c r="PIE3" s="64"/>
      <c r="PIF3" s="64"/>
      <c r="PIG3" s="64"/>
      <c r="PIH3" s="64"/>
      <c r="PII3" s="64"/>
      <c r="PIJ3" s="64"/>
      <c r="PIK3" s="64"/>
      <c r="PIL3" s="64"/>
      <c r="PIM3" s="64"/>
      <c r="PIN3" s="64"/>
      <c r="PIO3" s="64"/>
      <c r="PIP3" s="64"/>
      <c r="PIQ3" s="64"/>
      <c r="PIR3" s="64"/>
      <c r="PIS3" s="64"/>
      <c r="PIT3" s="64"/>
      <c r="PIU3" s="64"/>
      <c r="PIV3" s="64"/>
      <c r="PIW3" s="64"/>
      <c r="PIX3" s="64"/>
      <c r="PIY3" s="64"/>
      <c r="PIZ3" s="64"/>
      <c r="PJA3" s="64"/>
      <c r="PJB3" s="64"/>
      <c r="PJC3" s="64"/>
      <c r="PJD3" s="64"/>
      <c r="PJE3" s="64"/>
      <c r="PJF3" s="64"/>
      <c r="PJG3" s="64"/>
      <c r="PJH3" s="64"/>
      <c r="PJI3" s="64"/>
      <c r="PJJ3" s="64"/>
      <c r="PJK3" s="64"/>
      <c r="PJL3" s="64"/>
      <c r="PJM3" s="64"/>
      <c r="PJN3" s="64"/>
      <c r="PJO3" s="64"/>
      <c r="PJP3" s="64"/>
      <c r="PJQ3" s="64"/>
      <c r="PJR3" s="64"/>
      <c r="PJS3" s="64"/>
      <c r="PJT3" s="64"/>
      <c r="PJU3" s="64"/>
      <c r="PJV3" s="64"/>
      <c r="PJW3" s="64"/>
      <c r="PJX3" s="64"/>
      <c r="PJY3" s="64"/>
      <c r="PJZ3" s="64"/>
      <c r="PKA3" s="64"/>
      <c r="PKB3" s="64"/>
      <c r="PKC3" s="64"/>
      <c r="PKD3" s="64"/>
      <c r="PKE3" s="64"/>
      <c r="PKF3" s="64"/>
      <c r="PKG3" s="64"/>
      <c r="PKH3" s="64"/>
      <c r="PKI3" s="64"/>
      <c r="PKJ3" s="64"/>
      <c r="PKK3" s="64"/>
      <c r="PKL3" s="64"/>
      <c r="PKM3" s="64"/>
      <c r="PKN3" s="64"/>
      <c r="PKO3" s="64"/>
      <c r="PKP3" s="64"/>
      <c r="PKQ3" s="64"/>
      <c r="PKR3" s="64"/>
      <c r="PKS3" s="64"/>
      <c r="PKT3" s="64"/>
      <c r="PKU3" s="64"/>
      <c r="PKV3" s="64"/>
      <c r="PKW3" s="64"/>
      <c r="PKX3" s="64"/>
      <c r="PKY3" s="64"/>
      <c r="PKZ3" s="64"/>
      <c r="PLA3" s="64"/>
      <c r="PLB3" s="64"/>
      <c r="PLC3" s="64"/>
      <c r="PLD3" s="64"/>
      <c r="PLE3" s="64"/>
      <c r="PLF3" s="64"/>
      <c r="PLG3" s="64"/>
      <c r="PLH3" s="64"/>
      <c r="PLI3" s="64"/>
      <c r="PLJ3" s="64"/>
      <c r="PLK3" s="64"/>
      <c r="PLL3" s="64"/>
      <c r="PLM3" s="64"/>
      <c r="PLN3" s="64"/>
      <c r="PLO3" s="64"/>
      <c r="PLP3" s="64"/>
      <c r="PLQ3" s="64"/>
      <c r="PLR3" s="64"/>
      <c r="PLS3" s="64"/>
      <c r="PLT3" s="64"/>
      <c r="PLU3" s="64"/>
      <c r="PLV3" s="64"/>
      <c r="PLW3" s="64"/>
      <c r="PLX3" s="64"/>
      <c r="PLY3" s="64"/>
      <c r="PLZ3" s="64"/>
      <c r="PMA3" s="64"/>
      <c r="PMB3" s="64"/>
      <c r="PMC3" s="64"/>
      <c r="PMD3" s="64"/>
      <c r="PME3" s="64"/>
      <c r="PMF3" s="64"/>
      <c r="PMG3" s="64"/>
      <c r="PMH3" s="64"/>
      <c r="PMI3" s="64"/>
      <c r="PMJ3" s="64"/>
      <c r="PMK3" s="64"/>
      <c r="PML3" s="64"/>
      <c r="PMM3" s="64"/>
      <c r="PMN3" s="64"/>
      <c r="PMO3" s="64"/>
      <c r="PMP3" s="64"/>
      <c r="PMQ3" s="64"/>
      <c r="PMR3" s="64"/>
      <c r="PMS3" s="64"/>
      <c r="PMT3" s="64"/>
      <c r="PMU3" s="64"/>
      <c r="PMV3" s="64"/>
      <c r="PMW3" s="64"/>
      <c r="PMX3" s="64"/>
      <c r="PMY3" s="64"/>
      <c r="PMZ3" s="64"/>
      <c r="PNA3" s="64"/>
      <c r="PNB3" s="64"/>
      <c r="PNC3" s="64"/>
      <c r="PND3" s="64"/>
      <c r="PNE3" s="64"/>
      <c r="PNF3" s="64"/>
      <c r="PNG3" s="64"/>
      <c r="PNH3" s="64"/>
      <c r="PNI3" s="64"/>
      <c r="PNJ3" s="64"/>
      <c r="PNK3" s="64"/>
      <c r="PNL3" s="64"/>
      <c r="PNM3" s="64"/>
      <c r="PNN3" s="64"/>
      <c r="PNO3" s="64"/>
      <c r="PNP3" s="64"/>
      <c r="PNQ3" s="64"/>
      <c r="PNR3" s="64"/>
      <c r="PNS3" s="64"/>
      <c r="PNT3" s="64"/>
      <c r="PNU3" s="64"/>
      <c r="PNV3" s="64"/>
      <c r="PNW3" s="64"/>
      <c r="PNX3" s="64"/>
      <c r="PNY3" s="64"/>
      <c r="PNZ3" s="64"/>
      <c r="POA3" s="64"/>
      <c r="POB3" s="64"/>
      <c r="POC3" s="64"/>
      <c r="POD3" s="64"/>
      <c r="POE3" s="64"/>
      <c r="POF3" s="64"/>
      <c r="POG3" s="64"/>
      <c r="POH3" s="64"/>
      <c r="POI3" s="64"/>
      <c r="POJ3" s="64"/>
      <c r="POK3" s="64"/>
      <c r="POL3" s="64"/>
      <c r="POM3" s="64"/>
      <c r="PON3" s="64"/>
      <c r="POO3" s="64"/>
      <c r="POP3" s="64"/>
      <c r="POQ3" s="64"/>
      <c r="POR3" s="64"/>
      <c r="POS3" s="64"/>
      <c r="POT3" s="64"/>
      <c r="POU3" s="64"/>
      <c r="POV3" s="64"/>
      <c r="POW3" s="64"/>
      <c r="POX3" s="64"/>
      <c r="POY3" s="64"/>
      <c r="POZ3" s="64"/>
      <c r="PPA3" s="64"/>
      <c r="PPB3" s="64"/>
      <c r="PPC3" s="64"/>
      <c r="PPD3" s="64"/>
      <c r="PPE3" s="64"/>
      <c r="PPF3" s="64"/>
      <c r="PPG3" s="64"/>
      <c r="PPH3" s="64"/>
      <c r="PPI3" s="64"/>
      <c r="PPJ3" s="64"/>
      <c r="PPK3" s="64"/>
      <c r="PPL3" s="64"/>
      <c r="PPM3" s="64"/>
      <c r="PPN3" s="64"/>
      <c r="PPO3" s="64"/>
      <c r="PPP3" s="64"/>
      <c r="PPQ3" s="64"/>
      <c r="PPR3" s="64"/>
      <c r="PPS3" s="64"/>
      <c r="PPT3" s="64"/>
      <c r="PPU3" s="64"/>
      <c r="PPV3" s="64"/>
      <c r="PPW3" s="64"/>
      <c r="PPX3" s="64"/>
      <c r="PPY3" s="64"/>
      <c r="PPZ3" s="64"/>
      <c r="PQA3" s="64"/>
      <c r="PQB3" s="64"/>
      <c r="PQC3" s="64"/>
      <c r="PQD3" s="64"/>
      <c r="PQE3" s="64"/>
      <c r="PQF3" s="64"/>
      <c r="PQG3" s="64"/>
      <c r="PQH3" s="64"/>
      <c r="PQI3" s="64"/>
      <c r="PQJ3" s="64"/>
      <c r="PQK3" s="64"/>
      <c r="PQL3" s="64"/>
      <c r="PQM3" s="64"/>
      <c r="PQN3" s="64"/>
      <c r="PQO3" s="64"/>
      <c r="PQP3" s="64"/>
      <c r="PQQ3" s="64"/>
      <c r="PQR3" s="64"/>
      <c r="PQS3" s="64"/>
      <c r="PQT3" s="64"/>
      <c r="PQU3" s="64"/>
      <c r="PQV3" s="64"/>
      <c r="PQW3" s="64"/>
      <c r="PQX3" s="64"/>
      <c r="PQY3" s="64"/>
      <c r="PQZ3" s="64"/>
      <c r="PRA3" s="64"/>
      <c r="PRB3" s="64"/>
      <c r="PRC3" s="64"/>
      <c r="PRD3" s="64"/>
      <c r="PRE3" s="64"/>
      <c r="PRF3" s="64"/>
      <c r="PRG3" s="64"/>
      <c r="PRH3" s="64"/>
      <c r="PRI3" s="64"/>
      <c r="PRJ3" s="64"/>
      <c r="PRK3" s="64"/>
      <c r="PRL3" s="64"/>
      <c r="PRM3" s="64"/>
      <c r="PRN3" s="64"/>
      <c r="PRO3" s="64"/>
      <c r="PRP3" s="64"/>
      <c r="PRQ3" s="64"/>
      <c r="PRR3" s="64"/>
      <c r="PRS3" s="64"/>
      <c r="PRT3" s="64"/>
      <c r="PRU3" s="64"/>
      <c r="PRV3" s="64"/>
      <c r="PRW3" s="64"/>
      <c r="PRX3" s="64"/>
      <c r="PRY3" s="64"/>
      <c r="PRZ3" s="64"/>
      <c r="PSA3" s="64"/>
      <c r="PSB3" s="64"/>
      <c r="PSC3" s="64"/>
      <c r="PSD3" s="64"/>
      <c r="PSE3" s="64"/>
      <c r="PSF3" s="64"/>
      <c r="PSG3" s="64"/>
      <c r="PSH3" s="64"/>
      <c r="PSI3" s="64"/>
      <c r="PSJ3" s="64"/>
      <c r="PSK3" s="64"/>
      <c r="PSL3" s="64"/>
      <c r="PSM3" s="64"/>
      <c r="PSN3" s="64"/>
      <c r="PSO3" s="64"/>
      <c r="PSP3" s="64"/>
      <c r="PSQ3" s="64"/>
      <c r="PSR3" s="64"/>
      <c r="PSS3" s="64"/>
      <c r="PST3" s="64"/>
      <c r="PSU3" s="64"/>
      <c r="PSV3" s="64"/>
      <c r="PSW3" s="64"/>
      <c r="PSX3" s="64"/>
      <c r="PSY3" s="64"/>
      <c r="PSZ3" s="64"/>
      <c r="PTA3" s="64"/>
      <c r="PTB3" s="64"/>
      <c r="PTC3" s="64"/>
      <c r="PTD3" s="64"/>
      <c r="PTE3" s="64"/>
      <c r="PTF3" s="64"/>
      <c r="PTG3" s="64"/>
      <c r="PTH3" s="64"/>
      <c r="PTI3" s="64"/>
      <c r="PTJ3" s="64"/>
      <c r="PTK3" s="64"/>
      <c r="PTL3" s="64"/>
      <c r="PTM3" s="64"/>
      <c r="PTN3" s="64"/>
      <c r="PTO3" s="64"/>
      <c r="PTP3" s="64"/>
      <c r="PTQ3" s="64"/>
      <c r="PTR3" s="64"/>
      <c r="PTS3" s="64"/>
      <c r="PTT3" s="64"/>
      <c r="PTU3" s="64"/>
      <c r="PTV3" s="64"/>
      <c r="PTW3" s="64"/>
      <c r="PTX3" s="64"/>
      <c r="PTY3" s="64"/>
      <c r="PTZ3" s="64"/>
      <c r="PUA3" s="64"/>
      <c r="PUB3" s="64"/>
      <c r="PUC3" s="64"/>
      <c r="PUD3" s="64"/>
      <c r="PUE3" s="64"/>
      <c r="PUF3" s="64"/>
      <c r="PUG3" s="64"/>
      <c r="PUH3" s="64"/>
      <c r="PUI3" s="64"/>
      <c r="PUJ3" s="64"/>
      <c r="PUK3" s="64"/>
      <c r="PUL3" s="64"/>
      <c r="PUM3" s="64"/>
      <c r="PUN3" s="64"/>
      <c r="PUO3" s="64"/>
      <c r="PUP3" s="64"/>
      <c r="PUQ3" s="64"/>
      <c r="PUR3" s="64"/>
      <c r="PUS3" s="64"/>
      <c r="PUT3" s="64"/>
      <c r="PUU3" s="64"/>
      <c r="PUV3" s="64"/>
      <c r="PUW3" s="64"/>
      <c r="PUX3" s="64"/>
      <c r="PUY3" s="64"/>
      <c r="PUZ3" s="64"/>
      <c r="PVA3" s="64"/>
      <c r="PVB3" s="64"/>
      <c r="PVC3" s="64"/>
      <c r="PVD3" s="64"/>
      <c r="PVE3" s="64"/>
      <c r="PVF3" s="64"/>
      <c r="PVG3" s="64"/>
      <c r="PVH3" s="64"/>
      <c r="PVI3" s="64"/>
      <c r="PVJ3" s="64"/>
      <c r="PVK3" s="64"/>
      <c r="PVL3" s="64"/>
      <c r="PVM3" s="64"/>
      <c r="PVN3" s="64"/>
      <c r="PVO3" s="64"/>
      <c r="PVP3" s="64"/>
      <c r="PVQ3" s="64"/>
      <c r="PVR3" s="64"/>
      <c r="PVS3" s="64"/>
      <c r="PVT3" s="64"/>
      <c r="PVU3" s="64"/>
      <c r="PVV3" s="64"/>
      <c r="PVW3" s="64"/>
      <c r="PVX3" s="64"/>
      <c r="PVY3" s="64"/>
      <c r="PVZ3" s="64"/>
      <c r="PWA3" s="64"/>
      <c r="PWB3" s="64"/>
      <c r="PWC3" s="64"/>
      <c r="PWD3" s="64"/>
      <c r="PWE3" s="64"/>
      <c r="PWF3" s="64"/>
      <c r="PWG3" s="64"/>
      <c r="PWH3" s="64"/>
      <c r="PWI3" s="64"/>
      <c r="PWJ3" s="64"/>
      <c r="PWK3" s="64"/>
      <c r="PWL3" s="64"/>
      <c r="PWM3" s="64"/>
      <c r="PWN3" s="64"/>
      <c r="PWO3" s="64"/>
      <c r="PWP3" s="64"/>
      <c r="PWQ3" s="64"/>
      <c r="PWR3" s="64"/>
      <c r="PWS3" s="64"/>
      <c r="PWT3" s="64"/>
      <c r="PWU3" s="64"/>
      <c r="PWV3" s="64"/>
      <c r="PWW3" s="64"/>
      <c r="PWX3" s="64"/>
      <c r="PWY3" s="64"/>
      <c r="PWZ3" s="64"/>
      <c r="PXA3" s="64"/>
      <c r="PXB3" s="64"/>
      <c r="PXC3" s="64"/>
      <c r="PXD3" s="64"/>
      <c r="PXE3" s="64"/>
      <c r="PXF3" s="64"/>
      <c r="PXG3" s="64"/>
      <c r="PXH3" s="64"/>
      <c r="PXI3" s="64"/>
      <c r="PXJ3" s="64"/>
      <c r="PXK3" s="64"/>
      <c r="PXL3" s="64"/>
      <c r="PXM3" s="64"/>
      <c r="PXN3" s="64"/>
      <c r="PXO3" s="64"/>
      <c r="PXP3" s="64"/>
      <c r="PXQ3" s="64"/>
      <c r="PXR3" s="64"/>
      <c r="PXS3" s="64"/>
      <c r="PXT3" s="64"/>
      <c r="PXU3" s="64"/>
      <c r="PXV3" s="64"/>
      <c r="PXW3" s="64"/>
      <c r="PXX3" s="64"/>
      <c r="PXY3" s="64"/>
      <c r="PXZ3" s="64"/>
      <c r="PYA3" s="64"/>
      <c r="PYB3" s="64"/>
      <c r="PYC3" s="64"/>
      <c r="PYD3" s="64"/>
      <c r="PYE3" s="64"/>
      <c r="PYF3" s="64"/>
      <c r="PYG3" s="64"/>
      <c r="PYH3" s="64"/>
      <c r="PYI3" s="64"/>
      <c r="PYJ3" s="64"/>
      <c r="PYK3" s="64"/>
      <c r="PYL3" s="64"/>
      <c r="PYM3" s="64"/>
      <c r="PYN3" s="64"/>
      <c r="PYO3" s="64"/>
      <c r="PYP3" s="64"/>
      <c r="PYQ3" s="64"/>
      <c r="PYR3" s="64"/>
      <c r="PYS3" s="64"/>
      <c r="PYT3" s="64"/>
      <c r="PYU3" s="64"/>
      <c r="PYV3" s="64"/>
      <c r="PYW3" s="64"/>
      <c r="PYX3" s="64"/>
      <c r="PYY3" s="64"/>
      <c r="PYZ3" s="64"/>
      <c r="PZA3" s="64"/>
      <c r="PZB3" s="64"/>
      <c r="PZC3" s="64"/>
      <c r="PZD3" s="64"/>
      <c r="PZE3" s="64"/>
      <c r="PZF3" s="64"/>
      <c r="PZG3" s="64"/>
      <c r="PZH3" s="64"/>
      <c r="PZI3" s="64"/>
      <c r="PZJ3" s="64"/>
      <c r="PZK3" s="64"/>
      <c r="PZL3" s="64"/>
      <c r="PZM3" s="64"/>
      <c r="PZN3" s="64"/>
      <c r="PZO3" s="64"/>
      <c r="PZP3" s="64"/>
      <c r="PZQ3" s="64"/>
      <c r="PZR3" s="64"/>
      <c r="PZS3" s="64"/>
      <c r="PZT3" s="64"/>
      <c r="PZU3" s="64"/>
      <c r="PZV3" s="64"/>
      <c r="PZW3" s="64"/>
      <c r="PZX3" s="64"/>
      <c r="PZY3" s="64"/>
      <c r="PZZ3" s="64"/>
      <c r="QAA3" s="64"/>
      <c r="QAB3" s="64"/>
      <c r="QAC3" s="64"/>
      <c r="QAD3" s="64"/>
      <c r="QAE3" s="64"/>
      <c r="QAF3" s="64"/>
      <c r="QAG3" s="64"/>
      <c r="QAH3" s="64"/>
      <c r="QAI3" s="64"/>
      <c r="QAJ3" s="64"/>
      <c r="QAK3" s="64"/>
      <c r="QAL3" s="64"/>
      <c r="QAM3" s="64"/>
      <c r="QAN3" s="64"/>
      <c r="QAO3" s="64"/>
      <c r="QAP3" s="64"/>
      <c r="QAQ3" s="64"/>
      <c r="QAR3" s="64"/>
      <c r="QAS3" s="64"/>
      <c r="QAT3" s="64"/>
      <c r="QAU3" s="64"/>
      <c r="QAV3" s="64"/>
      <c r="QAW3" s="64"/>
      <c r="QAX3" s="64"/>
      <c r="QAY3" s="64"/>
      <c r="QAZ3" s="64"/>
      <c r="QBA3" s="64"/>
      <c r="QBB3" s="64"/>
      <c r="QBC3" s="64"/>
      <c r="QBD3" s="64"/>
      <c r="QBE3" s="64"/>
      <c r="QBF3" s="64"/>
      <c r="QBG3" s="64"/>
      <c r="QBH3" s="64"/>
      <c r="QBI3" s="64"/>
      <c r="QBJ3" s="64"/>
      <c r="QBK3" s="64"/>
      <c r="QBL3" s="64"/>
      <c r="QBM3" s="64"/>
      <c r="QBN3" s="64"/>
      <c r="QBO3" s="64"/>
      <c r="QBP3" s="64"/>
      <c r="QBQ3" s="64"/>
      <c r="QBR3" s="64"/>
      <c r="QBS3" s="64"/>
      <c r="QBT3" s="64"/>
      <c r="QBU3" s="64"/>
      <c r="QBV3" s="64"/>
      <c r="QBW3" s="64"/>
      <c r="QBX3" s="64"/>
      <c r="QBY3" s="64"/>
      <c r="QBZ3" s="64"/>
      <c r="QCA3" s="64"/>
      <c r="QCB3" s="64"/>
      <c r="QCC3" s="64"/>
      <c r="QCD3" s="64"/>
      <c r="QCE3" s="64"/>
      <c r="QCF3" s="64"/>
      <c r="QCG3" s="64"/>
      <c r="QCH3" s="64"/>
      <c r="QCI3" s="64"/>
      <c r="QCJ3" s="64"/>
      <c r="QCK3" s="64"/>
      <c r="QCL3" s="64"/>
      <c r="QCM3" s="64"/>
      <c r="QCN3" s="64"/>
      <c r="QCO3" s="64"/>
      <c r="QCP3" s="64"/>
      <c r="QCQ3" s="64"/>
      <c r="QCR3" s="64"/>
      <c r="QCS3" s="64"/>
      <c r="QCT3" s="64"/>
      <c r="QCU3" s="64"/>
      <c r="QCV3" s="64"/>
      <c r="QCW3" s="64"/>
      <c r="QCX3" s="64"/>
      <c r="QCY3" s="64"/>
      <c r="QCZ3" s="64"/>
      <c r="QDA3" s="64"/>
      <c r="QDB3" s="64"/>
      <c r="QDC3" s="64"/>
      <c r="QDD3" s="64"/>
      <c r="QDE3" s="64"/>
      <c r="QDF3" s="64"/>
      <c r="QDG3" s="64"/>
      <c r="QDH3" s="64"/>
      <c r="QDI3" s="64"/>
      <c r="QDJ3" s="64"/>
      <c r="QDK3" s="64"/>
      <c r="QDL3" s="64"/>
      <c r="QDM3" s="64"/>
      <c r="QDN3" s="64"/>
      <c r="QDO3" s="64"/>
      <c r="QDP3" s="64"/>
      <c r="QDQ3" s="64"/>
      <c r="QDR3" s="64"/>
      <c r="QDS3" s="64"/>
      <c r="QDT3" s="64"/>
      <c r="QDU3" s="64"/>
      <c r="QDV3" s="64"/>
      <c r="QDW3" s="64"/>
      <c r="QDX3" s="64"/>
      <c r="QDY3" s="64"/>
      <c r="QDZ3" s="64"/>
      <c r="QEA3" s="64"/>
      <c r="QEB3" s="64"/>
      <c r="QEC3" s="64"/>
      <c r="QED3" s="64"/>
      <c r="QEE3" s="64"/>
      <c r="QEF3" s="64"/>
      <c r="QEG3" s="64"/>
      <c r="QEH3" s="64"/>
      <c r="QEI3" s="64"/>
      <c r="QEJ3" s="64"/>
      <c r="QEK3" s="64"/>
      <c r="QEL3" s="64"/>
      <c r="QEM3" s="64"/>
      <c r="QEN3" s="64"/>
      <c r="QEO3" s="64"/>
      <c r="QEP3" s="64"/>
      <c r="QEQ3" s="64"/>
      <c r="QER3" s="64"/>
      <c r="QES3" s="64"/>
      <c r="QET3" s="64"/>
      <c r="QEU3" s="64"/>
      <c r="QEV3" s="64"/>
      <c r="QEW3" s="64"/>
      <c r="QEX3" s="64"/>
      <c r="QEY3" s="64"/>
      <c r="QEZ3" s="64"/>
      <c r="QFA3" s="64"/>
      <c r="QFB3" s="64"/>
      <c r="QFC3" s="64"/>
      <c r="QFD3" s="64"/>
      <c r="QFE3" s="64"/>
      <c r="QFF3" s="64"/>
      <c r="QFG3" s="64"/>
      <c r="QFH3" s="64"/>
      <c r="QFI3" s="64"/>
      <c r="QFJ3" s="64"/>
      <c r="QFK3" s="64"/>
      <c r="QFL3" s="64"/>
      <c r="QFM3" s="64"/>
      <c r="QFN3" s="64"/>
      <c r="QFO3" s="64"/>
      <c r="QFP3" s="64"/>
      <c r="QFQ3" s="64"/>
      <c r="QFR3" s="64"/>
      <c r="QFS3" s="64"/>
      <c r="QFT3" s="64"/>
      <c r="QFU3" s="64"/>
      <c r="QFV3" s="64"/>
      <c r="QFW3" s="64"/>
      <c r="QFX3" s="64"/>
      <c r="QFY3" s="64"/>
      <c r="QFZ3" s="64"/>
      <c r="QGA3" s="64"/>
      <c r="QGB3" s="64"/>
      <c r="QGC3" s="64"/>
      <c r="QGD3" s="64"/>
      <c r="QGE3" s="64"/>
      <c r="QGF3" s="64"/>
      <c r="QGG3" s="64"/>
      <c r="QGH3" s="64"/>
      <c r="QGI3" s="64"/>
      <c r="QGJ3" s="64"/>
      <c r="QGK3" s="64"/>
      <c r="QGL3" s="64"/>
      <c r="QGM3" s="64"/>
      <c r="QGN3" s="64"/>
      <c r="QGO3" s="64"/>
      <c r="QGP3" s="64"/>
      <c r="QGQ3" s="64"/>
      <c r="QGR3" s="64"/>
      <c r="QGS3" s="64"/>
      <c r="QGT3" s="64"/>
      <c r="QGU3" s="64"/>
      <c r="QGV3" s="64"/>
      <c r="QGW3" s="64"/>
      <c r="QGX3" s="64"/>
      <c r="QGY3" s="64"/>
      <c r="QGZ3" s="64"/>
      <c r="QHA3" s="64"/>
      <c r="QHB3" s="64"/>
      <c r="QHC3" s="64"/>
      <c r="QHD3" s="64"/>
      <c r="QHE3" s="64"/>
      <c r="QHF3" s="64"/>
      <c r="QHG3" s="64"/>
      <c r="QHH3" s="64"/>
      <c r="QHI3" s="64"/>
      <c r="QHJ3" s="64"/>
      <c r="QHK3" s="64"/>
      <c r="QHL3" s="64"/>
      <c r="QHM3" s="64"/>
      <c r="QHN3" s="64"/>
      <c r="QHO3" s="64"/>
      <c r="QHP3" s="64"/>
      <c r="QHQ3" s="64"/>
      <c r="QHR3" s="64"/>
      <c r="QHS3" s="64"/>
      <c r="QHT3" s="64"/>
      <c r="QHU3" s="64"/>
      <c r="QHV3" s="64"/>
      <c r="QHW3" s="64"/>
      <c r="QHX3" s="64"/>
      <c r="QHY3" s="64"/>
      <c r="QHZ3" s="64"/>
      <c r="QIA3" s="64"/>
      <c r="QIB3" s="64"/>
      <c r="QIC3" s="64"/>
      <c r="QID3" s="64"/>
      <c r="QIE3" s="64"/>
      <c r="QIF3" s="64"/>
      <c r="QIG3" s="64"/>
      <c r="QIH3" s="64"/>
      <c r="QII3" s="64"/>
      <c r="QIJ3" s="64"/>
      <c r="QIK3" s="64"/>
      <c r="QIL3" s="64"/>
      <c r="QIM3" s="64"/>
      <c r="QIN3" s="64"/>
      <c r="QIO3" s="64"/>
      <c r="QIP3" s="64"/>
      <c r="QIQ3" s="64"/>
      <c r="QIR3" s="64"/>
      <c r="QIS3" s="64"/>
      <c r="QIT3" s="64"/>
      <c r="QIU3" s="64"/>
      <c r="QIV3" s="64"/>
      <c r="QIW3" s="64"/>
      <c r="QIX3" s="64"/>
      <c r="QIY3" s="64"/>
      <c r="QIZ3" s="64"/>
      <c r="QJA3" s="64"/>
      <c r="QJB3" s="64"/>
      <c r="QJC3" s="64"/>
      <c r="QJD3" s="64"/>
      <c r="QJE3" s="64"/>
      <c r="QJF3" s="64"/>
      <c r="QJG3" s="64"/>
      <c r="QJH3" s="64"/>
      <c r="QJI3" s="64"/>
      <c r="QJJ3" s="64"/>
      <c r="QJK3" s="64"/>
      <c r="QJL3" s="64"/>
      <c r="QJM3" s="64"/>
      <c r="QJN3" s="64"/>
      <c r="QJO3" s="64"/>
      <c r="QJP3" s="64"/>
      <c r="QJQ3" s="64"/>
      <c r="QJR3" s="64"/>
      <c r="QJS3" s="64"/>
      <c r="QJT3" s="64"/>
      <c r="QJU3" s="64"/>
      <c r="QJV3" s="64"/>
      <c r="QJW3" s="64"/>
      <c r="QJX3" s="64"/>
      <c r="QJY3" s="64"/>
      <c r="QJZ3" s="64"/>
      <c r="QKA3" s="64"/>
      <c r="QKB3" s="64"/>
      <c r="QKC3" s="64"/>
      <c r="QKD3" s="64"/>
      <c r="QKE3" s="64"/>
      <c r="QKF3" s="64"/>
      <c r="QKG3" s="64"/>
      <c r="QKH3" s="64"/>
      <c r="QKI3" s="64"/>
      <c r="QKJ3" s="64"/>
      <c r="QKK3" s="64"/>
      <c r="QKL3" s="64"/>
      <c r="QKM3" s="64"/>
      <c r="QKN3" s="64"/>
      <c r="QKO3" s="64"/>
      <c r="QKP3" s="64"/>
      <c r="QKQ3" s="64"/>
      <c r="QKR3" s="64"/>
      <c r="QKS3" s="64"/>
      <c r="QKT3" s="64"/>
      <c r="QKU3" s="64"/>
      <c r="QKV3" s="64"/>
      <c r="QKW3" s="64"/>
      <c r="QKX3" s="64"/>
      <c r="QKY3" s="64"/>
      <c r="QKZ3" s="64"/>
      <c r="QLA3" s="64"/>
      <c r="QLB3" s="64"/>
      <c r="QLC3" s="64"/>
      <c r="QLD3" s="64"/>
      <c r="QLE3" s="64"/>
      <c r="QLF3" s="64"/>
      <c r="QLG3" s="64"/>
      <c r="QLH3" s="64"/>
      <c r="QLI3" s="64"/>
      <c r="QLJ3" s="64"/>
      <c r="QLK3" s="64"/>
      <c r="QLL3" s="64"/>
      <c r="QLM3" s="64"/>
      <c r="QLN3" s="64"/>
      <c r="QLO3" s="64"/>
      <c r="QLP3" s="64"/>
      <c r="QLQ3" s="64"/>
      <c r="QLR3" s="64"/>
      <c r="QLS3" s="64"/>
      <c r="QLT3" s="64"/>
      <c r="QLU3" s="64"/>
      <c r="QLV3" s="64"/>
      <c r="QLW3" s="64"/>
      <c r="QLX3" s="64"/>
      <c r="QLY3" s="64"/>
      <c r="QLZ3" s="64"/>
      <c r="QMA3" s="64"/>
      <c r="QMB3" s="64"/>
      <c r="QMC3" s="64"/>
      <c r="QMD3" s="64"/>
      <c r="QME3" s="64"/>
      <c r="QMF3" s="64"/>
      <c r="QMG3" s="64"/>
      <c r="QMH3" s="64"/>
      <c r="QMI3" s="64"/>
      <c r="QMJ3" s="64"/>
      <c r="QMK3" s="64"/>
      <c r="QML3" s="64"/>
      <c r="QMM3" s="64"/>
      <c r="QMN3" s="64"/>
      <c r="QMO3" s="64"/>
      <c r="QMP3" s="64"/>
      <c r="QMQ3" s="64"/>
      <c r="QMR3" s="64"/>
      <c r="QMS3" s="64"/>
      <c r="QMT3" s="64"/>
      <c r="QMU3" s="64"/>
      <c r="QMV3" s="64"/>
      <c r="QMW3" s="64"/>
      <c r="QMX3" s="64"/>
      <c r="QMY3" s="64"/>
      <c r="QMZ3" s="64"/>
      <c r="QNA3" s="64"/>
      <c r="QNB3" s="64"/>
      <c r="QNC3" s="64"/>
      <c r="QND3" s="64"/>
      <c r="QNE3" s="64"/>
      <c r="QNF3" s="64"/>
      <c r="QNG3" s="64"/>
      <c r="QNH3" s="64"/>
      <c r="QNI3" s="64"/>
      <c r="QNJ3" s="64"/>
      <c r="QNK3" s="64"/>
      <c r="QNL3" s="64"/>
      <c r="QNM3" s="64"/>
      <c r="QNN3" s="64"/>
      <c r="QNO3" s="64"/>
      <c r="QNP3" s="64"/>
      <c r="QNQ3" s="64"/>
      <c r="QNR3" s="64"/>
      <c r="QNS3" s="64"/>
      <c r="QNT3" s="64"/>
      <c r="QNU3" s="64"/>
      <c r="QNV3" s="64"/>
      <c r="QNW3" s="64"/>
      <c r="QNX3" s="64"/>
      <c r="QNY3" s="64"/>
      <c r="QNZ3" s="64"/>
      <c r="QOA3" s="64"/>
      <c r="QOB3" s="64"/>
      <c r="QOC3" s="64"/>
      <c r="QOD3" s="64"/>
      <c r="QOE3" s="64"/>
      <c r="QOF3" s="64"/>
      <c r="QOG3" s="64"/>
      <c r="QOH3" s="64"/>
      <c r="QOI3" s="64"/>
      <c r="QOJ3" s="64"/>
      <c r="QOK3" s="64"/>
      <c r="QOL3" s="64"/>
      <c r="QOM3" s="64"/>
      <c r="QON3" s="64"/>
      <c r="QOO3" s="64"/>
      <c r="QOP3" s="64"/>
      <c r="QOQ3" s="64"/>
      <c r="QOR3" s="64"/>
      <c r="QOS3" s="64"/>
      <c r="QOT3" s="64"/>
      <c r="QOU3" s="64"/>
      <c r="QOV3" s="64"/>
      <c r="QOW3" s="64"/>
      <c r="QOX3" s="64"/>
      <c r="QOY3" s="64"/>
      <c r="QOZ3" s="64"/>
      <c r="QPA3" s="64"/>
      <c r="QPB3" s="64"/>
      <c r="QPC3" s="64"/>
      <c r="QPD3" s="64"/>
      <c r="QPE3" s="64"/>
      <c r="QPF3" s="64"/>
      <c r="QPG3" s="64"/>
      <c r="QPH3" s="64"/>
      <c r="QPI3" s="64"/>
      <c r="QPJ3" s="64"/>
      <c r="QPK3" s="64"/>
      <c r="QPL3" s="64"/>
      <c r="QPM3" s="64"/>
      <c r="QPN3" s="64"/>
      <c r="QPO3" s="64"/>
      <c r="QPP3" s="64"/>
      <c r="QPQ3" s="64"/>
      <c r="QPR3" s="64"/>
      <c r="QPS3" s="64"/>
      <c r="QPT3" s="64"/>
      <c r="QPU3" s="64"/>
      <c r="QPV3" s="64"/>
      <c r="QPW3" s="64"/>
      <c r="QPX3" s="64"/>
      <c r="QPY3" s="64"/>
      <c r="QPZ3" s="64"/>
      <c r="QQA3" s="64"/>
      <c r="QQB3" s="64"/>
      <c r="QQC3" s="64"/>
      <c r="QQD3" s="64"/>
      <c r="QQE3" s="64"/>
      <c r="QQF3" s="64"/>
      <c r="QQG3" s="64"/>
      <c r="QQH3" s="64"/>
      <c r="QQI3" s="64"/>
      <c r="QQJ3" s="64"/>
      <c r="QQK3" s="64"/>
      <c r="QQL3" s="64"/>
      <c r="QQM3" s="64"/>
      <c r="QQN3" s="64"/>
      <c r="QQO3" s="64"/>
      <c r="QQP3" s="64"/>
      <c r="QQQ3" s="64"/>
      <c r="QQR3" s="64"/>
      <c r="QQS3" s="64"/>
      <c r="QQT3" s="64"/>
      <c r="QQU3" s="64"/>
      <c r="QQV3" s="64"/>
      <c r="QQW3" s="64"/>
      <c r="QQX3" s="64"/>
      <c r="QQY3" s="64"/>
      <c r="QQZ3" s="64"/>
      <c r="QRA3" s="64"/>
      <c r="QRB3" s="64"/>
      <c r="QRC3" s="64"/>
      <c r="QRD3" s="64"/>
      <c r="QRE3" s="64"/>
      <c r="QRF3" s="64"/>
      <c r="QRG3" s="64"/>
      <c r="QRH3" s="64"/>
      <c r="QRI3" s="64"/>
      <c r="QRJ3" s="64"/>
      <c r="QRK3" s="64"/>
      <c r="QRL3" s="64"/>
      <c r="QRM3" s="64"/>
      <c r="QRN3" s="64"/>
      <c r="QRO3" s="64"/>
      <c r="QRP3" s="64"/>
      <c r="QRQ3" s="64"/>
      <c r="QRR3" s="64"/>
      <c r="QRS3" s="64"/>
      <c r="QRT3" s="64"/>
      <c r="QRU3" s="64"/>
      <c r="QRV3" s="64"/>
      <c r="QRW3" s="64"/>
      <c r="QRX3" s="64"/>
      <c r="QRY3" s="64"/>
      <c r="QRZ3" s="64"/>
      <c r="QSA3" s="64"/>
      <c r="QSB3" s="64"/>
      <c r="QSC3" s="64"/>
      <c r="QSD3" s="64"/>
      <c r="QSE3" s="64"/>
      <c r="QSF3" s="64"/>
      <c r="QSG3" s="64"/>
      <c r="QSH3" s="64"/>
      <c r="QSI3" s="64"/>
      <c r="QSJ3" s="64"/>
      <c r="QSK3" s="64"/>
      <c r="QSL3" s="64"/>
      <c r="QSM3" s="64"/>
      <c r="QSN3" s="64"/>
      <c r="QSO3" s="64"/>
      <c r="QSP3" s="64"/>
      <c r="QSQ3" s="64"/>
      <c r="QSR3" s="64"/>
      <c r="QSS3" s="64"/>
      <c r="QST3" s="64"/>
      <c r="QSU3" s="64"/>
      <c r="QSV3" s="64"/>
      <c r="QSW3" s="64"/>
      <c r="QSX3" s="64"/>
      <c r="QSY3" s="64"/>
      <c r="QSZ3" s="64"/>
      <c r="QTA3" s="64"/>
      <c r="QTB3" s="64"/>
      <c r="QTC3" s="64"/>
      <c r="QTD3" s="64"/>
      <c r="QTE3" s="64"/>
      <c r="QTF3" s="64"/>
      <c r="QTG3" s="64"/>
      <c r="QTH3" s="64"/>
      <c r="QTI3" s="64"/>
      <c r="QTJ3" s="64"/>
      <c r="QTK3" s="64"/>
      <c r="QTL3" s="64"/>
      <c r="QTM3" s="64"/>
      <c r="QTN3" s="64"/>
      <c r="QTO3" s="64"/>
      <c r="QTP3" s="64"/>
      <c r="QTQ3" s="64"/>
      <c r="QTR3" s="64"/>
      <c r="QTS3" s="64"/>
      <c r="QTT3" s="64"/>
      <c r="QTU3" s="64"/>
      <c r="QTV3" s="64"/>
      <c r="QTW3" s="64"/>
      <c r="QTX3" s="64"/>
      <c r="QTY3" s="64"/>
      <c r="QTZ3" s="64"/>
      <c r="QUA3" s="64"/>
      <c r="QUB3" s="64"/>
      <c r="QUC3" s="64"/>
      <c r="QUD3" s="64"/>
      <c r="QUE3" s="64"/>
      <c r="QUF3" s="64"/>
      <c r="QUG3" s="64"/>
      <c r="QUH3" s="64"/>
      <c r="QUI3" s="64"/>
      <c r="QUJ3" s="64"/>
      <c r="QUK3" s="64"/>
      <c r="QUL3" s="64"/>
      <c r="QUM3" s="64"/>
      <c r="QUN3" s="64"/>
      <c r="QUO3" s="64"/>
      <c r="QUP3" s="64"/>
      <c r="QUQ3" s="64"/>
      <c r="QUR3" s="64"/>
      <c r="QUS3" s="64"/>
      <c r="QUT3" s="64"/>
      <c r="QUU3" s="64"/>
      <c r="QUV3" s="64"/>
      <c r="QUW3" s="64"/>
      <c r="QUX3" s="64"/>
      <c r="QUY3" s="64"/>
      <c r="QUZ3" s="64"/>
      <c r="QVA3" s="64"/>
      <c r="QVB3" s="64"/>
      <c r="QVC3" s="64"/>
      <c r="QVD3" s="64"/>
      <c r="QVE3" s="64"/>
      <c r="QVF3" s="64"/>
      <c r="QVG3" s="64"/>
      <c r="QVH3" s="64"/>
      <c r="QVI3" s="64"/>
      <c r="QVJ3" s="64"/>
      <c r="QVK3" s="64"/>
      <c r="QVL3" s="64"/>
      <c r="QVM3" s="64"/>
      <c r="QVN3" s="64"/>
      <c r="QVO3" s="64"/>
      <c r="QVP3" s="64"/>
      <c r="QVQ3" s="64"/>
      <c r="QVR3" s="64"/>
      <c r="QVS3" s="64"/>
      <c r="QVT3" s="64"/>
      <c r="QVU3" s="64"/>
      <c r="QVV3" s="64"/>
      <c r="QVW3" s="64"/>
      <c r="QVX3" s="64"/>
      <c r="QVY3" s="64"/>
      <c r="QVZ3" s="64"/>
      <c r="QWA3" s="64"/>
      <c r="QWB3" s="64"/>
      <c r="QWC3" s="64"/>
      <c r="QWD3" s="64"/>
      <c r="QWE3" s="64"/>
      <c r="QWF3" s="64"/>
      <c r="QWG3" s="64"/>
      <c r="QWH3" s="64"/>
      <c r="QWI3" s="64"/>
      <c r="QWJ3" s="64"/>
      <c r="QWK3" s="64"/>
      <c r="QWL3" s="64"/>
      <c r="QWM3" s="64"/>
      <c r="QWN3" s="64"/>
      <c r="QWO3" s="64"/>
      <c r="QWP3" s="64"/>
      <c r="QWQ3" s="64"/>
      <c r="QWR3" s="64"/>
      <c r="QWS3" s="64"/>
      <c r="QWT3" s="64"/>
      <c r="QWU3" s="64"/>
      <c r="QWV3" s="64"/>
      <c r="QWW3" s="64"/>
      <c r="QWX3" s="64"/>
      <c r="QWY3" s="64"/>
      <c r="QWZ3" s="64"/>
      <c r="QXA3" s="64"/>
      <c r="QXB3" s="64"/>
      <c r="QXC3" s="64"/>
      <c r="QXD3" s="64"/>
      <c r="QXE3" s="64"/>
      <c r="QXF3" s="64"/>
      <c r="QXG3" s="64"/>
      <c r="QXH3" s="64"/>
      <c r="QXI3" s="64"/>
      <c r="QXJ3" s="64"/>
      <c r="QXK3" s="64"/>
      <c r="QXL3" s="64"/>
      <c r="QXM3" s="64"/>
      <c r="QXN3" s="64"/>
      <c r="QXO3" s="64"/>
      <c r="QXP3" s="64"/>
      <c r="QXQ3" s="64"/>
      <c r="QXR3" s="64"/>
      <c r="QXS3" s="64"/>
      <c r="QXT3" s="64"/>
      <c r="QXU3" s="64"/>
      <c r="QXV3" s="64"/>
      <c r="QXW3" s="64"/>
      <c r="QXX3" s="64"/>
      <c r="QXY3" s="64"/>
      <c r="QXZ3" s="64"/>
      <c r="QYA3" s="64"/>
      <c r="QYB3" s="64"/>
      <c r="QYC3" s="64"/>
      <c r="QYD3" s="64"/>
      <c r="QYE3" s="64"/>
      <c r="QYF3" s="64"/>
      <c r="QYG3" s="64"/>
      <c r="QYH3" s="64"/>
      <c r="QYI3" s="64"/>
      <c r="QYJ3" s="64"/>
      <c r="QYK3" s="64"/>
      <c r="QYL3" s="64"/>
      <c r="QYM3" s="64"/>
      <c r="QYN3" s="64"/>
      <c r="QYO3" s="64"/>
      <c r="QYP3" s="64"/>
      <c r="QYQ3" s="64"/>
      <c r="QYR3" s="64"/>
      <c r="QYS3" s="64"/>
      <c r="QYT3" s="64"/>
      <c r="QYU3" s="64"/>
      <c r="QYV3" s="64"/>
      <c r="QYW3" s="64"/>
      <c r="QYX3" s="64"/>
      <c r="QYY3" s="64"/>
      <c r="QYZ3" s="64"/>
      <c r="QZA3" s="64"/>
      <c r="QZB3" s="64"/>
      <c r="QZC3" s="64"/>
      <c r="QZD3" s="64"/>
      <c r="QZE3" s="64"/>
      <c r="QZF3" s="64"/>
      <c r="QZG3" s="64"/>
      <c r="QZH3" s="64"/>
      <c r="QZI3" s="64"/>
      <c r="QZJ3" s="64"/>
      <c r="QZK3" s="64"/>
      <c r="QZL3" s="64"/>
      <c r="QZM3" s="64"/>
      <c r="QZN3" s="64"/>
      <c r="QZO3" s="64"/>
      <c r="QZP3" s="64"/>
      <c r="QZQ3" s="64"/>
      <c r="QZR3" s="64"/>
      <c r="QZS3" s="64"/>
      <c r="QZT3" s="64"/>
      <c r="QZU3" s="64"/>
      <c r="QZV3" s="64"/>
      <c r="QZW3" s="64"/>
      <c r="QZX3" s="64"/>
      <c r="QZY3" s="64"/>
      <c r="QZZ3" s="64"/>
      <c r="RAA3" s="64"/>
      <c r="RAB3" s="64"/>
      <c r="RAC3" s="64"/>
      <c r="RAD3" s="64"/>
      <c r="RAE3" s="64"/>
      <c r="RAF3" s="64"/>
      <c r="RAG3" s="64"/>
      <c r="RAH3" s="64"/>
      <c r="RAI3" s="64"/>
      <c r="RAJ3" s="64"/>
      <c r="RAK3" s="64"/>
      <c r="RAL3" s="64"/>
      <c r="RAM3" s="64"/>
      <c r="RAN3" s="64"/>
      <c r="RAO3" s="64"/>
      <c r="RAP3" s="64"/>
      <c r="RAQ3" s="64"/>
      <c r="RAR3" s="64"/>
      <c r="RAS3" s="64"/>
      <c r="RAT3" s="64"/>
      <c r="RAU3" s="64"/>
      <c r="RAV3" s="64"/>
      <c r="RAW3" s="64"/>
      <c r="RAX3" s="64"/>
      <c r="RAY3" s="64"/>
      <c r="RAZ3" s="64"/>
      <c r="RBA3" s="64"/>
      <c r="RBB3" s="64"/>
      <c r="RBC3" s="64"/>
      <c r="RBD3" s="64"/>
      <c r="RBE3" s="64"/>
      <c r="RBF3" s="64"/>
      <c r="RBG3" s="64"/>
      <c r="RBH3" s="64"/>
      <c r="RBI3" s="64"/>
      <c r="RBJ3" s="64"/>
      <c r="RBK3" s="64"/>
      <c r="RBL3" s="64"/>
      <c r="RBM3" s="64"/>
      <c r="RBN3" s="64"/>
      <c r="RBO3" s="64"/>
      <c r="RBP3" s="64"/>
      <c r="RBQ3" s="64"/>
      <c r="RBR3" s="64"/>
      <c r="RBS3" s="64"/>
      <c r="RBT3" s="64"/>
      <c r="RBU3" s="64"/>
      <c r="RBV3" s="64"/>
      <c r="RBW3" s="64"/>
      <c r="RBX3" s="64"/>
      <c r="RBY3" s="64"/>
      <c r="RBZ3" s="64"/>
      <c r="RCA3" s="64"/>
      <c r="RCB3" s="64"/>
      <c r="RCC3" s="64"/>
      <c r="RCD3" s="64"/>
      <c r="RCE3" s="64"/>
      <c r="RCF3" s="64"/>
      <c r="RCG3" s="64"/>
      <c r="RCH3" s="64"/>
      <c r="RCI3" s="64"/>
      <c r="RCJ3" s="64"/>
      <c r="RCK3" s="64"/>
      <c r="RCL3" s="64"/>
      <c r="RCM3" s="64"/>
      <c r="RCN3" s="64"/>
      <c r="RCO3" s="64"/>
      <c r="RCP3" s="64"/>
      <c r="RCQ3" s="64"/>
      <c r="RCR3" s="64"/>
      <c r="RCS3" s="64"/>
      <c r="RCT3" s="64"/>
      <c r="RCU3" s="64"/>
      <c r="RCV3" s="64"/>
      <c r="RCW3" s="64"/>
      <c r="RCX3" s="64"/>
      <c r="RCY3" s="64"/>
      <c r="RCZ3" s="64"/>
      <c r="RDA3" s="64"/>
      <c r="RDB3" s="64"/>
      <c r="RDC3" s="64"/>
      <c r="RDD3" s="64"/>
      <c r="RDE3" s="64"/>
      <c r="RDF3" s="64"/>
      <c r="RDG3" s="64"/>
      <c r="RDH3" s="64"/>
      <c r="RDI3" s="64"/>
      <c r="RDJ3" s="64"/>
      <c r="RDK3" s="64"/>
      <c r="RDL3" s="64"/>
      <c r="RDM3" s="64"/>
      <c r="RDN3" s="64"/>
      <c r="RDO3" s="64"/>
      <c r="RDP3" s="64"/>
      <c r="RDQ3" s="64"/>
      <c r="RDR3" s="64"/>
      <c r="RDS3" s="64"/>
      <c r="RDT3" s="64"/>
      <c r="RDU3" s="64"/>
      <c r="RDV3" s="64"/>
      <c r="RDW3" s="64"/>
      <c r="RDX3" s="64"/>
      <c r="RDY3" s="64"/>
      <c r="RDZ3" s="64"/>
      <c r="REA3" s="64"/>
      <c r="REB3" s="64"/>
      <c r="REC3" s="64"/>
      <c r="RED3" s="64"/>
      <c r="REE3" s="64"/>
      <c r="REF3" s="64"/>
      <c r="REG3" s="64"/>
      <c r="REH3" s="64"/>
      <c r="REI3" s="64"/>
      <c r="REJ3" s="64"/>
      <c r="REK3" s="64"/>
      <c r="REL3" s="64"/>
      <c r="REM3" s="64"/>
      <c r="REN3" s="64"/>
      <c r="REO3" s="64"/>
      <c r="REP3" s="64"/>
      <c r="REQ3" s="64"/>
      <c r="RER3" s="64"/>
      <c r="RES3" s="64"/>
      <c r="RET3" s="64"/>
      <c r="REU3" s="64"/>
      <c r="REV3" s="64"/>
      <c r="REW3" s="64"/>
      <c r="REX3" s="64"/>
      <c r="REY3" s="64"/>
      <c r="REZ3" s="64"/>
      <c r="RFA3" s="64"/>
      <c r="RFB3" s="64"/>
      <c r="RFC3" s="64"/>
      <c r="RFD3" s="64"/>
      <c r="RFE3" s="64"/>
      <c r="RFF3" s="64"/>
      <c r="RFG3" s="64"/>
      <c r="RFH3" s="64"/>
      <c r="RFI3" s="64"/>
      <c r="RFJ3" s="64"/>
      <c r="RFK3" s="64"/>
      <c r="RFL3" s="64"/>
      <c r="RFM3" s="64"/>
      <c r="RFN3" s="64"/>
      <c r="RFO3" s="64"/>
      <c r="RFP3" s="64"/>
      <c r="RFQ3" s="64"/>
      <c r="RFR3" s="64"/>
      <c r="RFS3" s="64"/>
      <c r="RFT3" s="64"/>
      <c r="RFU3" s="64"/>
      <c r="RFV3" s="64"/>
      <c r="RFW3" s="64"/>
      <c r="RFX3" s="64"/>
      <c r="RFY3" s="64"/>
      <c r="RFZ3" s="64"/>
      <c r="RGA3" s="64"/>
      <c r="RGB3" s="64"/>
      <c r="RGC3" s="64"/>
      <c r="RGD3" s="64"/>
      <c r="RGE3" s="64"/>
      <c r="RGF3" s="64"/>
      <c r="RGG3" s="64"/>
      <c r="RGH3" s="64"/>
      <c r="RGI3" s="64"/>
      <c r="RGJ3" s="64"/>
      <c r="RGK3" s="64"/>
      <c r="RGL3" s="64"/>
      <c r="RGM3" s="64"/>
      <c r="RGN3" s="64"/>
      <c r="RGO3" s="64"/>
      <c r="RGP3" s="64"/>
      <c r="RGQ3" s="64"/>
      <c r="RGR3" s="64"/>
      <c r="RGS3" s="64"/>
      <c r="RGT3" s="64"/>
      <c r="RGU3" s="64"/>
      <c r="RGV3" s="64"/>
      <c r="RGW3" s="64"/>
      <c r="RGX3" s="64"/>
      <c r="RGY3" s="64"/>
      <c r="RGZ3" s="64"/>
      <c r="RHA3" s="64"/>
      <c r="RHB3" s="64"/>
      <c r="RHC3" s="64"/>
      <c r="RHD3" s="64"/>
      <c r="RHE3" s="64"/>
      <c r="RHF3" s="64"/>
      <c r="RHG3" s="64"/>
      <c r="RHH3" s="64"/>
      <c r="RHI3" s="64"/>
      <c r="RHJ3" s="64"/>
      <c r="RHK3" s="64"/>
      <c r="RHL3" s="64"/>
      <c r="RHM3" s="64"/>
      <c r="RHN3" s="64"/>
      <c r="RHO3" s="64"/>
      <c r="RHP3" s="64"/>
      <c r="RHQ3" s="64"/>
      <c r="RHR3" s="64"/>
      <c r="RHS3" s="64"/>
      <c r="RHT3" s="64"/>
      <c r="RHU3" s="64"/>
      <c r="RHV3" s="64"/>
      <c r="RHW3" s="64"/>
      <c r="RHX3" s="64"/>
      <c r="RHY3" s="64"/>
      <c r="RHZ3" s="64"/>
      <c r="RIA3" s="64"/>
      <c r="RIB3" s="64"/>
      <c r="RIC3" s="64"/>
      <c r="RID3" s="64"/>
      <c r="RIE3" s="64"/>
      <c r="RIF3" s="64"/>
      <c r="RIG3" s="64"/>
      <c r="RIH3" s="64"/>
      <c r="RII3" s="64"/>
      <c r="RIJ3" s="64"/>
      <c r="RIK3" s="64"/>
      <c r="RIL3" s="64"/>
      <c r="RIM3" s="64"/>
      <c r="RIN3" s="64"/>
      <c r="RIO3" s="64"/>
      <c r="RIP3" s="64"/>
      <c r="RIQ3" s="64"/>
      <c r="RIR3" s="64"/>
      <c r="RIS3" s="64"/>
      <c r="RIT3" s="64"/>
      <c r="RIU3" s="64"/>
      <c r="RIV3" s="64"/>
      <c r="RIW3" s="64"/>
      <c r="RIX3" s="64"/>
      <c r="RIY3" s="64"/>
      <c r="RIZ3" s="64"/>
      <c r="RJA3" s="64"/>
      <c r="RJB3" s="64"/>
      <c r="RJC3" s="64"/>
      <c r="RJD3" s="64"/>
      <c r="RJE3" s="64"/>
      <c r="RJF3" s="64"/>
      <c r="RJG3" s="64"/>
      <c r="RJH3" s="64"/>
      <c r="RJI3" s="64"/>
      <c r="RJJ3" s="64"/>
      <c r="RJK3" s="64"/>
      <c r="RJL3" s="64"/>
      <c r="RJM3" s="64"/>
      <c r="RJN3" s="64"/>
      <c r="RJO3" s="64"/>
      <c r="RJP3" s="64"/>
      <c r="RJQ3" s="64"/>
      <c r="RJR3" s="64"/>
      <c r="RJS3" s="64"/>
      <c r="RJT3" s="64"/>
      <c r="RJU3" s="64"/>
      <c r="RJV3" s="64"/>
      <c r="RJW3" s="64"/>
      <c r="RJX3" s="64"/>
      <c r="RJY3" s="64"/>
      <c r="RJZ3" s="64"/>
      <c r="RKA3" s="64"/>
      <c r="RKB3" s="64"/>
      <c r="RKC3" s="64"/>
      <c r="RKD3" s="64"/>
      <c r="RKE3" s="64"/>
      <c r="RKF3" s="64"/>
      <c r="RKG3" s="64"/>
      <c r="RKH3" s="64"/>
      <c r="RKI3" s="64"/>
      <c r="RKJ3" s="64"/>
      <c r="RKK3" s="64"/>
      <c r="RKL3" s="64"/>
      <c r="RKM3" s="64"/>
      <c r="RKN3" s="64"/>
      <c r="RKO3" s="64"/>
      <c r="RKP3" s="64"/>
      <c r="RKQ3" s="64"/>
      <c r="RKR3" s="64"/>
      <c r="RKS3" s="64"/>
      <c r="RKT3" s="64"/>
      <c r="RKU3" s="64"/>
      <c r="RKV3" s="64"/>
      <c r="RKW3" s="64"/>
      <c r="RKX3" s="64"/>
      <c r="RKY3" s="64"/>
      <c r="RKZ3" s="64"/>
      <c r="RLA3" s="64"/>
      <c r="RLB3" s="64"/>
      <c r="RLC3" s="64"/>
      <c r="RLD3" s="64"/>
      <c r="RLE3" s="64"/>
      <c r="RLF3" s="64"/>
      <c r="RLG3" s="64"/>
      <c r="RLH3" s="64"/>
      <c r="RLI3" s="64"/>
      <c r="RLJ3" s="64"/>
      <c r="RLK3" s="64"/>
      <c r="RLL3" s="64"/>
      <c r="RLM3" s="64"/>
      <c r="RLN3" s="64"/>
      <c r="RLO3" s="64"/>
      <c r="RLP3" s="64"/>
      <c r="RLQ3" s="64"/>
      <c r="RLR3" s="64"/>
      <c r="RLS3" s="64"/>
      <c r="RLT3" s="64"/>
      <c r="RLU3" s="64"/>
      <c r="RLV3" s="64"/>
      <c r="RLW3" s="64"/>
      <c r="RLX3" s="64"/>
      <c r="RLY3" s="64"/>
      <c r="RLZ3" s="64"/>
      <c r="RMA3" s="64"/>
      <c r="RMB3" s="64"/>
      <c r="RMC3" s="64"/>
      <c r="RMD3" s="64"/>
      <c r="RME3" s="64"/>
      <c r="RMF3" s="64"/>
      <c r="RMG3" s="64"/>
      <c r="RMH3" s="64"/>
      <c r="RMI3" s="64"/>
      <c r="RMJ3" s="64"/>
      <c r="RMK3" s="64"/>
      <c r="RML3" s="64"/>
      <c r="RMM3" s="64"/>
      <c r="RMN3" s="64"/>
      <c r="RMO3" s="64"/>
      <c r="RMP3" s="64"/>
      <c r="RMQ3" s="64"/>
      <c r="RMR3" s="64"/>
      <c r="RMS3" s="64"/>
      <c r="RMT3" s="64"/>
      <c r="RMU3" s="64"/>
      <c r="RMV3" s="64"/>
      <c r="RMW3" s="64"/>
      <c r="RMX3" s="64"/>
      <c r="RMY3" s="64"/>
      <c r="RMZ3" s="64"/>
      <c r="RNA3" s="64"/>
      <c r="RNB3" s="64"/>
      <c r="RNC3" s="64"/>
      <c r="RND3" s="64"/>
      <c r="RNE3" s="64"/>
      <c r="RNF3" s="64"/>
      <c r="RNG3" s="64"/>
      <c r="RNH3" s="64"/>
      <c r="RNI3" s="64"/>
      <c r="RNJ3" s="64"/>
      <c r="RNK3" s="64"/>
      <c r="RNL3" s="64"/>
      <c r="RNM3" s="64"/>
      <c r="RNN3" s="64"/>
      <c r="RNO3" s="64"/>
      <c r="RNP3" s="64"/>
      <c r="RNQ3" s="64"/>
      <c r="RNR3" s="64"/>
      <c r="RNS3" s="64"/>
      <c r="RNT3" s="64"/>
      <c r="RNU3" s="64"/>
      <c r="RNV3" s="64"/>
      <c r="RNW3" s="64"/>
      <c r="RNX3" s="64"/>
      <c r="RNY3" s="64"/>
      <c r="RNZ3" s="64"/>
      <c r="ROA3" s="64"/>
      <c r="ROB3" s="64"/>
      <c r="ROC3" s="64"/>
      <c r="ROD3" s="64"/>
      <c r="ROE3" s="64"/>
      <c r="ROF3" s="64"/>
      <c r="ROG3" s="64"/>
      <c r="ROH3" s="64"/>
      <c r="ROI3" s="64"/>
      <c r="ROJ3" s="64"/>
      <c r="ROK3" s="64"/>
      <c r="ROL3" s="64"/>
      <c r="ROM3" s="64"/>
      <c r="RON3" s="64"/>
      <c r="ROO3" s="64"/>
      <c r="ROP3" s="64"/>
      <c r="ROQ3" s="64"/>
      <c r="ROR3" s="64"/>
      <c r="ROS3" s="64"/>
      <c r="ROT3" s="64"/>
      <c r="ROU3" s="64"/>
      <c r="ROV3" s="64"/>
      <c r="ROW3" s="64"/>
      <c r="ROX3" s="64"/>
      <c r="ROY3" s="64"/>
      <c r="ROZ3" s="64"/>
      <c r="RPA3" s="64"/>
      <c r="RPB3" s="64"/>
      <c r="RPC3" s="64"/>
      <c r="RPD3" s="64"/>
      <c r="RPE3" s="64"/>
      <c r="RPF3" s="64"/>
      <c r="RPG3" s="64"/>
      <c r="RPH3" s="64"/>
      <c r="RPI3" s="64"/>
      <c r="RPJ3" s="64"/>
      <c r="RPK3" s="64"/>
      <c r="RPL3" s="64"/>
      <c r="RPM3" s="64"/>
      <c r="RPN3" s="64"/>
      <c r="RPO3" s="64"/>
      <c r="RPP3" s="64"/>
      <c r="RPQ3" s="64"/>
      <c r="RPR3" s="64"/>
      <c r="RPS3" s="64"/>
      <c r="RPT3" s="64"/>
      <c r="RPU3" s="64"/>
      <c r="RPV3" s="64"/>
      <c r="RPW3" s="64"/>
      <c r="RPX3" s="64"/>
      <c r="RPY3" s="64"/>
      <c r="RPZ3" s="64"/>
      <c r="RQA3" s="64"/>
      <c r="RQB3" s="64"/>
      <c r="RQC3" s="64"/>
      <c r="RQD3" s="64"/>
      <c r="RQE3" s="64"/>
      <c r="RQF3" s="64"/>
      <c r="RQG3" s="64"/>
      <c r="RQH3" s="64"/>
      <c r="RQI3" s="64"/>
      <c r="RQJ3" s="64"/>
      <c r="RQK3" s="64"/>
      <c r="RQL3" s="64"/>
      <c r="RQM3" s="64"/>
      <c r="RQN3" s="64"/>
      <c r="RQO3" s="64"/>
      <c r="RQP3" s="64"/>
      <c r="RQQ3" s="64"/>
      <c r="RQR3" s="64"/>
      <c r="RQS3" s="64"/>
      <c r="RQT3" s="64"/>
      <c r="RQU3" s="64"/>
      <c r="RQV3" s="64"/>
      <c r="RQW3" s="64"/>
      <c r="RQX3" s="64"/>
      <c r="RQY3" s="64"/>
      <c r="RQZ3" s="64"/>
      <c r="RRA3" s="64"/>
      <c r="RRB3" s="64"/>
      <c r="RRC3" s="64"/>
      <c r="RRD3" s="64"/>
      <c r="RRE3" s="64"/>
      <c r="RRF3" s="64"/>
      <c r="RRG3" s="64"/>
      <c r="RRH3" s="64"/>
      <c r="RRI3" s="64"/>
      <c r="RRJ3" s="64"/>
      <c r="RRK3" s="64"/>
      <c r="RRL3" s="64"/>
      <c r="RRM3" s="64"/>
      <c r="RRN3" s="64"/>
      <c r="RRO3" s="64"/>
      <c r="RRP3" s="64"/>
      <c r="RRQ3" s="64"/>
      <c r="RRR3" s="64"/>
      <c r="RRS3" s="64"/>
      <c r="RRT3" s="64"/>
      <c r="RRU3" s="64"/>
      <c r="RRV3" s="64"/>
      <c r="RRW3" s="64"/>
      <c r="RRX3" s="64"/>
      <c r="RRY3" s="64"/>
      <c r="RRZ3" s="64"/>
      <c r="RSA3" s="64"/>
      <c r="RSB3" s="64"/>
      <c r="RSC3" s="64"/>
      <c r="RSD3" s="64"/>
      <c r="RSE3" s="64"/>
      <c r="RSF3" s="64"/>
      <c r="RSG3" s="64"/>
      <c r="RSH3" s="64"/>
      <c r="RSI3" s="64"/>
      <c r="RSJ3" s="64"/>
      <c r="RSK3" s="64"/>
      <c r="RSL3" s="64"/>
      <c r="RSM3" s="64"/>
      <c r="RSN3" s="64"/>
      <c r="RSO3" s="64"/>
      <c r="RSP3" s="64"/>
      <c r="RSQ3" s="64"/>
      <c r="RSR3" s="64"/>
      <c r="RSS3" s="64"/>
      <c r="RST3" s="64"/>
      <c r="RSU3" s="64"/>
      <c r="RSV3" s="64"/>
      <c r="RSW3" s="64"/>
      <c r="RSX3" s="64"/>
      <c r="RSY3" s="64"/>
      <c r="RSZ3" s="64"/>
      <c r="RTA3" s="64"/>
      <c r="RTB3" s="64"/>
      <c r="RTC3" s="64"/>
      <c r="RTD3" s="64"/>
      <c r="RTE3" s="64"/>
      <c r="RTF3" s="64"/>
      <c r="RTG3" s="64"/>
      <c r="RTH3" s="64"/>
      <c r="RTI3" s="64"/>
      <c r="RTJ3" s="64"/>
      <c r="RTK3" s="64"/>
      <c r="RTL3" s="64"/>
      <c r="RTM3" s="64"/>
      <c r="RTN3" s="64"/>
      <c r="RTO3" s="64"/>
      <c r="RTP3" s="64"/>
      <c r="RTQ3" s="64"/>
      <c r="RTR3" s="64"/>
      <c r="RTS3" s="64"/>
      <c r="RTT3" s="64"/>
      <c r="RTU3" s="64"/>
      <c r="RTV3" s="64"/>
      <c r="RTW3" s="64"/>
      <c r="RTX3" s="64"/>
      <c r="RTY3" s="64"/>
      <c r="RTZ3" s="64"/>
      <c r="RUA3" s="64"/>
      <c r="RUB3" s="64"/>
      <c r="RUC3" s="64"/>
      <c r="RUD3" s="64"/>
      <c r="RUE3" s="64"/>
      <c r="RUF3" s="64"/>
      <c r="RUG3" s="64"/>
      <c r="RUH3" s="64"/>
      <c r="RUI3" s="64"/>
      <c r="RUJ3" s="64"/>
      <c r="RUK3" s="64"/>
      <c r="RUL3" s="64"/>
      <c r="RUM3" s="64"/>
      <c r="RUN3" s="64"/>
      <c r="RUO3" s="64"/>
      <c r="RUP3" s="64"/>
      <c r="RUQ3" s="64"/>
      <c r="RUR3" s="64"/>
      <c r="RUS3" s="64"/>
      <c r="RUT3" s="64"/>
      <c r="RUU3" s="64"/>
      <c r="RUV3" s="64"/>
      <c r="RUW3" s="64"/>
      <c r="RUX3" s="64"/>
      <c r="RUY3" s="64"/>
      <c r="RUZ3" s="64"/>
      <c r="RVA3" s="64"/>
      <c r="RVB3" s="64"/>
      <c r="RVC3" s="64"/>
      <c r="RVD3" s="64"/>
      <c r="RVE3" s="64"/>
      <c r="RVF3" s="64"/>
      <c r="RVG3" s="64"/>
      <c r="RVH3" s="64"/>
      <c r="RVI3" s="64"/>
      <c r="RVJ3" s="64"/>
      <c r="RVK3" s="64"/>
      <c r="RVL3" s="64"/>
      <c r="RVM3" s="64"/>
      <c r="RVN3" s="64"/>
      <c r="RVO3" s="64"/>
      <c r="RVP3" s="64"/>
      <c r="RVQ3" s="64"/>
      <c r="RVR3" s="64"/>
      <c r="RVS3" s="64"/>
      <c r="RVT3" s="64"/>
      <c r="RVU3" s="64"/>
      <c r="RVV3" s="64"/>
      <c r="RVW3" s="64"/>
      <c r="RVX3" s="64"/>
      <c r="RVY3" s="64"/>
      <c r="RVZ3" s="64"/>
      <c r="RWA3" s="64"/>
      <c r="RWB3" s="64"/>
      <c r="RWC3" s="64"/>
      <c r="RWD3" s="64"/>
      <c r="RWE3" s="64"/>
      <c r="RWF3" s="64"/>
      <c r="RWG3" s="64"/>
      <c r="RWH3" s="64"/>
      <c r="RWI3" s="64"/>
      <c r="RWJ3" s="64"/>
      <c r="RWK3" s="64"/>
      <c r="RWL3" s="64"/>
      <c r="RWM3" s="64"/>
      <c r="RWN3" s="64"/>
      <c r="RWO3" s="64"/>
      <c r="RWP3" s="64"/>
      <c r="RWQ3" s="64"/>
      <c r="RWR3" s="64"/>
      <c r="RWS3" s="64"/>
      <c r="RWT3" s="64"/>
      <c r="RWU3" s="64"/>
      <c r="RWV3" s="64"/>
      <c r="RWW3" s="64"/>
      <c r="RWX3" s="64"/>
      <c r="RWY3" s="64"/>
      <c r="RWZ3" s="64"/>
      <c r="RXA3" s="64"/>
      <c r="RXB3" s="64"/>
      <c r="RXC3" s="64"/>
      <c r="RXD3" s="64"/>
      <c r="RXE3" s="64"/>
      <c r="RXF3" s="64"/>
      <c r="RXG3" s="64"/>
      <c r="RXH3" s="64"/>
      <c r="RXI3" s="64"/>
      <c r="RXJ3" s="64"/>
      <c r="RXK3" s="64"/>
      <c r="RXL3" s="64"/>
      <c r="RXM3" s="64"/>
      <c r="RXN3" s="64"/>
      <c r="RXO3" s="64"/>
      <c r="RXP3" s="64"/>
      <c r="RXQ3" s="64"/>
      <c r="RXR3" s="64"/>
      <c r="RXS3" s="64"/>
      <c r="RXT3" s="64"/>
      <c r="RXU3" s="64"/>
      <c r="RXV3" s="64"/>
      <c r="RXW3" s="64"/>
      <c r="RXX3" s="64"/>
      <c r="RXY3" s="64"/>
      <c r="RXZ3" s="64"/>
      <c r="RYA3" s="64"/>
      <c r="RYB3" s="64"/>
      <c r="RYC3" s="64"/>
      <c r="RYD3" s="64"/>
      <c r="RYE3" s="64"/>
      <c r="RYF3" s="64"/>
      <c r="RYG3" s="64"/>
      <c r="RYH3" s="64"/>
      <c r="RYI3" s="64"/>
      <c r="RYJ3" s="64"/>
      <c r="RYK3" s="64"/>
      <c r="RYL3" s="64"/>
      <c r="RYM3" s="64"/>
      <c r="RYN3" s="64"/>
      <c r="RYO3" s="64"/>
      <c r="RYP3" s="64"/>
      <c r="RYQ3" s="64"/>
      <c r="RYR3" s="64"/>
      <c r="RYS3" s="64"/>
      <c r="RYT3" s="64"/>
      <c r="RYU3" s="64"/>
      <c r="RYV3" s="64"/>
      <c r="RYW3" s="64"/>
      <c r="RYX3" s="64"/>
      <c r="RYY3" s="64"/>
      <c r="RYZ3" s="64"/>
      <c r="RZA3" s="64"/>
      <c r="RZB3" s="64"/>
      <c r="RZC3" s="64"/>
      <c r="RZD3" s="64"/>
      <c r="RZE3" s="64"/>
      <c r="RZF3" s="64"/>
      <c r="RZG3" s="64"/>
      <c r="RZH3" s="64"/>
      <c r="RZI3" s="64"/>
      <c r="RZJ3" s="64"/>
      <c r="RZK3" s="64"/>
      <c r="RZL3" s="64"/>
      <c r="RZM3" s="64"/>
      <c r="RZN3" s="64"/>
      <c r="RZO3" s="64"/>
      <c r="RZP3" s="64"/>
      <c r="RZQ3" s="64"/>
      <c r="RZR3" s="64"/>
      <c r="RZS3" s="64"/>
      <c r="RZT3" s="64"/>
      <c r="RZU3" s="64"/>
      <c r="RZV3" s="64"/>
      <c r="RZW3" s="64"/>
      <c r="RZX3" s="64"/>
      <c r="RZY3" s="64"/>
      <c r="RZZ3" s="64"/>
      <c r="SAA3" s="64"/>
      <c r="SAB3" s="64"/>
      <c r="SAC3" s="64"/>
      <c r="SAD3" s="64"/>
      <c r="SAE3" s="64"/>
      <c r="SAF3" s="64"/>
      <c r="SAG3" s="64"/>
      <c r="SAH3" s="64"/>
      <c r="SAI3" s="64"/>
      <c r="SAJ3" s="64"/>
      <c r="SAK3" s="64"/>
      <c r="SAL3" s="64"/>
      <c r="SAM3" s="64"/>
      <c r="SAN3" s="64"/>
      <c r="SAO3" s="64"/>
      <c r="SAP3" s="64"/>
      <c r="SAQ3" s="64"/>
      <c r="SAR3" s="64"/>
      <c r="SAS3" s="64"/>
      <c r="SAT3" s="64"/>
      <c r="SAU3" s="64"/>
      <c r="SAV3" s="64"/>
      <c r="SAW3" s="64"/>
      <c r="SAX3" s="64"/>
      <c r="SAY3" s="64"/>
      <c r="SAZ3" s="64"/>
      <c r="SBA3" s="64"/>
      <c r="SBB3" s="64"/>
      <c r="SBC3" s="64"/>
      <c r="SBD3" s="64"/>
      <c r="SBE3" s="64"/>
      <c r="SBF3" s="64"/>
      <c r="SBG3" s="64"/>
      <c r="SBH3" s="64"/>
      <c r="SBI3" s="64"/>
      <c r="SBJ3" s="64"/>
      <c r="SBK3" s="64"/>
      <c r="SBL3" s="64"/>
      <c r="SBM3" s="64"/>
      <c r="SBN3" s="64"/>
      <c r="SBO3" s="64"/>
      <c r="SBP3" s="64"/>
      <c r="SBQ3" s="64"/>
      <c r="SBR3" s="64"/>
      <c r="SBS3" s="64"/>
      <c r="SBT3" s="64"/>
      <c r="SBU3" s="64"/>
      <c r="SBV3" s="64"/>
      <c r="SBW3" s="64"/>
      <c r="SBX3" s="64"/>
      <c r="SBY3" s="64"/>
      <c r="SBZ3" s="64"/>
      <c r="SCA3" s="64"/>
      <c r="SCB3" s="64"/>
      <c r="SCC3" s="64"/>
      <c r="SCD3" s="64"/>
      <c r="SCE3" s="64"/>
      <c r="SCF3" s="64"/>
      <c r="SCG3" s="64"/>
      <c r="SCH3" s="64"/>
      <c r="SCI3" s="64"/>
      <c r="SCJ3" s="64"/>
      <c r="SCK3" s="64"/>
      <c r="SCL3" s="64"/>
      <c r="SCM3" s="64"/>
      <c r="SCN3" s="64"/>
      <c r="SCO3" s="64"/>
      <c r="SCP3" s="64"/>
      <c r="SCQ3" s="64"/>
      <c r="SCR3" s="64"/>
      <c r="SCS3" s="64"/>
      <c r="SCT3" s="64"/>
      <c r="SCU3" s="64"/>
      <c r="SCV3" s="64"/>
      <c r="SCW3" s="64"/>
      <c r="SCX3" s="64"/>
      <c r="SCY3" s="64"/>
      <c r="SCZ3" s="64"/>
      <c r="SDA3" s="64"/>
      <c r="SDB3" s="64"/>
      <c r="SDC3" s="64"/>
      <c r="SDD3" s="64"/>
      <c r="SDE3" s="64"/>
      <c r="SDF3" s="64"/>
      <c r="SDG3" s="64"/>
      <c r="SDH3" s="64"/>
      <c r="SDI3" s="64"/>
      <c r="SDJ3" s="64"/>
      <c r="SDK3" s="64"/>
      <c r="SDL3" s="64"/>
      <c r="SDM3" s="64"/>
      <c r="SDN3" s="64"/>
      <c r="SDO3" s="64"/>
      <c r="SDP3" s="64"/>
      <c r="SDQ3" s="64"/>
      <c r="SDR3" s="64"/>
      <c r="SDS3" s="64"/>
      <c r="SDT3" s="64"/>
      <c r="SDU3" s="64"/>
      <c r="SDV3" s="64"/>
      <c r="SDW3" s="64"/>
      <c r="SDX3" s="64"/>
      <c r="SDY3" s="64"/>
      <c r="SDZ3" s="64"/>
      <c r="SEA3" s="64"/>
      <c r="SEB3" s="64"/>
      <c r="SEC3" s="64"/>
      <c r="SED3" s="64"/>
      <c r="SEE3" s="64"/>
      <c r="SEF3" s="64"/>
      <c r="SEG3" s="64"/>
      <c r="SEH3" s="64"/>
      <c r="SEI3" s="64"/>
      <c r="SEJ3" s="64"/>
      <c r="SEK3" s="64"/>
      <c r="SEL3" s="64"/>
      <c r="SEM3" s="64"/>
      <c r="SEN3" s="64"/>
      <c r="SEO3" s="64"/>
      <c r="SEP3" s="64"/>
      <c r="SEQ3" s="64"/>
      <c r="SER3" s="64"/>
      <c r="SES3" s="64"/>
      <c r="SET3" s="64"/>
      <c r="SEU3" s="64"/>
      <c r="SEV3" s="64"/>
      <c r="SEW3" s="64"/>
      <c r="SEX3" s="64"/>
      <c r="SEY3" s="64"/>
      <c r="SEZ3" s="64"/>
      <c r="SFA3" s="64"/>
      <c r="SFB3" s="64"/>
      <c r="SFC3" s="64"/>
      <c r="SFD3" s="64"/>
      <c r="SFE3" s="64"/>
      <c r="SFF3" s="64"/>
      <c r="SFG3" s="64"/>
      <c r="SFH3" s="64"/>
      <c r="SFI3" s="64"/>
      <c r="SFJ3" s="64"/>
      <c r="SFK3" s="64"/>
      <c r="SFL3" s="64"/>
      <c r="SFM3" s="64"/>
      <c r="SFN3" s="64"/>
      <c r="SFO3" s="64"/>
      <c r="SFP3" s="64"/>
      <c r="SFQ3" s="64"/>
      <c r="SFR3" s="64"/>
      <c r="SFS3" s="64"/>
      <c r="SFT3" s="64"/>
      <c r="SFU3" s="64"/>
      <c r="SFV3" s="64"/>
      <c r="SFW3" s="64"/>
      <c r="SFX3" s="64"/>
      <c r="SFY3" s="64"/>
      <c r="SFZ3" s="64"/>
      <c r="SGA3" s="64"/>
      <c r="SGB3" s="64"/>
      <c r="SGC3" s="64"/>
      <c r="SGD3" s="64"/>
      <c r="SGE3" s="64"/>
      <c r="SGF3" s="64"/>
      <c r="SGG3" s="64"/>
      <c r="SGH3" s="64"/>
      <c r="SGI3" s="64"/>
      <c r="SGJ3" s="64"/>
      <c r="SGK3" s="64"/>
      <c r="SGL3" s="64"/>
      <c r="SGM3" s="64"/>
      <c r="SGN3" s="64"/>
      <c r="SGO3" s="64"/>
      <c r="SGP3" s="64"/>
      <c r="SGQ3" s="64"/>
      <c r="SGR3" s="64"/>
      <c r="SGS3" s="64"/>
      <c r="SGT3" s="64"/>
      <c r="SGU3" s="64"/>
      <c r="SGV3" s="64"/>
      <c r="SGW3" s="64"/>
      <c r="SGX3" s="64"/>
      <c r="SGY3" s="64"/>
      <c r="SGZ3" s="64"/>
      <c r="SHA3" s="64"/>
      <c r="SHB3" s="64"/>
      <c r="SHC3" s="64"/>
      <c r="SHD3" s="64"/>
      <c r="SHE3" s="64"/>
      <c r="SHF3" s="64"/>
      <c r="SHG3" s="64"/>
      <c r="SHH3" s="64"/>
      <c r="SHI3" s="64"/>
      <c r="SHJ3" s="64"/>
      <c r="SHK3" s="64"/>
      <c r="SHL3" s="64"/>
      <c r="SHM3" s="64"/>
      <c r="SHN3" s="64"/>
      <c r="SHO3" s="64"/>
      <c r="SHP3" s="64"/>
      <c r="SHQ3" s="64"/>
      <c r="SHR3" s="64"/>
      <c r="SHS3" s="64"/>
      <c r="SHT3" s="64"/>
      <c r="SHU3" s="64"/>
      <c r="SHV3" s="64"/>
      <c r="SHW3" s="64"/>
      <c r="SHX3" s="64"/>
      <c r="SHY3" s="64"/>
      <c r="SHZ3" s="64"/>
      <c r="SIA3" s="64"/>
      <c r="SIB3" s="64"/>
      <c r="SIC3" s="64"/>
      <c r="SID3" s="64"/>
      <c r="SIE3" s="64"/>
      <c r="SIF3" s="64"/>
      <c r="SIG3" s="64"/>
      <c r="SIH3" s="64"/>
      <c r="SII3" s="64"/>
      <c r="SIJ3" s="64"/>
      <c r="SIK3" s="64"/>
      <c r="SIL3" s="64"/>
      <c r="SIM3" s="64"/>
      <c r="SIN3" s="64"/>
      <c r="SIO3" s="64"/>
      <c r="SIP3" s="64"/>
      <c r="SIQ3" s="64"/>
      <c r="SIR3" s="64"/>
      <c r="SIS3" s="64"/>
      <c r="SIT3" s="64"/>
      <c r="SIU3" s="64"/>
      <c r="SIV3" s="64"/>
      <c r="SIW3" s="64"/>
      <c r="SIX3" s="64"/>
      <c r="SIY3" s="64"/>
      <c r="SIZ3" s="64"/>
      <c r="SJA3" s="64"/>
      <c r="SJB3" s="64"/>
      <c r="SJC3" s="64"/>
      <c r="SJD3" s="64"/>
      <c r="SJE3" s="64"/>
      <c r="SJF3" s="64"/>
      <c r="SJG3" s="64"/>
      <c r="SJH3" s="64"/>
      <c r="SJI3" s="64"/>
      <c r="SJJ3" s="64"/>
      <c r="SJK3" s="64"/>
      <c r="SJL3" s="64"/>
      <c r="SJM3" s="64"/>
      <c r="SJN3" s="64"/>
      <c r="SJO3" s="64"/>
      <c r="SJP3" s="64"/>
      <c r="SJQ3" s="64"/>
      <c r="SJR3" s="64"/>
      <c r="SJS3" s="64"/>
      <c r="SJT3" s="64"/>
      <c r="SJU3" s="64"/>
      <c r="SJV3" s="64"/>
      <c r="SJW3" s="64"/>
      <c r="SJX3" s="64"/>
      <c r="SJY3" s="64"/>
      <c r="SJZ3" s="64"/>
      <c r="SKA3" s="64"/>
      <c r="SKB3" s="64"/>
      <c r="SKC3" s="64"/>
      <c r="SKD3" s="64"/>
      <c r="SKE3" s="64"/>
      <c r="SKF3" s="64"/>
      <c r="SKG3" s="64"/>
      <c r="SKH3" s="64"/>
      <c r="SKI3" s="64"/>
      <c r="SKJ3" s="64"/>
      <c r="SKK3" s="64"/>
      <c r="SKL3" s="64"/>
      <c r="SKM3" s="64"/>
      <c r="SKN3" s="64"/>
      <c r="SKO3" s="64"/>
      <c r="SKP3" s="64"/>
      <c r="SKQ3" s="64"/>
      <c r="SKR3" s="64"/>
      <c r="SKS3" s="64"/>
      <c r="SKT3" s="64"/>
      <c r="SKU3" s="64"/>
      <c r="SKV3" s="64"/>
      <c r="SKW3" s="64"/>
      <c r="SKX3" s="64"/>
      <c r="SKY3" s="64"/>
      <c r="SKZ3" s="64"/>
      <c r="SLA3" s="64"/>
      <c r="SLB3" s="64"/>
      <c r="SLC3" s="64"/>
      <c r="SLD3" s="64"/>
      <c r="SLE3" s="64"/>
      <c r="SLF3" s="64"/>
      <c r="SLG3" s="64"/>
      <c r="SLH3" s="64"/>
      <c r="SLI3" s="64"/>
      <c r="SLJ3" s="64"/>
      <c r="SLK3" s="64"/>
      <c r="SLL3" s="64"/>
      <c r="SLM3" s="64"/>
      <c r="SLN3" s="64"/>
      <c r="SLO3" s="64"/>
      <c r="SLP3" s="64"/>
      <c r="SLQ3" s="64"/>
      <c r="SLR3" s="64"/>
      <c r="SLS3" s="64"/>
      <c r="SLT3" s="64"/>
      <c r="SLU3" s="64"/>
      <c r="SLV3" s="64"/>
      <c r="SLW3" s="64"/>
      <c r="SLX3" s="64"/>
      <c r="SLY3" s="64"/>
      <c r="SLZ3" s="64"/>
      <c r="SMA3" s="64"/>
      <c r="SMB3" s="64"/>
      <c r="SMC3" s="64"/>
      <c r="SMD3" s="64"/>
      <c r="SME3" s="64"/>
      <c r="SMF3" s="64"/>
      <c r="SMG3" s="64"/>
      <c r="SMH3" s="64"/>
      <c r="SMI3" s="64"/>
      <c r="SMJ3" s="64"/>
      <c r="SMK3" s="64"/>
      <c r="SML3" s="64"/>
      <c r="SMM3" s="64"/>
      <c r="SMN3" s="64"/>
      <c r="SMO3" s="64"/>
      <c r="SMP3" s="64"/>
      <c r="SMQ3" s="64"/>
      <c r="SMR3" s="64"/>
      <c r="SMS3" s="64"/>
      <c r="SMT3" s="64"/>
      <c r="SMU3" s="64"/>
      <c r="SMV3" s="64"/>
      <c r="SMW3" s="64"/>
      <c r="SMX3" s="64"/>
      <c r="SMY3" s="64"/>
      <c r="SMZ3" s="64"/>
      <c r="SNA3" s="64"/>
      <c r="SNB3" s="64"/>
      <c r="SNC3" s="64"/>
      <c r="SND3" s="64"/>
      <c r="SNE3" s="64"/>
      <c r="SNF3" s="64"/>
      <c r="SNG3" s="64"/>
      <c r="SNH3" s="64"/>
      <c r="SNI3" s="64"/>
      <c r="SNJ3" s="64"/>
      <c r="SNK3" s="64"/>
      <c r="SNL3" s="64"/>
      <c r="SNM3" s="64"/>
      <c r="SNN3" s="64"/>
      <c r="SNO3" s="64"/>
      <c r="SNP3" s="64"/>
      <c r="SNQ3" s="64"/>
      <c r="SNR3" s="64"/>
      <c r="SNS3" s="64"/>
      <c r="SNT3" s="64"/>
      <c r="SNU3" s="64"/>
      <c r="SNV3" s="64"/>
      <c r="SNW3" s="64"/>
      <c r="SNX3" s="64"/>
      <c r="SNY3" s="64"/>
      <c r="SNZ3" s="64"/>
      <c r="SOA3" s="64"/>
      <c r="SOB3" s="64"/>
      <c r="SOC3" s="64"/>
      <c r="SOD3" s="64"/>
      <c r="SOE3" s="64"/>
      <c r="SOF3" s="64"/>
      <c r="SOG3" s="64"/>
      <c r="SOH3" s="64"/>
      <c r="SOI3" s="64"/>
      <c r="SOJ3" s="64"/>
      <c r="SOK3" s="64"/>
      <c r="SOL3" s="64"/>
      <c r="SOM3" s="64"/>
      <c r="SON3" s="64"/>
      <c r="SOO3" s="64"/>
      <c r="SOP3" s="64"/>
      <c r="SOQ3" s="64"/>
      <c r="SOR3" s="64"/>
      <c r="SOS3" s="64"/>
      <c r="SOT3" s="64"/>
      <c r="SOU3" s="64"/>
      <c r="SOV3" s="64"/>
      <c r="SOW3" s="64"/>
      <c r="SOX3" s="64"/>
      <c r="SOY3" s="64"/>
      <c r="SOZ3" s="64"/>
      <c r="SPA3" s="64"/>
      <c r="SPB3" s="64"/>
      <c r="SPC3" s="64"/>
      <c r="SPD3" s="64"/>
      <c r="SPE3" s="64"/>
      <c r="SPF3" s="64"/>
      <c r="SPG3" s="64"/>
      <c r="SPH3" s="64"/>
      <c r="SPI3" s="64"/>
      <c r="SPJ3" s="64"/>
      <c r="SPK3" s="64"/>
      <c r="SPL3" s="64"/>
      <c r="SPM3" s="64"/>
      <c r="SPN3" s="64"/>
      <c r="SPO3" s="64"/>
      <c r="SPP3" s="64"/>
      <c r="SPQ3" s="64"/>
      <c r="SPR3" s="64"/>
      <c r="SPS3" s="64"/>
      <c r="SPT3" s="64"/>
      <c r="SPU3" s="64"/>
      <c r="SPV3" s="64"/>
      <c r="SPW3" s="64"/>
      <c r="SPX3" s="64"/>
      <c r="SPY3" s="64"/>
      <c r="SPZ3" s="64"/>
      <c r="SQA3" s="64"/>
      <c r="SQB3" s="64"/>
      <c r="SQC3" s="64"/>
      <c r="SQD3" s="64"/>
      <c r="SQE3" s="64"/>
      <c r="SQF3" s="64"/>
      <c r="SQG3" s="64"/>
      <c r="SQH3" s="64"/>
      <c r="SQI3" s="64"/>
      <c r="SQJ3" s="64"/>
      <c r="SQK3" s="64"/>
      <c r="SQL3" s="64"/>
      <c r="SQM3" s="64"/>
      <c r="SQN3" s="64"/>
      <c r="SQO3" s="64"/>
      <c r="SQP3" s="64"/>
      <c r="SQQ3" s="64"/>
      <c r="SQR3" s="64"/>
      <c r="SQS3" s="64"/>
      <c r="SQT3" s="64"/>
      <c r="SQU3" s="64"/>
      <c r="SQV3" s="64"/>
      <c r="SQW3" s="64"/>
      <c r="SQX3" s="64"/>
      <c r="SQY3" s="64"/>
      <c r="SQZ3" s="64"/>
      <c r="SRA3" s="64"/>
      <c r="SRB3" s="64"/>
      <c r="SRC3" s="64"/>
      <c r="SRD3" s="64"/>
      <c r="SRE3" s="64"/>
      <c r="SRF3" s="64"/>
      <c r="SRG3" s="64"/>
      <c r="SRH3" s="64"/>
      <c r="SRI3" s="64"/>
      <c r="SRJ3" s="64"/>
      <c r="SRK3" s="64"/>
      <c r="SRL3" s="64"/>
      <c r="SRM3" s="64"/>
      <c r="SRN3" s="64"/>
      <c r="SRO3" s="64"/>
      <c r="SRP3" s="64"/>
      <c r="SRQ3" s="64"/>
      <c r="SRR3" s="64"/>
      <c r="SRS3" s="64"/>
      <c r="SRT3" s="64"/>
      <c r="SRU3" s="64"/>
      <c r="SRV3" s="64"/>
      <c r="SRW3" s="64"/>
      <c r="SRX3" s="64"/>
      <c r="SRY3" s="64"/>
      <c r="SRZ3" s="64"/>
      <c r="SSA3" s="64"/>
      <c r="SSB3" s="64"/>
      <c r="SSC3" s="64"/>
      <c r="SSD3" s="64"/>
      <c r="SSE3" s="64"/>
      <c r="SSF3" s="64"/>
      <c r="SSG3" s="64"/>
      <c r="SSH3" s="64"/>
      <c r="SSI3" s="64"/>
      <c r="SSJ3" s="64"/>
      <c r="SSK3" s="64"/>
      <c r="SSL3" s="64"/>
      <c r="SSM3" s="64"/>
      <c r="SSN3" s="64"/>
      <c r="SSO3" s="64"/>
      <c r="SSP3" s="64"/>
      <c r="SSQ3" s="64"/>
      <c r="SSR3" s="64"/>
      <c r="SSS3" s="64"/>
      <c r="SST3" s="64"/>
      <c r="SSU3" s="64"/>
      <c r="SSV3" s="64"/>
      <c r="SSW3" s="64"/>
      <c r="SSX3" s="64"/>
      <c r="SSY3" s="64"/>
      <c r="SSZ3" s="64"/>
      <c r="STA3" s="64"/>
      <c r="STB3" s="64"/>
      <c r="STC3" s="64"/>
      <c r="STD3" s="64"/>
      <c r="STE3" s="64"/>
      <c r="STF3" s="64"/>
      <c r="STG3" s="64"/>
      <c r="STH3" s="64"/>
      <c r="STI3" s="64"/>
      <c r="STJ3" s="64"/>
      <c r="STK3" s="64"/>
      <c r="STL3" s="64"/>
      <c r="STM3" s="64"/>
      <c r="STN3" s="64"/>
      <c r="STO3" s="64"/>
      <c r="STP3" s="64"/>
      <c r="STQ3" s="64"/>
      <c r="STR3" s="64"/>
      <c r="STS3" s="64"/>
      <c r="STT3" s="64"/>
      <c r="STU3" s="64"/>
      <c r="STV3" s="64"/>
      <c r="STW3" s="64"/>
      <c r="STX3" s="64"/>
      <c r="STY3" s="64"/>
      <c r="STZ3" s="64"/>
      <c r="SUA3" s="64"/>
      <c r="SUB3" s="64"/>
      <c r="SUC3" s="64"/>
      <c r="SUD3" s="64"/>
      <c r="SUE3" s="64"/>
      <c r="SUF3" s="64"/>
      <c r="SUG3" s="64"/>
      <c r="SUH3" s="64"/>
      <c r="SUI3" s="64"/>
      <c r="SUJ3" s="64"/>
      <c r="SUK3" s="64"/>
      <c r="SUL3" s="64"/>
      <c r="SUM3" s="64"/>
      <c r="SUN3" s="64"/>
      <c r="SUO3" s="64"/>
      <c r="SUP3" s="64"/>
      <c r="SUQ3" s="64"/>
      <c r="SUR3" s="64"/>
      <c r="SUS3" s="64"/>
      <c r="SUT3" s="64"/>
      <c r="SUU3" s="64"/>
      <c r="SUV3" s="64"/>
      <c r="SUW3" s="64"/>
      <c r="SUX3" s="64"/>
      <c r="SUY3" s="64"/>
      <c r="SUZ3" s="64"/>
      <c r="SVA3" s="64"/>
      <c r="SVB3" s="64"/>
      <c r="SVC3" s="64"/>
      <c r="SVD3" s="64"/>
      <c r="SVE3" s="64"/>
      <c r="SVF3" s="64"/>
      <c r="SVG3" s="64"/>
      <c r="SVH3" s="64"/>
      <c r="SVI3" s="64"/>
      <c r="SVJ3" s="64"/>
      <c r="SVK3" s="64"/>
      <c r="SVL3" s="64"/>
      <c r="SVM3" s="64"/>
      <c r="SVN3" s="64"/>
      <c r="SVO3" s="64"/>
      <c r="SVP3" s="64"/>
      <c r="SVQ3" s="64"/>
      <c r="SVR3" s="64"/>
      <c r="SVS3" s="64"/>
      <c r="SVT3" s="64"/>
      <c r="SVU3" s="64"/>
      <c r="SVV3" s="64"/>
      <c r="SVW3" s="64"/>
      <c r="SVX3" s="64"/>
      <c r="SVY3" s="64"/>
      <c r="SVZ3" s="64"/>
      <c r="SWA3" s="64"/>
      <c r="SWB3" s="64"/>
      <c r="SWC3" s="64"/>
      <c r="SWD3" s="64"/>
      <c r="SWE3" s="64"/>
      <c r="SWF3" s="64"/>
      <c r="SWG3" s="64"/>
      <c r="SWH3" s="64"/>
      <c r="SWI3" s="64"/>
      <c r="SWJ3" s="64"/>
      <c r="SWK3" s="64"/>
      <c r="SWL3" s="64"/>
      <c r="SWM3" s="64"/>
      <c r="SWN3" s="64"/>
      <c r="SWO3" s="64"/>
      <c r="SWP3" s="64"/>
      <c r="SWQ3" s="64"/>
      <c r="SWR3" s="64"/>
      <c r="SWS3" s="64"/>
      <c r="SWT3" s="64"/>
      <c r="SWU3" s="64"/>
      <c r="SWV3" s="64"/>
      <c r="SWW3" s="64"/>
      <c r="SWX3" s="64"/>
      <c r="SWY3" s="64"/>
      <c r="SWZ3" s="64"/>
      <c r="SXA3" s="64"/>
      <c r="SXB3" s="64"/>
      <c r="SXC3" s="64"/>
      <c r="SXD3" s="64"/>
      <c r="SXE3" s="64"/>
      <c r="SXF3" s="64"/>
      <c r="SXG3" s="64"/>
      <c r="SXH3" s="64"/>
      <c r="SXI3" s="64"/>
      <c r="SXJ3" s="64"/>
      <c r="SXK3" s="64"/>
      <c r="SXL3" s="64"/>
      <c r="SXM3" s="64"/>
      <c r="SXN3" s="64"/>
      <c r="SXO3" s="64"/>
      <c r="SXP3" s="64"/>
      <c r="SXQ3" s="64"/>
      <c r="SXR3" s="64"/>
      <c r="SXS3" s="64"/>
      <c r="SXT3" s="64"/>
      <c r="SXU3" s="64"/>
      <c r="SXV3" s="64"/>
      <c r="SXW3" s="64"/>
      <c r="SXX3" s="64"/>
      <c r="SXY3" s="64"/>
      <c r="SXZ3" s="64"/>
      <c r="SYA3" s="64"/>
      <c r="SYB3" s="64"/>
      <c r="SYC3" s="64"/>
      <c r="SYD3" s="64"/>
      <c r="SYE3" s="64"/>
      <c r="SYF3" s="64"/>
      <c r="SYG3" s="64"/>
      <c r="SYH3" s="64"/>
      <c r="SYI3" s="64"/>
      <c r="SYJ3" s="64"/>
      <c r="SYK3" s="64"/>
      <c r="SYL3" s="64"/>
      <c r="SYM3" s="64"/>
      <c r="SYN3" s="64"/>
      <c r="SYO3" s="64"/>
      <c r="SYP3" s="64"/>
      <c r="SYQ3" s="64"/>
      <c r="SYR3" s="64"/>
      <c r="SYS3" s="64"/>
      <c r="SYT3" s="64"/>
      <c r="SYU3" s="64"/>
      <c r="SYV3" s="64"/>
      <c r="SYW3" s="64"/>
      <c r="SYX3" s="64"/>
      <c r="SYY3" s="64"/>
      <c r="SYZ3" s="64"/>
      <c r="SZA3" s="64"/>
      <c r="SZB3" s="64"/>
      <c r="SZC3" s="64"/>
      <c r="SZD3" s="64"/>
      <c r="SZE3" s="64"/>
      <c r="SZF3" s="64"/>
      <c r="SZG3" s="64"/>
      <c r="SZH3" s="64"/>
      <c r="SZI3" s="64"/>
      <c r="SZJ3" s="64"/>
      <c r="SZK3" s="64"/>
      <c r="SZL3" s="64"/>
      <c r="SZM3" s="64"/>
      <c r="SZN3" s="64"/>
      <c r="SZO3" s="64"/>
      <c r="SZP3" s="64"/>
      <c r="SZQ3" s="64"/>
      <c r="SZR3" s="64"/>
      <c r="SZS3" s="64"/>
      <c r="SZT3" s="64"/>
      <c r="SZU3" s="64"/>
      <c r="SZV3" s="64"/>
      <c r="SZW3" s="64"/>
      <c r="SZX3" s="64"/>
      <c r="SZY3" s="64"/>
      <c r="SZZ3" s="64"/>
      <c r="TAA3" s="64"/>
      <c r="TAB3" s="64"/>
      <c r="TAC3" s="64"/>
      <c r="TAD3" s="64"/>
      <c r="TAE3" s="64"/>
      <c r="TAF3" s="64"/>
      <c r="TAG3" s="64"/>
      <c r="TAH3" s="64"/>
      <c r="TAI3" s="64"/>
      <c r="TAJ3" s="64"/>
      <c r="TAK3" s="64"/>
      <c r="TAL3" s="64"/>
      <c r="TAM3" s="64"/>
      <c r="TAN3" s="64"/>
      <c r="TAO3" s="64"/>
      <c r="TAP3" s="64"/>
      <c r="TAQ3" s="64"/>
      <c r="TAR3" s="64"/>
      <c r="TAS3" s="64"/>
      <c r="TAT3" s="64"/>
      <c r="TAU3" s="64"/>
      <c r="TAV3" s="64"/>
      <c r="TAW3" s="64"/>
      <c r="TAX3" s="64"/>
      <c r="TAY3" s="64"/>
      <c r="TAZ3" s="64"/>
      <c r="TBA3" s="64"/>
      <c r="TBB3" s="64"/>
      <c r="TBC3" s="64"/>
      <c r="TBD3" s="64"/>
      <c r="TBE3" s="64"/>
      <c r="TBF3" s="64"/>
      <c r="TBG3" s="64"/>
      <c r="TBH3" s="64"/>
      <c r="TBI3" s="64"/>
      <c r="TBJ3" s="64"/>
      <c r="TBK3" s="64"/>
      <c r="TBL3" s="64"/>
      <c r="TBM3" s="64"/>
      <c r="TBN3" s="64"/>
      <c r="TBO3" s="64"/>
      <c r="TBP3" s="64"/>
      <c r="TBQ3" s="64"/>
      <c r="TBR3" s="64"/>
      <c r="TBS3" s="64"/>
      <c r="TBT3" s="64"/>
      <c r="TBU3" s="64"/>
      <c r="TBV3" s="64"/>
      <c r="TBW3" s="64"/>
      <c r="TBX3" s="64"/>
      <c r="TBY3" s="64"/>
      <c r="TBZ3" s="64"/>
      <c r="TCA3" s="64"/>
      <c r="TCB3" s="64"/>
      <c r="TCC3" s="64"/>
      <c r="TCD3" s="64"/>
      <c r="TCE3" s="64"/>
      <c r="TCF3" s="64"/>
      <c r="TCG3" s="64"/>
      <c r="TCH3" s="64"/>
      <c r="TCI3" s="64"/>
      <c r="TCJ3" s="64"/>
      <c r="TCK3" s="64"/>
      <c r="TCL3" s="64"/>
      <c r="TCM3" s="64"/>
      <c r="TCN3" s="64"/>
      <c r="TCO3" s="64"/>
      <c r="TCP3" s="64"/>
      <c r="TCQ3" s="64"/>
      <c r="TCR3" s="64"/>
      <c r="TCS3" s="64"/>
      <c r="TCT3" s="64"/>
      <c r="TCU3" s="64"/>
      <c r="TCV3" s="64"/>
      <c r="TCW3" s="64"/>
      <c r="TCX3" s="64"/>
      <c r="TCY3" s="64"/>
      <c r="TCZ3" s="64"/>
      <c r="TDA3" s="64"/>
      <c r="TDB3" s="64"/>
      <c r="TDC3" s="64"/>
      <c r="TDD3" s="64"/>
      <c r="TDE3" s="64"/>
      <c r="TDF3" s="64"/>
      <c r="TDG3" s="64"/>
      <c r="TDH3" s="64"/>
      <c r="TDI3" s="64"/>
      <c r="TDJ3" s="64"/>
      <c r="TDK3" s="64"/>
      <c r="TDL3" s="64"/>
      <c r="TDM3" s="64"/>
      <c r="TDN3" s="64"/>
      <c r="TDO3" s="64"/>
      <c r="TDP3" s="64"/>
      <c r="TDQ3" s="64"/>
      <c r="TDR3" s="64"/>
      <c r="TDS3" s="64"/>
      <c r="TDT3" s="64"/>
      <c r="TDU3" s="64"/>
      <c r="TDV3" s="64"/>
      <c r="TDW3" s="64"/>
      <c r="TDX3" s="64"/>
      <c r="TDY3" s="64"/>
      <c r="TDZ3" s="64"/>
      <c r="TEA3" s="64"/>
      <c r="TEB3" s="64"/>
      <c r="TEC3" s="64"/>
      <c r="TED3" s="64"/>
      <c r="TEE3" s="64"/>
      <c r="TEF3" s="64"/>
      <c r="TEG3" s="64"/>
      <c r="TEH3" s="64"/>
      <c r="TEI3" s="64"/>
      <c r="TEJ3" s="64"/>
      <c r="TEK3" s="64"/>
      <c r="TEL3" s="64"/>
      <c r="TEM3" s="64"/>
      <c r="TEN3" s="64"/>
      <c r="TEO3" s="64"/>
      <c r="TEP3" s="64"/>
      <c r="TEQ3" s="64"/>
      <c r="TER3" s="64"/>
      <c r="TES3" s="64"/>
      <c r="TET3" s="64"/>
      <c r="TEU3" s="64"/>
      <c r="TEV3" s="64"/>
      <c r="TEW3" s="64"/>
      <c r="TEX3" s="64"/>
      <c r="TEY3" s="64"/>
      <c r="TEZ3" s="64"/>
      <c r="TFA3" s="64"/>
      <c r="TFB3" s="64"/>
      <c r="TFC3" s="64"/>
      <c r="TFD3" s="64"/>
      <c r="TFE3" s="64"/>
      <c r="TFF3" s="64"/>
      <c r="TFG3" s="64"/>
      <c r="TFH3" s="64"/>
      <c r="TFI3" s="64"/>
      <c r="TFJ3" s="64"/>
      <c r="TFK3" s="64"/>
      <c r="TFL3" s="64"/>
      <c r="TFM3" s="64"/>
      <c r="TFN3" s="64"/>
      <c r="TFO3" s="64"/>
      <c r="TFP3" s="64"/>
      <c r="TFQ3" s="64"/>
      <c r="TFR3" s="64"/>
      <c r="TFS3" s="64"/>
      <c r="TFT3" s="64"/>
      <c r="TFU3" s="64"/>
      <c r="TFV3" s="64"/>
      <c r="TFW3" s="64"/>
      <c r="TFX3" s="64"/>
      <c r="TFY3" s="64"/>
      <c r="TFZ3" s="64"/>
      <c r="TGA3" s="64"/>
      <c r="TGB3" s="64"/>
      <c r="TGC3" s="64"/>
      <c r="TGD3" s="64"/>
      <c r="TGE3" s="64"/>
      <c r="TGF3" s="64"/>
      <c r="TGG3" s="64"/>
      <c r="TGH3" s="64"/>
      <c r="TGI3" s="64"/>
      <c r="TGJ3" s="64"/>
      <c r="TGK3" s="64"/>
      <c r="TGL3" s="64"/>
      <c r="TGM3" s="64"/>
      <c r="TGN3" s="64"/>
      <c r="TGO3" s="64"/>
      <c r="TGP3" s="64"/>
      <c r="TGQ3" s="64"/>
      <c r="TGR3" s="64"/>
      <c r="TGS3" s="64"/>
      <c r="TGT3" s="64"/>
      <c r="TGU3" s="64"/>
      <c r="TGV3" s="64"/>
      <c r="TGW3" s="64"/>
      <c r="TGX3" s="64"/>
      <c r="TGY3" s="64"/>
      <c r="TGZ3" s="64"/>
      <c r="THA3" s="64"/>
      <c r="THB3" s="64"/>
      <c r="THC3" s="64"/>
      <c r="THD3" s="64"/>
      <c r="THE3" s="64"/>
      <c r="THF3" s="64"/>
      <c r="THG3" s="64"/>
      <c r="THH3" s="64"/>
      <c r="THI3" s="64"/>
      <c r="THJ3" s="64"/>
      <c r="THK3" s="64"/>
      <c r="THL3" s="64"/>
      <c r="THM3" s="64"/>
      <c r="THN3" s="64"/>
      <c r="THO3" s="64"/>
      <c r="THP3" s="64"/>
      <c r="THQ3" s="64"/>
      <c r="THR3" s="64"/>
      <c r="THS3" s="64"/>
      <c r="THT3" s="64"/>
      <c r="THU3" s="64"/>
      <c r="THV3" s="64"/>
      <c r="THW3" s="64"/>
      <c r="THX3" s="64"/>
      <c r="THY3" s="64"/>
      <c r="THZ3" s="64"/>
      <c r="TIA3" s="64"/>
      <c r="TIB3" s="64"/>
      <c r="TIC3" s="64"/>
      <c r="TID3" s="64"/>
      <c r="TIE3" s="64"/>
      <c r="TIF3" s="64"/>
      <c r="TIG3" s="64"/>
      <c r="TIH3" s="64"/>
      <c r="TII3" s="64"/>
      <c r="TIJ3" s="64"/>
      <c r="TIK3" s="64"/>
      <c r="TIL3" s="64"/>
      <c r="TIM3" s="64"/>
      <c r="TIN3" s="64"/>
      <c r="TIO3" s="64"/>
      <c r="TIP3" s="64"/>
      <c r="TIQ3" s="64"/>
      <c r="TIR3" s="64"/>
      <c r="TIS3" s="64"/>
      <c r="TIT3" s="64"/>
      <c r="TIU3" s="64"/>
      <c r="TIV3" s="64"/>
      <c r="TIW3" s="64"/>
      <c r="TIX3" s="64"/>
      <c r="TIY3" s="64"/>
      <c r="TIZ3" s="64"/>
      <c r="TJA3" s="64"/>
      <c r="TJB3" s="64"/>
      <c r="TJC3" s="64"/>
      <c r="TJD3" s="64"/>
      <c r="TJE3" s="64"/>
      <c r="TJF3" s="64"/>
      <c r="TJG3" s="64"/>
      <c r="TJH3" s="64"/>
      <c r="TJI3" s="64"/>
      <c r="TJJ3" s="64"/>
      <c r="TJK3" s="64"/>
      <c r="TJL3" s="64"/>
      <c r="TJM3" s="64"/>
      <c r="TJN3" s="64"/>
      <c r="TJO3" s="64"/>
      <c r="TJP3" s="64"/>
      <c r="TJQ3" s="64"/>
      <c r="TJR3" s="64"/>
      <c r="TJS3" s="64"/>
      <c r="TJT3" s="64"/>
      <c r="TJU3" s="64"/>
      <c r="TJV3" s="64"/>
      <c r="TJW3" s="64"/>
      <c r="TJX3" s="64"/>
      <c r="TJY3" s="64"/>
      <c r="TJZ3" s="64"/>
      <c r="TKA3" s="64"/>
      <c r="TKB3" s="64"/>
      <c r="TKC3" s="64"/>
      <c r="TKD3" s="64"/>
      <c r="TKE3" s="64"/>
      <c r="TKF3" s="64"/>
      <c r="TKG3" s="64"/>
      <c r="TKH3" s="64"/>
      <c r="TKI3" s="64"/>
      <c r="TKJ3" s="64"/>
      <c r="TKK3" s="64"/>
      <c r="TKL3" s="64"/>
      <c r="TKM3" s="64"/>
      <c r="TKN3" s="64"/>
      <c r="TKO3" s="64"/>
      <c r="TKP3" s="64"/>
      <c r="TKQ3" s="64"/>
      <c r="TKR3" s="64"/>
      <c r="TKS3" s="64"/>
      <c r="TKT3" s="64"/>
      <c r="TKU3" s="64"/>
      <c r="TKV3" s="64"/>
      <c r="TKW3" s="64"/>
      <c r="TKX3" s="64"/>
      <c r="TKY3" s="64"/>
      <c r="TKZ3" s="64"/>
      <c r="TLA3" s="64"/>
      <c r="TLB3" s="64"/>
      <c r="TLC3" s="64"/>
      <c r="TLD3" s="64"/>
      <c r="TLE3" s="64"/>
      <c r="TLF3" s="64"/>
      <c r="TLG3" s="64"/>
      <c r="TLH3" s="64"/>
      <c r="TLI3" s="64"/>
      <c r="TLJ3" s="64"/>
      <c r="TLK3" s="64"/>
      <c r="TLL3" s="64"/>
      <c r="TLM3" s="64"/>
      <c r="TLN3" s="64"/>
      <c r="TLO3" s="64"/>
      <c r="TLP3" s="64"/>
      <c r="TLQ3" s="64"/>
      <c r="TLR3" s="64"/>
      <c r="TLS3" s="64"/>
      <c r="TLT3" s="64"/>
      <c r="TLU3" s="64"/>
      <c r="TLV3" s="64"/>
      <c r="TLW3" s="64"/>
      <c r="TLX3" s="64"/>
      <c r="TLY3" s="64"/>
      <c r="TLZ3" s="64"/>
      <c r="TMA3" s="64"/>
      <c r="TMB3" s="64"/>
      <c r="TMC3" s="64"/>
      <c r="TMD3" s="64"/>
      <c r="TME3" s="64"/>
      <c r="TMF3" s="64"/>
      <c r="TMG3" s="64"/>
      <c r="TMH3" s="64"/>
      <c r="TMI3" s="64"/>
      <c r="TMJ3" s="64"/>
      <c r="TMK3" s="64"/>
      <c r="TML3" s="64"/>
      <c r="TMM3" s="64"/>
      <c r="TMN3" s="64"/>
      <c r="TMO3" s="64"/>
      <c r="TMP3" s="64"/>
      <c r="TMQ3" s="64"/>
      <c r="TMR3" s="64"/>
      <c r="TMS3" s="64"/>
      <c r="TMT3" s="64"/>
      <c r="TMU3" s="64"/>
      <c r="TMV3" s="64"/>
      <c r="TMW3" s="64"/>
      <c r="TMX3" s="64"/>
      <c r="TMY3" s="64"/>
      <c r="TMZ3" s="64"/>
      <c r="TNA3" s="64"/>
      <c r="TNB3" s="64"/>
      <c r="TNC3" s="64"/>
      <c r="TND3" s="64"/>
      <c r="TNE3" s="64"/>
      <c r="TNF3" s="64"/>
      <c r="TNG3" s="64"/>
      <c r="TNH3" s="64"/>
      <c r="TNI3" s="64"/>
      <c r="TNJ3" s="64"/>
      <c r="TNK3" s="64"/>
      <c r="TNL3" s="64"/>
      <c r="TNM3" s="64"/>
      <c r="TNN3" s="64"/>
      <c r="TNO3" s="64"/>
      <c r="TNP3" s="64"/>
      <c r="TNQ3" s="64"/>
      <c r="TNR3" s="64"/>
      <c r="TNS3" s="64"/>
      <c r="TNT3" s="64"/>
      <c r="TNU3" s="64"/>
      <c r="TNV3" s="64"/>
      <c r="TNW3" s="64"/>
      <c r="TNX3" s="64"/>
      <c r="TNY3" s="64"/>
      <c r="TNZ3" s="64"/>
      <c r="TOA3" s="64"/>
      <c r="TOB3" s="64"/>
      <c r="TOC3" s="64"/>
      <c r="TOD3" s="64"/>
      <c r="TOE3" s="64"/>
      <c r="TOF3" s="64"/>
      <c r="TOG3" s="64"/>
      <c r="TOH3" s="64"/>
      <c r="TOI3" s="64"/>
      <c r="TOJ3" s="64"/>
      <c r="TOK3" s="64"/>
      <c r="TOL3" s="64"/>
      <c r="TOM3" s="64"/>
      <c r="TON3" s="64"/>
      <c r="TOO3" s="64"/>
      <c r="TOP3" s="64"/>
      <c r="TOQ3" s="64"/>
      <c r="TOR3" s="64"/>
      <c r="TOS3" s="64"/>
      <c r="TOT3" s="64"/>
      <c r="TOU3" s="64"/>
      <c r="TOV3" s="64"/>
      <c r="TOW3" s="64"/>
      <c r="TOX3" s="64"/>
      <c r="TOY3" s="64"/>
      <c r="TOZ3" s="64"/>
      <c r="TPA3" s="64"/>
      <c r="TPB3" s="64"/>
      <c r="TPC3" s="64"/>
      <c r="TPD3" s="64"/>
      <c r="TPE3" s="64"/>
      <c r="TPF3" s="64"/>
      <c r="TPG3" s="64"/>
      <c r="TPH3" s="64"/>
      <c r="TPI3" s="64"/>
      <c r="TPJ3" s="64"/>
      <c r="TPK3" s="64"/>
      <c r="TPL3" s="64"/>
      <c r="TPM3" s="64"/>
      <c r="TPN3" s="64"/>
      <c r="TPO3" s="64"/>
      <c r="TPP3" s="64"/>
      <c r="TPQ3" s="64"/>
      <c r="TPR3" s="64"/>
      <c r="TPS3" s="64"/>
      <c r="TPT3" s="64"/>
      <c r="TPU3" s="64"/>
      <c r="TPV3" s="64"/>
      <c r="TPW3" s="64"/>
      <c r="TPX3" s="64"/>
      <c r="TPY3" s="64"/>
      <c r="TPZ3" s="64"/>
      <c r="TQA3" s="64"/>
      <c r="TQB3" s="64"/>
      <c r="TQC3" s="64"/>
      <c r="TQD3" s="64"/>
      <c r="TQE3" s="64"/>
      <c r="TQF3" s="64"/>
      <c r="TQG3" s="64"/>
      <c r="TQH3" s="64"/>
      <c r="TQI3" s="64"/>
      <c r="TQJ3" s="64"/>
      <c r="TQK3" s="64"/>
      <c r="TQL3" s="64"/>
      <c r="TQM3" s="64"/>
      <c r="TQN3" s="64"/>
      <c r="TQO3" s="64"/>
      <c r="TQP3" s="64"/>
      <c r="TQQ3" s="64"/>
      <c r="TQR3" s="64"/>
      <c r="TQS3" s="64"/>
      <c r="TQT3" s="64"/>
      <c r="TQU3" s="64"/>
      <c r="TQV3" s="64"/>
      <c r="TQW3" s="64"/>
      <c r="TQX3" s="64"/>
      <c r="TQY3" s="64"/>
      <c r="TQZ3" s="64"/>
      <c r="TRA3" s="64"/>
      <c r="TRB3" s="64"/>
      <c r="TRC3" s="64"/>
      <c r="TRD3" s="64"/>
      <c r="TRE3" s="64"/>
      <c r="TRF3" s="64"/>
      <c r="TRG3" s="64"/>
      <c r="TRH3" s="64"/>
      <c r="TRI3" s="64"/>
      <c r="TRJ3" s="64"/>
      <c r="TRK3" s="64"/>
      <c r="TRL3" s="64"/>
      <c r="TRM3" s="64"/>
      <c r="TRN3" s="64"/>
      <c r="TRO3" s="64"/>
      <c r="TRP3" s="64"/>
      <c r="TRQ3" s="64"/>
      <c r="TRR3" s="64"/>
      <c r="TRS3" s="64"/>
      <c r="TRT3" s="64"/>
      <c r="TRU3" s="64"/>
      <c r="TRV3" s="64"/>
      <c r="TRW3" s="64"/>
      <c r="TRX3" s="64"/>
      <c r="TRY3" s="64"/>
      <c r="TRZ3" s="64"/>
      <c r="TSA3" s="64"/>
      <c r="TSB3" s="64"/>
      <c r="TSC3" s="64"/>
      <c r="TSD3" s="64"/>
      <c r="TSE3" s="64"/>
      <c r="TSF3" s="64"/>
      <c r="TSG3" s="64"/>
      <c r="TSH3" s="64"/>
      <c r="TSI3" s="64"/>
      <c r="TSJ3" s="64"/>
      <c r="TSK3" s="64"/>
      <c r="TSL3" s="64"/>
      <c r="TSM3" s="64"/>
      <c r="TSN3" s="64"/>
      <c r="TSO3" s="64"/>
      <c r="TSP3" s="64"/>
      <c r="TSQ3" s="64"/>
      <c r="TSR3" s="64"/>
      <c r="TSS3" s="64"/>
      <c r="TST3" s="64"/>
      <c r="TSU3" s="64"/>
      <c r="TSV3" s="64"/>
      <c r="TSW3" s="64"/>
      <c r="TSX3" s="64"/>
      <c r="TSY3" s="64"/>
      <c r="TSZ3" s="64"/>
      <c r="TTA3" s="64"/>
      <c r="TTB3" s="64"/>
      <c r="TTC3" s="64"/>
      <c r="TTD3" s="64"/>
      <c r="TTE3" s="64"/>
      <c r="TTF3" s="64"/>
      <c r="TTG3" s="64"/>
      <c r="TTH3" s="64"/>
      <c r="TTI3" s="64"/>
      <c r="TTJ3" s="64"/>
      <c r="TTK3" s="64"/>
      <c r="TTL3" s="64"/>
      <c r="TTM3" s="64"/>
      <c r="TTN3" s="64"/>
      <c r="TTO3" s="64"/>
      <c r="TTP3" s="64"/>
      <c r="TTQ3" s="64"/>
      <c r="TTR3" s="64"/>
      <c r="TTS3" s="64"/>
      <c r="TTT3" s="64"/>
      <c r="TTU3" s="64"/>
      <c r="TTV3" s="64"/>
      <c r="TTW3" s="64"/>
      <c r="TTX3" s="64"/>
      <c r="TTY3" s="64"/>
      <c r="TTZ3" s="64"/>
      <c r="TUA3" s="64"/>
      <c r="TUB3" s="64"/>
      <c r="TUC3" s="64"/>
      <c r="TUD3" s="64"/>
      <c r="TUE3" s="64"/>
      <c r="TUF3" s="64"/>
      <c r="TUG3" s="64"/>
      <c r="TUH3" s="64"/>
      <c r="TUI3" s="64"/>
      <c r="TUJ3" s="64"/>
      <c r="TUK3" s="64"/>
      <c r="TUL3" s="64"/>
      <c r="TUM3" s="64"/>
      <c r="TUN3" s="64"/>
      <c r="TUO3" s="64"/>
      <c r="TUP3" s="64"/>
      <c r="TUQ3" s="64"/>
      <c r="TUR3" s="64"/>
      <c r="TUS3" s="64"/>
      <c r="TUT3" s="64"/>
      <c r="TUU3" s="64"/>
      <c r="TUV3" s="64"/>
      <c r="TUW3" s="64"/>
      <c r="TUX3" s="64"/>
      <c r="TUY3" s="64"/>
      <c r="TUZ3" s="64"/>
      <c r="TVA3" s="64"/>
      <c r="TVB3" s="64"/>
      <c r="TVC3" s="64"/>
      <c r="TVD3" s="64"/>
      <c r="TVE3" s="64"/>
      <c r="TVF3" s="64"/>
      <c r="TVG3" s="64"/>
      <c r="TVH3" s="64"/>
      <c r="TVI3" s="64"/>
      <c r="TVJ3" s="64"/>
      <c r="TVK3" s="64"/>
      <c r="TVL3" s="64"/>
      <c r="TVM3" s="64"/>
      <c r="TVN3" s="64"/>
      <c r="TVO3" s="64"/>
      <c r="TVP3" s="64"/>
      <c r="TVQ3" s="64"/>
      <c r="TVR3" s="64"/>
      <c r="TVS3" s="64"/>
      <c r="TVT3" s="64"/>
      <c r="TVU3" s="64"/>
      <c r="TVV3" s="64"/>
      <c r="TVW3" s="64"/>
      <c r="TVX3" s="64"/>
      <c r="TVY3" s="64"/>
      <c r="TVZ3" s="64"/>
      <c r="TWA3" s="64"/>
      <c r="TWB3" s="64"/>
      <c r="TWC3" s="64"/>
      <c r="TWD3" s="64"/>
      <c r="TWE3" s="64"/>
      <c r="TWF3" s="64"/>
      <c r="TWG3" s="64"/>
      <c r="TWH3" s="64"/>
      <c r="TWI3" s="64"/>
      <c r="TWJ3" s="64"/>
      <c r="TWK3" s="64"/>
      <c r="TWL3" s="64"/>
      <c r="TWM3" s="64"/>
      <c r="TWN3" s="64"/>
      <c r="TWO3" s="64"/>
      <c r="TWP3" s="64"/>
      <c r="TWQ3" s="64"/>
      <c r="TWR3" s="64"/>
      <c r="TWS3" s="64"/>
      <c r="TWT3" s="64"/>
      <c r="TWU3" s="64"/>
      <c r="TWV3" s="64"/>
      <c r="TWW3" s="64"/>
      <c r="TWX3" s="64"/>
      <c r="TWY3" s="64"/>
      <c r="TWZ3" s="64"/>
      <c r="TXA3" s="64"/>
      <c r="TXB3" s="64"/>
      <c r="TXC3" s="64"/>
      <c r="TXD3" s="64"/>
      <c r="TXE3" s="64"/>
      <c r="TXF3" s="64"/>
      <c r="TXG3" s="64"/>
      <c r="TXH3" s="64"/>
      <c r="TXI3" s="64"/>
      <c r="TXJ3" s="64"/>
      <c r="TXK3" s="64"/>
      <c r="TXL3" s="64"/>
      <c r="TXM3" s="64"/>
      <c r="TXN3" s="64"/>
      <c r="TXO3" s="64"/>
      <c r="TXP3" s="64"/>
      <c r="TXQ3" s="64"/>
      <c r="TXR3" s="64"/>
      <c r="TXS3" s="64"/>
      <c r="TXT3" s="64"/>
      <c r="TXU3" s="64"/>
      <c r="TXV3" s="64"/>
      <c r="TXW3" s="64"/>
      <c r="TXX3" s="64"/>
      <c r="TXY3" s="64"/>
      <c r="TXZ3" s="64"/>
      <c r="TYA3" s="64"/>
      <c r="TYB3" s="64"/>
      <c r="TYC3" s="64"/>
      <c r="TYD3" s="64"/>
      <c r="TYE3" s="64"/>
      <c r="TYF3" s="64"/>
      <c r="TYG3" s="64"/>
      <c r="TYH3" s="64"/>
      <c r="TYI3" s="64"/>
      <c r="TYJ3" s="64"/>
      <c r="TYK3" s="64"/>
      <c r="TYL3" s="64"/>
      <c r="TYM3" s="64"/>
      <c r="TYN3" s="64"/>
      <c r="TYO3" s="64"/>
      <c r="TYP3" s="64"/>
      <c r="TYQ3" s="64"/>
      <c r="TYR3" s="64"/>
      <c r="TYS3" s="64"/>
      <c r="TYT3" s="64"/>
      <c r="TYU3" s="64"/>
      <c r="TYV3" s="64"/>
      <c r="TYW3" s="64"/>
      <c r="TYX3" s="64"/>
      <c r="TYY3" s="64"/>
      <c r="TYZ3" s="64"/>
      <c r="TZA3" s="64"/>
      <c r="TZB3" s="64"/>
      <c r="TZC3" s="64"/>
      <c r="TZD3" s="64"/>
      <c r="TZE3" s="64"/>
      <c r="TZF3" s="64"/>
      <c r="TZG3" s="64"/>
      <c r="TZH3" s="64"/>
      <c r="TZI3" s="64"/>
      <c r="TZJ3" s="64"/>
      <c r="TZK3" s="64"/>
      <c r="TZL3" s="64"/>
      <c r="TZM3" s="64"/>
      <c r="TZN3" s="64"/>
      <c r="TZO3" s="64"/>
      <c r="TZP3" s="64"/>
      <c r="TZQ3" s="64"/>
      <c r="TZR3" s="64"/>
      <c r="TZS3" s="64"/>
      <c r="TZT3" s="64"/>
      <c r="TZU3" s="64"/>
      <c r="TZV3" s="64"/>
      <c r="TZW3" s="64"/>
      <c r="TZX3" s="64"/>
      <c r="TZY3" s="64"/>
      <c r="TZZ3" s="64"/>
      <c r="UAA3" s="64"/>
      <c r="UAB3" s="64"/>
      <c r="UAC3" s="64"/>
      <c r="UAD3" s="64"/>
      <c r="UAE3" s="64"/>
      <c r="UAF3" s="64"/>
      <c r="UAG3" s="64"/>
      <c r="UAH3" s="64"/>
      <c r="UAI3" s="64"/>
      <c r="UAJ3" s="64"/>
      <c r="UAK3" s="64"/>
      <c r="UAL3" s="64"/>
      <c r="UAM3" s="64"/>
      <c r="UAN3" s="64"/>
      <c r="UAO3" s="64"/>
      <c r="UAP3" s="64"/>
      <c r="UAQ3" s="64"/>
      <c r="UAR3" s="64"/>
      <c r="UAS3" s="64"/>
      <c r="UAT3" s="64"/>
      <c r="UAU3" s="64"/>
      <c r="UAV3" s="64"/>
      <c r="UAW3" s="64"/>
      <c r="UAX3" s="64"/>
      <c r="UAY3" s="64"/>
      <c r="UAZ3" s="64"/>
      <c r="UBA3" s="64"/>
      <c r="UBB3" s="64"/>
      <c r="UBC3" s="64"/>
      <c r="UBD3" s="64"/>
      <c r="UBE3" s="64"/>
      <c r="UBF3" s="64"/>
      <c r="UBG3" s="64"/>
      <c r="UBH3" s="64"/>
      <c r="UBI3" s="64"/>
      <c r="UBJ3" s="64"/>
      <c r="UBK3" s="64"/>
      <c r="UBL3" s="64"/>
      <c r="UBM3" s="64"/>
      <c r="UBN3" s="64"/>
      <c r="UBO3" s="64"/>
      <c r="UBP3" s="64"/>
      <c r="UBQ3" s="64"/>
      <c r="UBR3" s="64"/>
      <c r="UBS3" s="64"/>
      <c r="UBT3" s="64"/>
      <c r="UBU3" s="64"/>
      <c r="UBV3" s="64"/>
      <c r="UBW3" s="64"/>
      <c r="UBX3" s="64"/>
      <c r="UBY3" s="64"/>
      <c r="UBZ3" s="64"/>
      <c r="UCA3" s="64"/>
      <c r="UCB3" s="64"/>
      <c r="UCC3" s="64"/>
      <c r="UCD3" s="64"/>
      <c r="UCE3" s="64"/>
      <c r="UCF3" s="64"/>
      <c r="UCG3" s="64"/>
      <c r="UCH3" s="64"/>
      <c r="UCI3" s="64"/>
      <c r="UCJ3" s="64"/>
      <c r="UCK3" s="64"/>
      <c r="UCL3" s="64"/>
      <c r="UCM3" s="64"/>
      <c r="UCN3" s="64"/>
      <c r="UCO3" s="64"/>
      <c r="UCP3" s="64"/>
      <c r="UCQ3" s="64"/>
      <c r="UCR3" s="64"/>
      <c r="UCS3" s="64"/>
      <c r="UCT3" s="64"/>
      <c r="UCU3" s="64"/>
      <c r="UCV3" s="64"/>
      <c r="UCW3" s="64"/>
      <c r="UCX3" s="64"/>
      <c r="UCY3" s="64"/>
      <c r="UCZ3" s="64"/>
      <c r="UDA3" s="64"/>
      <c r="UDB3" s="64"/>
      <c r="UDC3" s="64"/>
      <c r="UDD3" s="64"/>
      <c r="UDE3" s="64"/>
      <c r="UDF3" s="64"/>
      <c r="UDG3" s="64"/>
      <c r="UDH3" s="64"/>
      <c r="UDI3" s="64"/>
      <c r="UDJ3" s="64"/>
      <c r="UDK3" s="64"/>
      <c r="UDL3" s="64"/>
      <c r="UDM3" s="64"/>
      <c r="UDN3" s="64"/>
      <c r="UDO3" s="64"/>
      <c r="UDP3" s="64"/>
      <c r="UDQ3" s="64"/>
      <c r="UDR3" s="64"/>
      <c r="UDS3" s="64"/>
      <c r="UDT3" s="64"/>
      <c r="UDU3" s="64"/>
      <c r="UDV3" s="64"/>
      <c r="UDW3" s="64"/>
      <c r="UDX3" s="64"/>
      <c r="UDY3" s="64"/>
      <c r="UDZ3" s="64"/>
      <c r="UEA3" s="64"/>
      <c r="UEB3" s="64"/>
      <c r="UEC3" s="64"/>
      <c r="UED3" s="64"/>
      <c r="UEE3" s="64"/>
      <c r="UEF3" s="64"/>
      <c r="UEG3" s="64"/>
      <c r="UEH3" s="64"/>
      <c r="UEI3" s="64"/>
      <c r="UEJ3" s="64"/>
      <c r="UEK3" s="64"/>
      <c r="UEL3" s="64"/>
      <c r="UEM3" s="64"/>
      <c r="UEN3" s="64"/>
      <c r="UEO3" s="64"/>
      <c r="UEP3" s="64"/>
      <c r="UEQ3" s="64"/>
      <c r="UER3" s="64"/>
      <c r="UES3" s="64"/>
      <c r="UET3" s="64"/>
      <c r="UEU3" s="64"/>
      <c r="UEV3" s="64"/>
      <c r="UEW3" s="64"/>
      <c r="UEX3" s="64"/>
      <c r="UEY3" s="64"/>
      <c r="UEZ3" s="64"/>
      <c r="UFA3" s="64"/>
      <c r="UFB3" s="64"/>
      <c r="UFC3" s="64"/>
      <c r="UFD3" s="64"/>
      <c r="UFE3" s="64"/>
      <c r="UFF3" s="64"/>
      <c r="UFG3" s="64"/>
      <c r="UFH3" s="64"/>
      <c r="UFI3" s="64"/>
      <c r="UFJ3" s="64"/>
      <c r="UFK3" s="64"/>
      <c r="UFL3" s="64"/>
      <c r="UFM3" s="64"/>
      <c r="UFN3" s="64"/>
      <c r="UFO3" s="64"/>
      <c r="UFP3" s="64"/>
      <c r="UFQ3" s="64"/>
      <c r="UFR3" s="64"/>
      <c r="UFS3" s="64"/>
      <c r="UFT3" s="64"/>
      <c r="UFU3" s="64"/>
      <c r="UFV3" s="64"/>
      <c r="UFW3" s="64"/>
      <c r="UFX3" s="64"/>
      <c r="UFY3" s="64"/>
      <c r="UFZ3" s="64"/>
      <c r="UGA3" s="64"/>
      <c r="UGB3" s="64"/>
      <c r="UGC3" s="64"/>
      <c r="UGD3" s="64"/>
      <c r="UGE3" s="64"/>
      <c r="UGF3" s="64"/>
      <c r="UGG3" s="64"/>
      <c r="UGH3" s="64"/>
      <c r="UGI3" s="64"/>
      <c r="UGJ3" s="64"/>
      <c r="UGK3" s="64"/>
      <c r="UGL3" s="64"/>
      <c r="UGM3" s="64"/>
      <c r="UGN3" s="64"/>
      <c r="UGO3" s="64"/>
      <c r="UGP3" s="64"/>
      <c r="UGQ3" s="64"/>
      <c r="UGR3" s="64"/>
      <c r="UGS3" s="64"/>
      <c r="UGT3" s="64"/>
      <c r="UGU3" s="64"/>
      <c r="UGV3" s="64"/>
      <c r="UGW3" s="64"/>
      <c r="UGX3" s="64"/>
      <c r="UGY3" s="64"/>
      <c r="UGZ3" s="64"/>
      <c r="UHA3" s="64"/>
      <c r="UHB3" s="64"/>
      <c r="UHC3" s="64"/>
      <c r="UHD3" s="64"/>
      <c r="UHE3" s="64"/>
      <c r="UHF3" s="64"/>
      <c r="UHG3" s="64"/>
      <c r="UHH3" s="64"/>
      <c r="UHI3" s="64"/>
      <c r="UHJ3" s="64"/>
      <c r="UHK3" s="64"/>
      <c r="UHL3" s="64"/>
      <c r="UHM3" s="64"/>
      <c r="UHN3" s="64"/>
      <c r="UHO3" s="64"/>
      <c r="UHP3" s="64"/>
      <c r="UHQ3" s="64"/>
      <c r="UHR3" s="64"/>
      <c r="UHS3" s="64"/>
      <c r="UHT3" s="64"/>
      <c r="UHU3" s="64"/>
      <c r="UHV3" s="64"/>
      <c r="UHW3" s="64"/>
      <c r="UHX3" s="64"/>
      <c r="UHY3" s="64"/>
      <c r="UHZ3" s="64"/>
      <c r="UIA3" s="64"/>
      <c r="UIB3" s="64"/>
      <c r="UIC3" s="64"/>
      <c r="UID3" s="64"/>
      <c r="UIE3" s="64"/>
      <c r="UIF3" s="64"/>
      <c r="UIG3" s="64"/>
      <c r="UIH3" s="64"/>
      <c r="UII3" s="64"/>
      <c r="UIJ3" s="64"/>
      <c r="UIK3" s="64"/>
      <c r="UIL3" s="64"/>
      <c r="UIM3" s="64"/>
      <c r="UIN3" s="64"/>
      <c r="UIO3" s="64"/>
      <c r="UIP3" s="64"/>
      <c r="UIQ3" s="64"/>
      <c r="UIR3" s="64"/>
      <c r="UIS3" s="64"/>
      <c r="UIT3" s="64"/>
      <c r="UIU3" s="64"/>
      <c r="UIV3" s="64"/>
      <c r="UIW3" s="64"/>
      <c r="UIX3" s="64"/>
      <c r="UIY3" s="64"/>
      <c r="UIZ3" s="64"/>
      <c r="UJA3" s="64"/>
      <c r="UJB3" s="64"/>
      <c r="UJC3" s="64"/>
      <c r="UJD3" s="64"/>
      <c r="UJE3" s="64"/>
      <c r="UJF3" s="64"/>
      <c r="UJG3" s="64"/>
      <c r="UJH3" s="64"/>
      <c r="UJI3" s="64"/>
      <c r="UJJ3" s="64"/>
      <c r="UJK3" s="64"/>
      <c r="UJL3" s="64"/>
      <c r="UJM3" s="64"/>
      <c r="UJN3" s="64"/>
      <c r="UJO3" s="64"/>
      <c r="UJP3" s="64"/>
      <c r="UJQ3" s="64"/>
      <c r="UJR3" s="64"/>
      <c r="UJS3" s="64"/>
      <c r="UJT3" s="64"/>
      <c r="UJU3" s="64"/>
      <c r="UJV3" s="64"/>
      <c r="UJW3" s="64"/>
      <c r="UJX3" s="64"/>
      <c r="UJY3" s="64"/>
      <c r="UJZ3" s="64"/>
      <c r="UKA3" s="64"/>
      <c r="UKB3" s="64"/>
      <c r="UKC3" s="64"/>
      <c r="UKD3" s="64"/>
      <c r="UKE3" s="64"/>
      <c r="UKF3" s="64"/>
      <c r="UKG3" s="64"/>
      <c r="UKH3" s="64"/>
      <c r="UKI3" s="64"/>
      <c r="UKJ3" s="64"/>
      <c r="UKK3" s="64"/>
      <c r="UKL3" s="64"/>
      <c r="UKM3" s="64"/>
      <c r="UKN3" s="64"/>
      <c r="UKO3" s="64"/>
      <c r="UKP3" s="64"/>
      <c r="UKQ3" s="64"/>
      <c r="UKR3" s="64"/>
      <c r="UKS3" s="64"/>
      <c r="UKT3" s="64"/>
      <c r="UKU3" s="64"/>
      <c r="UKV3" s="64"/>
      <c r="UKW3" s="64"/>
      <c r="UKX3" s="64"/>
      <c r="UKY3" s="64"/>
      <c r="UKZ3" s="64"/>
      <c r="ULA3" s="64"/>
      <c r="ULB3" s="64"/>
      <c r="ULC3" s="64"/>
      <c r="ULD3" s="64"/>
      <c r="ULE3" s="64"/>
      <c r="ULF3" s="64"/>
      <c r="ULG3" s="64"/>
      <c r="ULH3" s="64"/>
      <c r="ULI3" s="64"/>
      <c r="ULJ3" s="64"/>
      <c r="ULK3" s="64"/>
      <c r="ULL3" s="64"/>
      <c r="ULM3" s="64"/>
      <c r="ULN3" s="64"/>
      <c r="ULO3" s="64"/>
      <c r="ULP3" s="64"/>
      <c r="ULQ3" s="64"/>
      <c r="ULR3" s="64"/>
      <c r="ULS3" s="64"/>
      <c r="ULT3" s="64"/>
      <c r="ULU3" s="64"/>
      <c r="ULV3" s="64"/>
      <c r="ULW3" s="64"/>
      <c r="ULX3" s="64"/>
      <c r="ULY3" s="64"/>
      <c r="ULZ3" s="64"/>
      <c r="UMA3" s="64"/>
      <c r="UMB3" s="64"/>
      <c r="UMC3" s="64"/>
      <c r="UMD3" s="64"/>
      <c r="UME3" s="64"/>
      <c r="UMF3" s="64"/>
      <c r="UMG3" s="64"/>
      <c r="UMH3" s="64"/>
      <c r="UMI3" s="64"/>
      <c r="UMJ3" s="64"/>
      <c r="UMK3" s="64"/>
      <c r="UML3" s="64"/>
      <c r="UMM3" s="64"/>
      <c r="UMN3" s="64"/>
      <c r="UMO3" s="64"/>
      <c r="UMP3" s="64"/>
      <c r="UMQ3" s="64"/>
      <c r="UMR3" s="64"/>
      <c r="UMS3" s="64"/>
      <c r="UMT3" s="64"/>
      <c r="UMU3" s="64"/>
      <c r="UMV3" s="64"/>
      <c r="UMW3" s="64"/>
      <c r="UMX3" s="64"/>
      <c r="UMY3" s="64"/>
      <c r="UMZ3" s="64"/>
      <c r="UNA3" s="64"/>
      <c r="UNB3" s="64"/>
      <c r="UNC3" s="64"/>
      <c r="UND3" s="64"/>
      <c r="UNE3" s="64"/>
      <c r="UNF3" s="64"/>
      <c r="UNG3" s="64"/>
      <c r="UNH3" s="64"/>
      <c r="UNI3" s="64"/>
      <c r="UNJ3" s="64"/>
      <c r="UNK3" s="64"/>
      <c r="UNL3" s="64"/>
      <c r="UNM3" s="64"/>
      <c r="UNN3" s="64"/>
      <c r="UNO3" s="64"/>
      <c r="UNP3" s="64"/>
      <c r="UNQ3" s="64"/>
      <c r="UNR3" s="64"/>
      <c r="UNS3" s="64"/>
      <c r="UNT3" s="64"/>
      <c r="UNU3" s="64"/>
      <c r="UNV3" s="64"/>
      <c r="UNW3" s="64"/>
      <c r="UNX3" s="64"/>
      <c r="UNY3" s="64"/>
      <c r="UNZ3" s="64"/>
      <c r="UOA3" s="64"/>
      <c r="UOB3" s="64"/>
      <c r="UOC3" s="64"/>
      <c r="UOD3" s="64"/>
      <c r="UOE3" s="64"/>
      <c r="UOF3" s="64"/>
      <c r="UOG3" s="64"/>
      <c r="UOH3" s="64"/>
      <c r="UOI3" s="64"/>
      <c r="UOJ3" s="64"/>
      <c r="UOK3" s="64"/>
      <c r="UOL3" s="64"/>
      <c r="UOM3" s="64"/>
      <c r="UON3" s="64"/>
      <c r="UOO3" s="64"/>
      <c r="UOP3" s="64"/>
      <c r="UOQ3" s="64"/>
      <c r="UOR3" s="64"/>
      <c r="UOS3" s="64"/>
      <c r="UOT3" s="64"/>
      <c r="UOU3" s="64"/>
      <c r="UOV3" s="64"/>
      <c r="UOW3" s="64"/>
      <c r="UOX3" s="64"/>
      <c r="UOY3" s="64"/>
      <c r="UOZ3" s="64"/>
      <c r="UPA3" s="64"/>
      <c r="UPB3" s="64"/>
      <c r="UPC3" s="64"/>
      <c r="UPD3" s="64"/>
      <c r="UPE3" s="64"/>
      <c r="UPF3" s="64"/>
      <c r="UPG3" s="64"/>
      <c r="UPH3" s="64"/>
      <c r="UPI3" s="64"/>
      <c r="UPJ3" s="64"/>
      <c r="UPK3" s="64"/>
      <c r="UPL3" s="64"/>
      <c r="UPM3" s="64"/>
      <c r="UPN3" s="64"/>
      <c r="UPO3" s="64"/>
      <c r="UPP3" s="64"/>
      <c r="UPQ3" s="64"/>
      <c r="UPR3" s="64"/>
      <c r="UPS3" s="64"/>
      <c r="UPT3" s="64"/>
      <c r="UPU3" s="64"/>
      <c r="UPV3" s="64"/>
      <c r="UPW3" s="64"/>
      <c r="UPX3" s="64"/>
      <c r="UPY3" s="64"/>
      <c r="UPZ3" s="64"/>
      <c r="UQA3" s="64"/>
      <c r="UQB3" s="64"/>
      <c r="UQC3" s="64"/>
      <c r="UQD3" s="64"/>
      <c r="UQE3" s="64"/>
      <c r="UQF3" s="64"/>
      <c r="UQG3" s="64"/>
      <c r="UQH3" s="64"/>
      <c r="UQI3" s="64"/>
      <c r="UQJ3" s="64"/>
      <c r="UQK3" s="64"/>
      <c r="UQL3" s="64"/>
      <c r="UQM3" s="64"/>
      <c r="UQN3" s="64"/>
      <c r="UQO3" s="64"/>
      <c r="UQP3" s="64"/>
      <c r="UQQ3" s="64"/>
      <c r="UQR3" s="64"/>
      <c r="UQS3" s="64"/>
      <c r="UQT3" s="64"/>
      <c r="UQU3" s="64"/>
      <c r="UQV3" s="64"/>
      <c r="UQW3" s="64"/>
      <c r="UQX3" s="64"/>
      <c r="UQY3" s="64"/>
      <c r="UQZ3" s="64"/>
      <c r="URA3" s="64"/>
      <c r="URB3" s="64"/>
      <c r="URC3" s="64"/>
      <c r="URD3" s="64"/>
      <c r="URE3" s="64"/>
      <c r="URF3" s="64"/>
      <c r="URG3" s="64"/>
      <c r="URH3" s="64"/>
      <c r="URI3" s="64"/>
      <c r="URJ3" s="64"/>
      <c r="URK3" s="64"/>
      <c r="URL3" s="64"/>
      <c r="URM3" s="64"/>
      <c r="URN3" s="64"/>
      <c r="URO3" s="64"/>
      <c r="URP3" s="64"/>
      <c r="URQ3" s="64"/>
      <c r="URR3" s="64"/>
      <c r="URS3" s="64"/>
      <c r="URT3" s="64"/>
      <c r="URU3" s="64"/>
      <c r="URV3" s="64"/>
      <c r="URW3" s="64"/>
      <c r="URX3" s="64"/>
      <c r="URY3" s="64"/>
      <c r="URZ3" s="64"/>
      <c r="USA3" s="64"/>
      <c r="USB3" s="64"/>
      <c r="USC3" s="64"/>
      <c r="USD3" s="64"/>
      <c r="USE3" s="64"/>
      <c r="USF3" s="64"/>
      <c r="USG3" s="64"/>
      <c r="USH3" s="64"/>
      <c r="USI3" s="64"/>
      <c r="USJ3" s="64"/>
      <c r="USK3" s="64"/>
      <c r="USL3" s="64"/>
      <c r="USM3" s="64"/>
      <c r="USN3" s="64"/>
      <c r="USO3" s="64"/>
      <c r="USP3" s="64"/>
      <c r="USQ3" s="64"/>
      <c r="USR3" s="64"/>
      <c r="USS3" s="64"/>
      <c r="UST3" s="64"/>
      <c r="USU3" s="64"/>
      <c r="USV3" s="64"/>
      <c r="USW3" s="64"/>
      <c r="USX3" s="64"/>
      <c r="USY3" s="64"/>
      <c r="USZ3" s="64"/>
      <c r="UTA3" s="64"/>
      <c r="UTB3" s="64"/>
      <c r="UTC3" s="64"/>
      <c r="UTD3" s="64"/>
      <c r="UTE3" s="64"/>
      <c r="UTF3" s="64"/>
      <c r="UTG3" s="64"/>
      <c r="UTH3" s="64"/>
      <c r="UTI3" s="64"/>
      <c r="UTJ3" s="64"/>
      <c r="UTK3" s="64"/>
      <c r="UTL3" s="64"/>
      <c r="UTM3" s="64"/>
      <c r="UTN3" s="64"/>
      <c r="UTO3" s="64"/>
      <c r="UTP3" s="64"/>
      <c r="UTQ3" s="64"/>
      <c r="UTR3" s="64"/>
      <c r="UTS3" s="64"/>
      <c r="UTT3" s="64"/>
      <c r="UTU3" s="64"/>
      <c r="UTV3" s="64"/>
      <c r="UTW3" s="64"/>
      <c r="UTX3" s="64"/>
      <c r="UTY3" s="64"/>
      <c r="UTZ3" s="64"/>
      <c r="UUA3" s="64"/>
      <c r="UUB3" s="64"/>
      <c r="UUC3" s="64"/>
      <c r="UUD3" s="64"/>
      <c r="UUE3" s="64"/>
      <c r="UUF3" s="64"/>
      <c r="UUG3" s="64"/>
      <c r="UUH3" s="64"/>
      <c r="UUI3" s="64"/>
      <c r="UUJ3" s="64"/>
      <c r="UUK3" s="64"/>
      <c r="UUL3" s="64"/>
      <c r="UUM3" s="64"/>
      <c r="UUN3" s="64"/>
      <c r="UUO3" s="64"/>
      <c r="UUP3" s="64"/>
      <c r="UUQ3" s="64"/>
      <c r="UUR3" s="64"/>
      <c r="UUS3" s="64"/>
      <c r="UUT3" s="64"/>
      <c r="UUU3" s="64"/>
      <c r="UUV3" s="64"/>
      <c r="UUW3" s="64"/>
      <c r="UUX3" s="64"/>
      <c r="UUY3" s="64"/>
      <c r="UUZ3" s="64"/>
      <c r="UVA3" s="64"/>
      <c r="UVB3" s="64"/>
      <c r="UVC3" s="64"/>
      <c r="UVD3" s="64"/>
      <c r="UVE3" s="64"/>
      <c r="UVF3" s="64"/>
      <c r="UVG3" s="64"/>
      <c r="UVH3" s="64"/>
      <c r="UVI3" s="64"/>
      <c r="UVJ3" s="64"/>
      <c r="UVK3" s="64"/>
      <c r="UVL3" s="64"/>
      <c r="UVM3" s="64"/>
      <c r="UVN3" s="64"/>
      <c r="UVO3" s="64"/>
      <c r="UVP3" s="64"/>
      <c r="UVQ3" s="64"/>
      <c r="UVR3" s="64"/>
      <c r="UVS3" s="64"/>
      <c r="UVT3" s="64"/>
      <c r="UVU3" s="64"/>
      <c r="UVV3" s="64"/>
      <c r="UVW3" s="64"/>
      <c r="UVX3" s="64"/>
      <c r="UVY3" s="64"/>
      <c r="UVZ3" s="64"/>
      <c r="UWA3" s="64"/>
      <c r="UWB3" s="64"/>
      <c r="UWC3" s="64"/>
      <c r="UWD3" s="64"/>
      <c r="UWE3" s="64"/>
      <c r="UWF3" s="64"/>
      <c r="UWG3" s="64"/>
      <c r="UWH3" s="64"/>
      <c r="UWI3" s="64"/>
      <c r="UWJ3" s="64"/>
      <c r="UWK3" s="64"/>
      <c r="UWL3" s="64"/>
      <c r="UWM3" s="64"/>
      <c r="UWN3" s="64"/>
      <c r="UWO3" s="64"/>
      <c r="UWP3" s="64"/>
      <c r="UWQ3" s="64"/>
      <c r="UWR3" s="64"/>
      <c r="UWS3" s="64"/>
      <c r="UWT3" s="64"/>
      <c r="UWU3" s="64"/>
      <c r="UWV3" s="64"/>
      <c r="UWW3" s="64"/>
      <c r="UWX3" s="64"/>
      <c r="UWY3" s="64"/>
      <c r="UWZ3" s="64"/>
      <c r="UXA3" s="64"/>
      <c r="UXB3" s="64"/>
      <c r="UXC3" s="64"/>
      <c r="UXD3" s="64"/>
      <c r="UXE3" s="64"/>
      <c r="UXF3" s="64"/>
      <c r="UXG3" s="64"/>
      <c r="UXH3" s="64"/>
      <c r="UXI3" s="64"/>
      <c r="UXJ3" s="64"/>
      <c r="UXK3" s="64"/>
      <c r="UXL3" s="64"/>
      <c r="UXM3" s="64"/>
      <c r="UXN3" s="64"/>
      <c r="UXO3" s="64"/>
      <c r="UXP3" s="64"/>
      <c r="UXQ3" s="64"/>
      <c r="UXR3" s="64"/>
      <c r="UXS3" s="64"/>
      <c r="UXT3" s="64"/>
      <c r="UXU3" s="64"/>
      <c r="UXV3" s="64"/>
      <c r="UXW3" s="64"/>
      <c r="UXX3" s="64"/>
      <c r="UXY3" s="64"/>
      <c r="UXZ3" s="64"/>
      <c r="UYA3" s="64"/>
      <c r="UYB3" s="64"/>
      <c r="UYC3" s="64"/>
      <c r="UYD3" s="64"/>
      <c r="UYE3" s="64"/>
      <c r="UYF3" s="64"/>
      <c r="UYG3" s="64"/>
      <c r="UYH3" s="64"/>
      <c r="UYI3" s="64"/>
      <c r="UYJ3" s="64"/>
      <c r="UYK3" s="64"/>
      <c r="UYL3" s="64"/>
      <c r="UYM3" s="64"/>
      <c r="UYN3" s="64"/>
      <c r="UYO3" s="64"/>
      <c r="UYP3" s="64"/>
      <c r="UYQ3" s="64"/>
      <c r="UYR3" s="64"/>
      <c r="UYS3" s="64"/>
      <c r="UYT3" s="64"/>
      <c r="UYU3" s="64"/>
      <c r="UYV3" s="64"/>
      <c r="UYW3" s="64"/>
      <c r="UYX3" s="64"/>
      <c r="UYY3" s="64"/>
      <c r="UYZ3" s="64"/>
      <c r="UZA3" s="64"/>
      <c r="UZB3" s="64"/>
      <c r="UZC3" s="64"/>
      <c r="UZD3" s="64"/>
      <c r="UZE3" s="64"/>
      <c r="UZF3" s="64"/>
      <c r="UZG3" s="64"/>
      <c r="UZH3" s="64"/>
      <c r="UZI3" s="64"/>
      <c r="UZJ3" s="64"/>
      <c r="UZK3" s="64"/>
      <c r="UZL3" s="64"/>
      <c r="UZM3" s="64"/>
      <c r="UZN3" s="64"/>
      <c r="UZO3" s="64"/>
      <c r="UZP3" s="64"/>
      <c r="UZQ3" s="64"/>
      <c r="UZR3" s="64"/>
      <c r="UZS3" s="64"/>
      <c r="UZT3" s="64"/>
      <c r="UZU3" s="64"/>
      <c r="UZV3" s="64"/>
      <c r="UZW3" s="64"/>
      <c r="UZX3" s="64"/>
      <c r="UZY3" s="64"/>
      <c r="UZZ3" s="64"/>
      <c r="VAA3" s="64"/>
      <c r="VAB3" s="64"/>
      <c r="VAC3" s="64"/>
      <c r="VAD3" s="64"/>
      <c r="VAE3" s="64"/>
      <c r="VAF3" s="64"/>
      <c r="VAG3" s="64"/>
      <c r="VAH3" s="64"/>
      <c r="VAI3" s="64"/>
      <c r="VAJ3" s="64"/>
      <c r="VAK3" s="64"/>
      <c r="VAL3" s="64"/>
      <c r="VAM3" s="64"/>
      <c r="VAN3" s="64"/>
      <c r="VAO3" s="64"/>
      <c r="VAP3" s="64"/>
      <c r="VAQ3" s="64"/>
      <c r="VAR3" s="64"/>
      <c r="VAS3" s="64"/>
      <c r="VAT3" s="64"/>
      <c r="VAU3" s="64"/>
      <c r="VAV3" s="64"/>
      <c r="VAW3" s="64"/>
      <c r="VAX3" s="64"/>
      <c r="VAY3" s="64"/>
      <c r="VAZ3" s="64"/>
      <c r="VBA3" s="64"/>
      <c r="VBB3" s="64"/>
      <c r="VBC3" s="64"/>
      <c r="VBD3" s="64"/>
      <c r="VBE3" s="64"/>
      <c r="VBF3" s="64"/>
      <c r="VBG3" s="64"/>
      <c r="VBH3" s="64"/>
      <c r="VBI3" s="64"/>
      <c r="VBJ3" s="64"/>
      <c r="VBK3" s="64"/>
      <c r="VBL3" s="64"/>
      <c r="VBM3" s="64"/>
      <c r="VBN3" s="64"/>
      <c r="VBO3" s="64"/>
      <c r="VBP3" s="64"/>
      <c r="VBQ3" s="64"/>
      <c r="VBR3" s="64"/>
      <c r="VBS3" s="64"/>
      <c r="VBT3" s="64"/>
      <c r="VBU3" s="64"/>
      <c r="VBV3" s="64"/>
      <c r="VBW3" s="64"/>
      <c r="VBX3" s="64"/>
      <c r="VBY3" s="64"/>
      <c r="VBZ3" s="64"/>
      <c r="VCA3" s="64"/>
      <c r="VCB3" s="64"/>
      <c r="VCC3" s="64"/>
      <c r="VCD3" s="64"/>
      <c r="VCE3" s="64"/>
      <c r="VCF3" s="64"/>
      <c r="VCG3" s="64"/>
      <c r="VCH3" s="64"/>
      <c r="VCI3" s="64"/>
      <c r="VCJ3" s="64"/>
      <c r="VCK3" s="64"/>
      <c r="VCL3" s="64"/>
      <c r="VCM3" s="64"/>
      <c r="VCN3" s="64"/>
      <c r="VCO3" s="64"/>
      <c r="VCP3" s="64"/>
      <c r="VCQ3" s="64"/>
      <c r="VCR3" s="64"/>
      <c r="VCS3" s="64"/>
      <c r="VCT3" s="64"/>
      <c r="VCU3" s="64"/>
      <c r="VCV3" s="64"/>
      <c r="VCW3" s="64"/>
      <c r="VCX3" s="64"/>
      <c r="VCY3" s="64"/>
      <c r="VCZ3" s="64"/>
      <c r="VDA3" s="64"/>
      <c r="VDB3" s="64"/>
      <c r="VDC3" s="64"/>
      <c r="VDD3" s="64"/>
      <c r="VDE3" s="64"/>
      <c r="VDF3" s="64"/>
      <c r="VDG3" s="64"/>
      <c r="VDH3" s="64"/>
      <c r="VDI3" s="64"/>
      <c r="VDJ3" s="64"/>
      <c r="VDK3" s="64"/>
      <c r="VDL3" s="64"/>
      <c r="VDM3" s="64"/>
      <c r="VDN3" s="64"/>
      <c r="VDO3" s="64"/>
      <c r="VDP3" s="64"/>
      <c r="VDQ3" s="64"/>
      <c r="VDR3" s="64"/>
      <c r="VDS3" s="64"/>
      <c r="VDT3" s="64"/>
      <c r="VDU3" s="64"/>
      <c r="VDV3" s="64"/>
      <c r="VDW3" s="64"/>
      <c r="VDX3" s="64"/>
      <c r="VDY3" s="64"/>
      <c r="VDZ3" s="64"/>
      <c r="VEA3" s="64"/>
      <c r="VEB3" s="64"/>
      <c r="VEC3" s="64"/>
      <c r="VED3" s="64"/>
      <c r="VEE3" s="64"/>
      <c r="VEF3" s="64"/>
      <c r="VEG3" s="64"/>
      <c r="VEH3" s="64"/>
      <c r="VEI3" s="64"/>
      <c r="VEJ3" s="64"/>
      <c r="VEK3" s="64"/>
      <c r="VEL3" s="64"/>
      <c r="VEM3" s="64"/>
      <c r="VEN3" s="64"/>
      <c r="VEO3" s="64"/>
      <c r="VEP3" s="64"/>
      <c r="VEQ3" s="64"/>
      <c r="VER3" s="64"/>
      <c r="VES3" s="64"/>
      <c r="VET3" s="64"/>
      <c r="VEU3" s="64"/>
      <c r="VEV3" s="64"/>
      <c r="VEW3" s="64"/>
      <c r="VEX3" s="64"/>
      <c r="VEY3" s="64"/>
      <c r="VEZ3" s="64"/>
      <c r="VFA3" s="64"/>
      <c r="VFB3" s="64"/>
      <c r="VFC3" s="64"/>
      <c r="VFD3" s="64"/>
      <c r="VFE3" s="64"/>
      <c r="VFF3" s="64"/>
      <c r="VFG3" s="64"/>
      <c r="VFH3" s="64"/>
      <c r="VFI3" s="64"/>
      <c r="VFJ3" s="64"/>
      <c r="VFK3" s="64"/>
      <c r="VFL3" s="64"/>
      <c r="VFM3" s="64"/>
      <c r="VFN3" s="64"/>
      <c r="VFO3" s="64"/>
      <c r="VFP3" s="64"/>
      <c r="VFQ3" s="64"/>
      <c r="VFR3" s="64"/>
      <c r="VFS3" s="64"/>
      <c r="VFT3" s="64"/>
      <c r="VFU3" s="64"/>
      <c r="VFV3" s="64"/>
      <c r="VFW3" s="64"/>
      <c r="VFX3" s="64"/>
      <c r="VFY3" s="64"/>
      <c r="VFZ3" s="64"/>
      <c r="VGA3" s="64"/>
      <c r="VGB3" s="64"/>
      <c r="VGC3" s="64"/>
      <c r="VGD3" s="64"/>
      <c r="VGE3" s="64"/>
      <c r="VGF3" s="64"/>
      <c r="VGG3" s="64"/>
      <c r="VGH3" s="64"/>
      <c r="VGI3" s="64"/>
      <c r="VGJ3" s="64"/>
      <c r="VGK3" s="64"/>
      <c r="VGL3" s="64"/>
      <c r="VGM3" s="64"/>
      <c r="VGN3" s="64"/>
      <c r="VGO3" s="64"/>
      <c r="VGP3" s="64"/>
      <c r="VGQ3" s="64"/>
      <c r="VGR3" s="64"/>
      <c r="VGS3" s="64"/>
      <c r="VGT3" s="64"/>
      <c r="VGU3" s="64"/>
      <c r="VGV3" s="64"/>
      <c r="VGW3" s="64"/>
      <c r="VGX3" s="64"/>
      <c r="VGY3" s="64"/>
      <c r="VGZ3" s="64"/>
      <c r="VHA3" s="64"/>
      <c r="VHB3" s="64"/>
      <c r="VHC3" s="64"/>
      <c r="VHD3" s="64"/>
      <c r="VHE3" s="64"/>
      <c r="VHF3" s="64"/>
      <c r="VHG3" s="64"/>
      <c r="VHH3" s="64"/>
      <c r="VHI3" s="64"/>
      <c r="VHJ3" s="64"/>
      <c r="VHK3" s="64"/>
      <c r="VHL3" s="64"/>
      <c r="VHM3" s="64"/>
      <c r="VHN3" s="64"/>
      <c r="VHO3" s="64"/>
      <c r="VHP3" s="64"/>
      <c r="VHQ3" s="64"/>
      <c r="VHR3" s="64"/>
      <c r="VHS3" s="64"/>
      <c r="VHT3" s="64"/>
      <c r="VHU3" s="64"/>
      <c r="VHV3" s="64"/>
      <c r="VHW3" s="64"/>
      <c r="VHX3" s="64"/>
      <c r="VHY3" s="64"/>
      <c r="VHZ3" s="64"/>
      <c r="VIA3" s="64"/>
      <c r="VIB3" s="64"/>
      <c r="VIC3" s="64"/>
      <c r="VID3" s="64"/>
      <c r="VIE3" s="64"/>
      <c r="VIF3" s="64"/>
      <c r="VIG3" s="64"/>
      <c r="VIH3" s="64"/>
      <c r="VII3" s="64"/>
      <c r="VIJ3" s="64"/>
      <c r="VIK3" s="64"/>
      <c r="VIL3" s="64"/>
      <c r="VIM3" s="64"/>
      <c r="VIN3" s="64"/>
      <c r="VIO3" s="64"/>
      <c r="VIP3" s="64"/>
      <c r="VIQ3" s="64"/>
      <c r="VIR3" s="64"/>
      <c r="VIS3" s="64"/>
      <c r="VIT3" s="64"/>
      <c r="VIU3" s="64"/>
      <c r="VIV3" s="64"/>
      <c r="VIW3" s="64"/>
      <c r="VIX3" s="64"/>
      <c r="VIY3" s="64"/>
      <c r="VIZ3" s="64"/>
      <c r="VJA3" s="64"/>
      <c r="VJB3" s="64"/>
      <c r="VJC3" s="64"/>
      <c r="VJD3" s="64"/>
      <c r="VJE3" s="64"/>
      <c r="VJF3" s="64"/>
      <c r="VJG3" s="64"/>
      <c r="VJH3" s="64"/>
      <c r="VJI3" s="64"/>
      <c r="VJJ3" s="64"/>
      <c r="VJK3" s="64"/>
      <c r="VJL3" s="64"/>
      <c r="VJM3" s="64"/>
      <c r="VJN3" s="64"/>
      <c r="VJO3" s="64"/>
      <c r="VJP3" s="64"/>
      <c r="VJQ3" s="64"/>
      <c r="VJR3" s="64"/>
      <c r="VJS3" s="64"/>
      <c r="VJT3" s="64"/>
      <c r="VJU3" s="64"/>
      <c r="VJV3" s="64"/>
      <c r="VJW3" s="64"/>
      <c r="VJX3" s="64"/>
      <c r="VJY3" s="64"/>
      <c r="VJZ3" s="64"/>
      <c r="VKA3" s="64"/>
      <c r="VKB3" s="64"/>
      <c r="VKC3" s="64"/>
      <c r="VKD3" s="64"/>
      <c r="VKE3" s="64"/>
      <c r="VKF3" s="64"/>
      <c r="VKG3" s="64"/>
      <c r="VKH3" s="64"/>
      <c r="VKI3" s="64"/>
      <c r="VKJ3" s="64"/>
      <c r="VKK3" s="64"/>
      <c r="VKL3" s="64"/>
      <c r="VKM3" s="64"/>
      <c r="VKN3" s="64"/>
      <c r="VKO3" s="64"/>
      <c r="VKP3" s="64"/>
      <c r="VKQ3" s="64"/>
      <c r="VKR3" s="64"/>
      <c r="VKS3" s="64"/>
      <c r="VKT3" s="64"/>
      <c r="VKU3" s="64"/>
      <c r="VKV3" s="64"/>
      <c r="VKW3" s="64"/>
      <c r="VKX3" s="64"/>
      <c r="VKY3" s="64"/>
      <c r="VKZ3" s="64"/>
      <c r="VLA3" s="64"/>
      <c r="VLB3" s="64"/>
      <c r="VLC3" s="64"/>
      <c r="VLD3" s="64"/>
      <c r="VLE3" s="64"/>
      <c r="VLF3" s="64"/>
      <c r="VLG3" s="64"/>
      <c r="VLH3" s="64"/>
      <c r="VLI3" s="64"/>
      <c r="VLJ3" s="64"/>
      <c r="VLK3" s="64"/>
      <c r="VLL3" s="64"/>
      <c r="VLM3" s="64"/>
      <c r="VLN3" s="64"/>
      <c r="VLO3" s="64"/>
      <c r="VLP3" s="64"/>
      <c r="VLQ3" s="64"/>
      <c r="VLR3" s="64"/>
      <c r="VLS3" s="64"/>
      <c r="VLT3" s="64"/>
      <c r="VLU3" s="64"/>
      <c r="VLV3" s="64"/>
      <c r="VLW3" s="64"/>
      <c r="VLX3" s="64"/>
      <c r="VLY3" s="64"/>
      <c r="VLZ3" s="64"/>
      <c r="VMA3" s="64"/>
      <c r="VMB3" s="64"/>
      <c r="VMC3" s="64"/>
      <c r="VMD3" s="64"/>
      <c r="VME3" s="64"/>
      <c r="VMF3" s="64"/>
      <c r="VMG3" s="64"/>
      <c r="VMH3" s="64"/>
      <c r="VMI3" s="64"/>
      <c r="VMJ3" s="64"/>
      <c r="VMK3" s="64"/>
      <c r="VML3" s="64"/>
      <c r="VMM3" s="64"/>
      <c r="VMN3" s="64"/>
      <c r="VMO3" s="64"/>
      <c r="VMP3" s="64"/>
      <c r="VMQ3" s="64"/>
      <c r="VMR3" s="64"/>
      <c r="VMS3" s="64"/>
      <c r="VMT3" s="64"/>
      <c r="VMU3" s="64"/>
      <c r="VMV3" s="64"/>
      <c r="VMW3" s="64"/>
      <c r="VMX3" s="64"/>
      <c r="VMY3" s="64"/>
      <c r="VMZ3" s="64"/>
      <c r="VNA3" s="64"/>
      <c r="VNB3" s="64"/>
      <c r="VNC3" s="64"/>
      <c r="VND3" s="64"/>
      <c r="VNE3" s="64"/>
      <c r="VNF3" s="64"/>
      <c r="VNG3" s="64"/>
      <c r="VNH3" s="64"/>
      <c r="VNI3" s="64"/>
      <c r="VNJ3" s="64"/>
      <c r="VNK3" s="64"/>
      <c r="VNL3" s="64"/>
      <c r="VNM3" s="64"/>
      <c r="VNN3" s="64"/>
      <c r="VNO3" s="64"/>
      <c r="VNP3" s="64"/>
      <c r="VNQ3" s="64"/>
      <c r="VNR3" s="64"/>
      <c r="VNS3" s="64"/>
      <c r="VNT3" s="64"/>
      <c r="VNU3" s="64"/>
      <c r="VNV3" s="64"/>
      <c r="VNW3" s="64"/>
      <c r="VNX3" s="64"/>
      <c r="VNY3" s="64"/>
      <c r="VNZ3" s="64"/>
      <c r="VOA3" s="64"/>
      <c r="VOB3" s="64"/>
      <c r="VOC3" s="64"/>
      <c r="VOD3" s="64"/>
      <c r="VOE3" s="64"/>
      <c r="VOF3" s="64"/>
      <c r="VOG3" s="64"/>
      <c r="VOH3" s="64"/>
      <c r="VOI3" s="64"/>
      <c r="VOJ3" s="64"/>
      <c r="VOK3" s="64"/>
      <c r="VOL3" s="64"/>
      <c r="VOM3" s="64"/>
      <c r="VON3" s="64"/>
      <c r="VOO3" s="64"/>
      <c r="VOP3" s="64"/>
      <c r="VOQ3" s="64"/>
      <c r="VOR3" s="64"/>
      <c r="VOS3" s="64"/>
      <c r="VOT3" s="64"/>
      <c r="VOU3" s="64"/>
      <c r="VOV3" s="64"/>
      <c r="VOW3" s="64"/>
      <c r="VOX3" s="64"/>
      <c r="VOY3" s="64"/>
      <c r="VOZ3" s="64"/>
      <c r="VPA3" s="64"/>
      <c r="VPB3" s="64"/>
      <c r="VPC3" s="64"/>
      <c r="VPD3" s="64"/>
      <c r="VPE3" s="64"/>
      <c r="VPF3" s="64"/>
      <c r="VPG3" s="64"/>
      <c r="VPH3" s="64"/>
      <c r="VPI3" s="64"/>
      <c r="VPJ3" s="64"/>
      <c r="VPK3" s="64"/>
      <c r="VPL3" s="64"/>
      <c r="VPM3" s="64"/>
      <c r="VPN3" s="64"/>
      <c r="VPO3" s="64"/>
      <c r="VPP3" s="64"/>
      <c r="VPQ3" s="64"/>
      <c r="VPR3" s="64"/>
      <c r="VPS3" s="64"/>
      <c r="VPT3" s="64"/>
      <c r="VPU3" s="64"/>
      <c r="VPV3" s="64"/>
      <c r="VPW3" s="64"/>
      <c r="VPX3" s="64"/>
      <c r="VPY3" s="64"/>
      <c r="VPZ3" s="64"/>
      <c r="VQA3" s="64"/>
      <c r="VQB3" s="64"/>
      <c r="VQC3" s="64"/>
      <c r="VQD3" s="64"/>
      <c r="VQE3" s="64"/>
      <c r="VQF3" s="64"/>
      <c r="VQG3" s="64"/>
      <c r="VQH3" s="64"/>
      <c r="VQI3" s="64"/>
      <c r="VQJ3" s="64"/>
      <c r="VQK3" s="64"/>
      <c r="VQL3" s="64"/>
      <c r="VQM3" s="64"/>
      <c r="VQN3" s="64"/>
      <c r="VQO3" s="64"/>
      <c r="VQP3" s="64"/>
      <c r="VQQ3" s="64"/>
      <c r="VQR3" s="64"/>
      <c r="VQS3" s="64"/>
      <c r="VQT3" s="64"/>
      <c r="VQU3" s="64"/>
      <c r="VQV3" s="64"/>
      <c r="VQW3" s="64"/>
      <c r="VQX3" s="64"/>
      <c r="VQY3" s="64"/>
      <c r="VQZ3" s="64"/>
      <c r="VRA3" s="64"/>
      <c r="VRB3" s="64"/>
      <c r="VRC3" s="64"/>
      <c r="VRD3" s="64"/>
      <c r="VRE3" s="64"/>
      <c r="VRF3" s="64"/>
      <c r="VRG3" s="64"/>
      <c r="VRH3" s="64"/>
      <c r="VRI3" s="64"/>
      <c r="VRJ3" s="64"/>
      <c r="VRK3" s="64"/>
      <c r="VRL3" s="64"/>
      <c r="VRM3" s="64"/>
      <c r="VRN3" s="64"/>
      <c r="VRO3" s="64"/>
      <c r="VRP3" s="64"/>
      <c r="VRQ3" s="64"/>
      <c r="VRR3" s="64"/>
      <c r="VRS3" s="64"/>
      <c r="VRT3" s="64"/>
      <c r="VRU3" s="64"/>
      <c r="VRV3" s="64"/>
      <c r="VRW3" s="64"/>
      <c r="VRX3" s="64"/>
      <c r="VRY3" s="64"/>
      <c r="VRZ3" s="64"/>
      <c r="VSA3" s="64"/>
      <c r="VSB3" s="64"/>
      <c r="VSC3" s="64"/>
      <c r="VSD3" s="64"/>
      <c r="VSE3" s="64"/>
      <c r="VSF3" s="64"/>
      <c r="VSG3" s="64"/>
      <c r="VSH3" s="64"/>
      <c r="VSI3" s="64"/>
      <c r="VSJ3" s="64"/>
      <c r="VSK3" s="64"/>
      <c r="VSL3" s="64"/>
      <c r="VSM3" s="64"/>
      <c r="VSN3" s="64"/>
      <c r="VSO3" s="64"/>
      <c r="VSP3" s="64"/>
      <c r="VSQ3" s="64"/>
      <c r="VSR3" s="64"/>
      <c r="VSS3" s="64"/>
      <c r="VST3" s="64"/>
      <c r="VSU3" s="64"/>
      <c r="VSV3" s="64"/>
      <c r="VSW3" s="64"/>
      <c r="VSX3" s="64"/>
      <c r="VSY3" s="64"/>
      <c r="VSZ3" s="64"/>
      <c r="VTA3" s="64"/>
      <c r="VTB3" s="64"/>
      <c r="VTC3" s="64"/>
      <c r="VTD3" s="64"/>
      <c r="VTE3" s="64"/>
      <c r="VTF3" s="64"/>
      <c r="VTG3" s="64"/>
      <c r="VTH3" s="64"/>
      <c r="VTI3" s="64"/>
      <c r="VTJ3" s="64"/>
      <c r="VTK3" s="64"/>
      <c r="VTL3" s="64"/>
      <c r="VTM3" s="64"/>
      <c r="VTN3" s="64"/>
      <c r="VTO3" s="64"/>
      <c r="VTP3" s="64"/>
      <c r="VTQ3" s="64"/>
      <c r="VTR3" s="64"/>
      <c r="VTS3" s="64"/>
      <c r="VTT3" s="64"/>
      <c r="VTU3" s="64"/>
      <c r="VTV3" s="64"/>
      <c r="VTW3" s="64"/>
      <c r="VTX3" s="64"/>
      <c r="VTY3" s="64"/>
      <c r="VTZ3" s="64"/>
      <c r="VUA3" s="64"/>
      <c r="VUB3" s="64"/>
      <c r="VUC3" s="64"/>
      <c r="VUD3" s="64"/>
      <c r="VUE3" s="64"/>
      <c r="VUF3" s="64"/>
      <c r="VUG3" s="64"/>
      <c r="VUH3" s="64"/>
      <c r="VUI3" s="64"/>
      <c r="VUJ3" s="64"/>
      <c r="VUK3" s="64"/>
      <c r="VUL3" s="64"/>
      <c r="VUM3" s="64"/>
      <c r="VUN3" s="64"/>
      <c r="VUO3" s="64"/>
      <c r="VUP3" s="64"/>
      <c r="VUQ3" s="64"/>
      <c r="VUR3" s="64"/>
      <c r="VUS3" s="64"/>
      <c r="VUT3" s="64"/>
      <c r="VUU3" s="64"/>
      <c r="VUV3" s="64"/>
      <c r="VUW3" s="64"/>
      <c r="VUX3" s="64"/>
      <c r="VUY3" s="64"/>
      <c r="VUZ3" s="64"/>
      <c r="VVA3" s="64"/>
      <c r="VVB3" s="64"/>
      <c r="VVC3" s="64"/>
      <c r="VVD3" s="64"/>
      <c r="VVE3" s="64"/>
      <c r="VVF3" s="64"/>
      <c r="VVG3" s="64"/>
      <c r="VVH3" s="64"/>
      <c r="VVI3" s="64"/>
      <c r="VVJ3" s="64"/>
      <c r="VVK3" s="64"/>
      <c r="VVL3" s="64"/>
      <c r="VVM3" s="64"/>
      <c r="VVN3" s="64"/>
      <c r="VVO3" s="64"/>
      <c r="VVP3" s="64"/>
      <c r="VVQ3" s="64"/>
      <c r="VVR3" s="64"/>
      <c r="VVS3" s="64"/>
      <c r="VVT3" s="64"/>
      <c r="VVU3" s="64"/>
      <c r="VVV3" s="64"/>
      <c r="VVW3" s="64"/>
      <c r="VVX3" s="64"/>
      <c r="VVY3" s="64"/>
      <c r="VVZ3" s="64"/>
      <c r="VWA3" s="64"/>
      <c r="VWB3" s="64"/>
      <c r="VWC3" s="64"/>
      <c r="VWD3" s="64"/>
      <c r="VWE3" s="64"/>
      <c r="VWF3" s="64"/>
      <c r="VWG3" s="64"/>
      <c r="VWH3" s="64"/>
      <c r="VWI3" s="64"/>
      <c r="VWJ3" s="64"/>
      <c r="VWK3" s="64"/>
      <c r="VWL3" s="64"/>
      <c r="VWM3" s="64"/>
      <c r="VWN3" s="64"/>
      <c r="VWO3" s="64"/>
      <c r="VWP3" s="64"/>
      <c r="VWQ3" s="64"/>
      <c r="VWR3" s="64"/>
      <c r="VWS3" s="64"/>
      <c r="VWT3" s="64"/>
      <c r="VWU3" s="64"/>
      <c r="VWV3" s="64"/>
      <c r="VWW3" s="64"/>
      <c r="VWX3" s="64"/>
      <c r="VWY3" s="64"/>
      <c r="VWZ3" s="64"/>
      <c r="VXA3" s="64"/>
      <c r="VXB3" s="64"/>
      <c r="VXC3" s="64"/>
      <c r="VXD3" s="64"/>
      <c r="VXE3" s="64"/>
      <c r="VXF3" s="64"/>
      <c r="VXG3" s="64"/>
      <c r="VXH3" s="64"/>
      <c r="VXI3" s="64"/>
      <c r="VXJ3" s="64"/>
      <c r="VXK3" s="64"/>
      <c r="VXL3" s="64"/>
      <c r="VXM3" s="64"/>
      <c r="VXN3" s="64"/>
      <c r="VXO3" s="64"/>
      <c r="VXP3" s="64"/>
      <c r="VXQ3" s="64"/>
      <c r="VXR3" s="64"/>
      <c r="VXS3" s="64"/>
      <c r="VXT3" s="64"/>
      <c r="VXU3" s="64"/>
      <c r="VXV3" s="64"/>
      <c r="VXW3" s="64"/>
      <c r="VXX3" s="64"/>
      <c r="VXY3" s="64"/>
      <c r="VXZ3" s="64"/>
      <c r="VYA3" s="64"/>
      <c r="VYB3" s="64"/>
      <c r="VYC3" s="64"/>
      <c r="VYD3" s="64"/>
      <c r="VYE3" s="64"/>
      <c r="VYF3" s="64"/>
      <c r="VYG3" s="64"/>
      <c r="VYH3" s="64"/>
      <c r="VYI3" s="64"/>
      <c r="VYJ3" s="64"/>
      <c r="VYK3" s="64"/>
      <c r="VYL3" s="64"/>
      <c r="VYM3" s="64"/>
      <c r="VYN3" s="64"/>
      <c r="VYO3" s="64"/>
      <c r="VYP3" s="64"/>
      <c r="VYQ3" s="64"/>
      <c r="VYR3" s="64"/>
      <c r="VYS3" s="64"/>
      <c r="VYT3" s="64"/>
      <c r="VYU3" s="64"/>
      <c r="VYV3" s="64"/>
      <c r="VYW3" s="64"/>
      <c r="VYX3" s="64"/>
      <c r="VYY3" s="64"/>
      <c r="VYZ3" s="64"/>
      <c r="VZA3" s="64"/>
      <c r="VZB3" s="64"/>
      <c r="VZC3" s="64"/>
      <c r="VZD3" s="64"/>
      <c r="VZE3" s="64"/>
      <c r="VZF3" s="64"/>
      <c r="VZG3" s="64"/>
      <c r="VZH3" s="64"/>
      <c r="VZI3" s="64"/>
      <c r="VZJ3" s="64"/>
      <c r="VZK3" s="64"/>
      <c r="VZL3" s="64"/>
      <c r="VZM3" s="64"/>
      <c r="VZN3" s="64"/>
      <c r="VZO3" s="64"/>
      <c r="VZP3" s="64"/>
      <c r="VZQ3" s="64"/>
      <c r="VZR3" s="64"/>
      <c r="VZS3" s="64"/>
      <c r="VZT3" s="64"/>
      <c r="VZU3" s="64"/>
      <c r="VZV3" s="64"/>
      <c r="VZW3" s="64"/>
      <c r="VZX3" s="64"/>
      <c r="VZY3" s="64"/>
      <c r="VZZ3" s="64"/>
      <c r="WAA3" s="64"/>
      <c r="WAB3" s="64"/>
      <c r="WAC3" s="64"/>
      <c r="WAD3" s="64"/>
      <c r="WAE3" s="64"/>
      <c r="WAF3" s="64"/>
      <c r="WAG3" s="64"/>
      <c r="WAH3" s="64"/>
      <c r="WAI3" s="64"/>
      <c r="WAJ3" s="64"/>
      <c r="WAK3" s="64"/>
      <c r="WAL3" s="64"/>
      <c r="WAM3" s="64"/>
      <c r="WAN3" s="64"/>
      <c r="WAO3" s="64"/>
      <c r="WAP3" s="64"/>
      <c r="WAQ3" s="64"/>
      <c r="WAR3" s="64"/>
      <c r="WAS3" s="64"/>
      <c r="WAT3" s="64"/>
      <c r="WAU3" s="64"/>
      <c r="WAV3" s="64"/>
      <c r="WAW3" s="64"/>
      <c r="WAX3" s="64"/>
      <c r="WAY3" s="64"/>
      <c r="WAZ3" s="64"/>
      <c r="WBA3" s="64"/>
      <c r="WBB3" s="64"/>
      <c r="WBC3" s="64"/>
      <c r="WBD3" s="64"/>
      <c r="WBE3" s="64"/>
      <c r="WBF3" s="64"/>
      <c r="WBG3" s="64"/>
      <c r="WBH3" s="64"/>
      <c r="WBI3" s="64"/>
      <c r="WBJ3" s="64"/>
      <c r="WBK3" s="64"/>
      <c r="WBL3" s="64"/>
      <c r="WBM3" s="64"/>
      <c r="WBN3" s="64"/>
      <c r="WBO3" s="64"/>
      <c r="WBP3" s="64"/>
      <c r="WBQ3" s="64"/>
      <c r="WBR3" s="64"/>
      <c r="WBS3" s="64"/>
      <c r="WBT3" s="64"/>
      <c r="WBU3" s="64"/>
      <c r="WBV3" s="64"/>
      <c r="WBW3" s="64"/>
      <c r="WBX3" s="64"/>
      <c r="WBY3" s="64"/>
      <c r="WBZ3" s="64"/>
      <c r="WCA3" s="64"/>
      <c r="WCB3" s="64"/>
      <c r="WCC3" s="64"/>
      <c r="WCD3" s="64"/>
      <c r="WCE3" s="64"/>
      <c r="WCF3" s="64"/>
      <c r="WCG3" s="64"/>
      <c r="WCH3" s="64"/>
      <c r="WCI3" s="64"/>
      <c r="WCJ3" s="64"/>
      <c r="WCK3" s="64"/>
      <c r="WCL3" s="64"/>
      <c r="WCM3" s="64"/>
      <c r="WCN3" s="64"/>
      <c r="WCO3" s="64"/>
      <c r="WCP3" s="64"/>
      <c r="WCQ3" s="64"/>
      <c r="WCR3" s="64"/>
      <c r="WCS3" s="64"/>
      <c r="WCT3" s="64"/>
      <c r="WCU3" s="64"/>
      <c r="WCV3" s="64"/>
      <c r="WCW3" s="64"/>
      <c r="WCX3" s="64"/>
      <c r="WCY3" s="64"/>
      <c r="WCZ3" s="64"/>
      <c r="WDA3" s="64"/>
      <c r="WDB3" s="64"/>
      <c r="WDC3" s="64"/>
      <c r="WDD3" s="64"/>
      <c r="WDE3" s="64"/>
      <c r="WDF3" s="64"/>
      <c r="WDG3" s="64"/>
      <c r="WDH3" s="64"/>
      <c r="WDI3" s="64"/>
      <c r="WDJ3" s="64"/>
      <c r="WDK3" s="64"/>
      <c r="WDL3" s="64"/>
      <c r="WDM3" s="64"/>
      <c r="WDN3" s="64"/>
      <c r="WDO3" s="64"/>
      <c r="WDP3" s="64"/>
      <c r="WDQ3" s="64"/>
      <c r="WDR3" s="64"/>
      <c r="WDS3" s="64"/>
      <c r="WDT3" s="64"/>
      <c r="WDU3" s="64"/>
      <c r="WDV3" s="64"/>
      <c r="WDW3" s="64"/>
      <c r="WDX3" s="64"/>
      <c r="WDY3" s="64"/>
      <c r="WDZ3" s="64"/>
      <c r="WEA3" s="64"/>
      <c r="WEB3" s="64"/>
      <c r="WEC3" s="64"/>
      <c r="WED3" s="64"/>
      <c r="WEE3" s="64"/>
      <c r="WEF3" s="64"/>
      <c r="WEG3" s="64"/>
      <c r="WEH3" s="64"/>
      <c r="WEI3" s="64"/>
      <c r="WEJ3" s="64"/>
      <c r="WEK3" s="64"/>
      <c r="WEL3" s="64"/>
      <c r="WEM3" s="64"/>
      <c r="WEN3" s="64"/>
      <c r="WEO3" s="64"/>
      <c r="WEP3" s="64"/>
      <c r="WEQ3" s="64"/>
      <c r="WER3" s="64"/>
      <c r="WES3" s="64"/>
      <c r="WET3" s="64"/>
      <c r="WEU3" s="64"/>
      <c r="WEV3" s="64"/>
      <c r="WEW3" s="64"/>
      <c r="WEX3" s="64"/>
      <c r="WEY3" s="64"/>
      <c r="WEZ3" s="64"/>
      <c r="WFA3" s="64"/>
      <c r="WFB3" s="64"/>
      <c r="WFC3" s="64"/>
      <c r="WFD3" s="64"/>
      <c r="WFE3" s="64"/>
      <c r="WFF3" s="64"/>
      <c r="WFG3" s="64"/>
      <c r="WFH3" s="64"/>
      <c r="WFI3" s="64"/>
      <c r="WFJ3" s="64"/>
      <c r="WFK3" s="64"/>
      <c r="WFL3" s="64"/>
      <c r="WFM3" s="64"/>
      <c r="WFN3" s="64"/>
      <c r="WFO3" s="64"/>
      <c r="WFP3" s="64"/>
      <c r="WFQ3" s="64"/>
      <c r="WFR3" s="64"/>
      <c r="WFS3" s="64"/>
      <c r="WFT3" s="64"/>
      <c r="WFU3" s="64"/>
      <c r="WFV3" s="64"/>
      <c r="WFW3" s="64"/>
      <c r="WFX3" s="64"/>
      <c r="WFY3" s="64"/>
      <c r="WFZ3" s="64"/>
      <c r="WGA3" s="64"/>
      <c r="WGB3" s="64"/>
      <c r="WGC3" s="64"/>
      <c r="WGD3" s="64"/>
      <c r="WGE3" s="64"/>
      <c r="WGF3" s="64"/>
      <c r="WGG3" s="64"/>
      <c r="WGH3" s="64"/>
      <c r="WGI3" s="64"/>
      <c r="WGJ3" s="64"/>
      <c r="WGK3" s="64"/>
      <c r="WGL3" s="64"/>
      <c r="WGM3" s="64"/>
      <c r="WGN3" s="64"/>
      <c r="WGO3" s="64"/>
      <c r="WGP3" s="64"/>
      <c r="WGQ3" s="64"/>
      <c r="WGR3" s="64"/>
      <c r="WGS3" s="64"/>
      <c r="WGT3" s="64"/>
      <c r="WGU3" s="64"/>
      <c r="WGV3" s="64"/>
      <c r="WGW3" s="64"/>
      <c r="WGX3" s="64"/>
      <c r="WGY3" s="64"/>
      <c r="WGZ3" s="64"/>
      <c r="WHA3" s="64"/>
      <c r="WHB3" s="64"/>
      <c r="WHC3" s="64"/>
      <c r="WHD3" s="64"/>
      <c r="WHE3" s="64"/>
      <c r="WHF3" s="64"/>
      <c r="WHG3" s="64"/>
      <c r="WHH3" s="64"/>
      <c r="WHI3" s="64"/>
      <c r="WHJ3" s="64"/>
      <c r="WHK3" s="64"/>
      <c r="WHL3" s="64"/>
      <c r="WHM3" s="64"/>
      <c r="WHN3" s="64"/>
      <c r="WHO3" s="64"/>
      <c r="WHP3" s="64"/>
      <c r="WHQ3" s="64"/>
      <c r="WHR3" s="64"/>
      <c r="WHS3" s="64"/>
      <c r="WHT3" s="64"/>
      <c r="WHU3" s="64"/>
      <c r="WHV3" s="64"/>
      <c r="WHW3" s="64"/>
      <c r="WHX3" s="64"/>
      <c r="WHY3" s="64"/>
      <c r="WHZ3" s="64"/>
      <c r="WIA3" s="64"/>
      <c r="WIB3" s="64"/>
      <c r="WIC3" s="64"/>
      <c r="WID3" s="64"/>
      <c r="WIE3" s="64"/>
      <c r="WIF3" s="64"/>
      <c r="WIG3" s="64"/>
      <c r="WIH3" s="64"/>
      <c r="WII3" s="64"/>
      <c r="WIJ3" s="64"/>
      <c r="WIK3" s="64"/>
      <c r="WIL3" s="64"/>
      <c r="WIM3" s="64"/>
      <c r="WIN3" s="64"/>
      <c r="WIO3" s="64"/>
      <c r="WIP3" s="64"/>
      <c r="WIQ3" s="64"/>
      <c r="WIR3" s="64"/>
      <c r="WIS3" s="64"/>
      <c r="WIT3" s="64"/>
      <c r="WIU3" s="64"/>
      <c r="WIV3" s="64"/>
      <c r="WIW3" s="64"/>
      <c r="WIX3" s="64"/>
      <c r="WIY3" s="64"/>
      <c r="WIZ3" s="64"/>
      <c r="WJA3" s="64"/>
      <c r="WJB3" s="64"/>
      <c r="WJC3" s="64"/>
      <c r="WJD3" s="64"/>
      <c r="WJE3" s="64"/>
      <c r="WJF3" s="64"/>
      <c r="WJG3" s="64"/>
      <c r="WJH3" s="64"/>
      <c r="WJI3" s="64"/>
      <c r="WJJ3" s="64"/>
      <c r="WJK3" s="64"/>
      <c r="WJL3" s="64"/>
      <c r="WJM3" s="64"/>
      <c r="WJN3" s="64"/>
      <c r="WJO3" s="64"/>
      <c r="WJP3" s="64"/>
      <c r="WJQ3" s="64"/>
      <c r="WJR3" s="64"/>
      <c r="WJS3" s="64"/>
      <c r="WJT3" s="64"/>
      <c r="WJU3" s="64"/>
      <c r="WJV3" s="64"/>
      <c r="WJW3" s="64"/>
      <c r="WJX3" s="64"/>
      <c r="WJY3" s="64"/>
      <c r="WJZ3" s="64"/>
      <c r="WKA3" s="64"/>
      <c r="WKB3" s="64"/>
      <c r="WKC3" s="64"/>
      <c r="WKD3" s="64"/>
      <c r="WKE3" s="64"/>
      <c r="WKF3" s="64"/>
      <c r="WKG3" s="64"/>
      <c r="WKH3" s="64"/>
      <c r="WKI3" s="64"/>
      <c r="WKJ3" s="64"/>
      <c r="WKK3" s="64"/>
      <c r="WKL3" s="64"/>
      <c r="WKM3" s="64"/>
      <c r="WKN3" s="64"/>
      <c r="WKO3" s="64"/>
      <c r="WKP3" s="64"/>
      <c r="WKQ3" s="64"/>
      <c r="WKR3" s="64"/>
      <c r="WKS3" s="64"/>
      <c r="WKT3" s="64"/>
      <c r="WKU3" s="64"/>
      <c r="WKV3" s="64"/>
      <c r="WKW3" s="64"/>
      <c r="WKX3" s="64"/>
      <c r="WKY3" s="64"/>
      <c r="WKZ3" s="64"/>
      <c r="WLA3" s="64"/>
      <c r="WLB3" s="64"/>
      <c r="WLC3" s="64"/>
      <c r="WLD3" s="64"/>
      <c r="WLE3" s="64"/>
      <c r="WLF3" s="64"/>
      <c r="WLG3" s="64"/>
      <c r="WLH3" s="64"/>
      <c r="WLI3" s="64"/>
      <c r="WLJ3" s="64"/>
      <c r="WLK3" s="64"/>
      <c r="WLL3" s="64"/>
      <c r="WLM3" s="64"/>
      <c r="WLN3" s="64"/>
      <c r="WLO3" s="64"/>
      <c r="WLP3" s="64"/>
      <c r="WLQ3" s="64"/>
      <c r="WLR3" s="64"/>
      <c r="WLS3" s="64"/>
      <c r="WLT3" s="64"/>
      <c r="WLU3" s="64"/>
      <c r="WLV3" s="64"/>
      <c r="WLW3" s="64"/>
      <c r="WLX3" s="64"/>
      <c r="WLY3" s="64"/>
      <c r="WLZ3" s="64"/>
      <c r="WMA3" s="64"/>
      <c r="WMB3" s="64"/>
      <c r="WMC3" s="64"/>
      <c r="WMD3" s="64"/>
      <c r="WME3" s="64"/>
      <c r="WMF3" s="64"/>
      <c r="WMG3" s="64"/>
      <c r="WMH3" s="64"/>
      <c r="WMI3" s="64"/>
      <c r="WMJ3" s="64"/>
      <c r="WMK3" s="64"/>
      <c r="WML3" s="64"/>
      <c r="WMM3" s="64"/>
      <c r="WMN3" s="64"/>
      <c r="WMO3" s="64"/>
      <c r="WMP3" s="64"/>
      <c r="WMQ3" s="64"/>
      <c r="WMR3" s="64"/>
      <c r="WMS3" s="64"/>
      <c r="WMT3" s="64"/>
      <c r="WMU3" s="64"/>
      <c r="WMV3" s="64"/>
      <c r="WMW3" s="64"/>
      <c r="WMX3" s="64"/>
      <c r="WMY3" s="64"/>
      <c r="WMZ3" s="64"/>
      <c r="WNA3" s="64"/>
      <c r="WNB3" s="64"/>
      <c r="WNC3" s="64"/>
      <c r="WND3" s="64"/>
      <c r="WNE3" s="64"/>
      <c r="WNF3" s="64"/>
      <c r="WNG3" s="64"/>
      <c r="WNH3" s="64"/>
      <c r="WNI3" s="64"/>
      <c r="WNJ3" s="64"/>
      <c r="WNK3" s="64"/>
      <c r="WNL3" s="64"/>
      <c r="WNM3" s="64"/>
      <c r="WNN3" s="64"/>
      <c r="WNO3" s="64"/>
      <c r="WNP3" s="64"/>
      <c r="WNQ3" s="64"/>
      <c r="WNR3" s="64"/>
      <c r="WNS3" s="64"/>
      <c r="WNT3" s="64"/>
      <c r="WNU3" s="64"/>
      <c r="WNV3" s="64"/>
      <c r="WNW3" s="64"/>
      <c r="WNX3" s="64"/>
      <c r="WNY3" s="64"/>
      <c r="WNZ3" s="64"/>
      <c r="WOA3" s="64"/>
      <c r="WOB3" s="64"/>
      <c r="WOC3" s="64"/>
      <c r="WOD3" s="64"/>
      <c r="WOE3" s="64"/>
      <c r="WOF3" s="64"/>
      <c r="WOG3" s="64"/>
      <c r="WOH3" s="64"/>
      <c r="WOI3" s="64"/>
      <c r="WOJ3" s="64"/>
      <c r="WOK3" s="64"/>
      <c r="WOL3" s="64"/>
      <c r="WOM3" s="64"/>
      <c r="WON3" s="64"/>
      <c r="WOO3" s="64"/>
      <c r="WOP3" s="64"/>
      <c r="WOQ3" s="64"/>
      <c r="WOR3" s="64"/>
      <c r="WOS3" s="64"/>
      <c r="WOT3" s="64"/>
      <c r="WOU3" s="64"/>
      <c r="WOV3" s="64"/>
      <c r="WOW3" s="64"/>
      <c r="WOX3" s="64"/>
      <c r="WOY3" s="64"/>
      <c r="WOZ3" s="64"/>
      <c r="WPA3" s="64"/>
      <c r="WPB3" s="64"/>
      <c r="WPC3" s="64"/>
      <c r="WPD3" s="64"/>
      <c r="WPE3" s="64"/>
      <c r="WPF3" s="64"/>
      <c r="WPG3" s="64"/>
      <c r="WPH3" s="64"/>
      <c r="WPI3" s="64"/>
      <c r="WPJ3" s="64"/>
      <c r="WPK3" s="64"/>
      <c r="WPL3" s="64"/>
      <c r="WPM3" s="64"/>
      <c r="WPN3" s="64"/>
      <c r="WPO3" s="64"/>
      <c r="WPP3" s="64"/>
      <c r="WPQ3" s="64"/>
      <c r="WPR3" s="64"/>
      <c r="WPS3" s="64"/>
      <c r="WPT3" s="64"/>
      <c r="WPU3" s="64"/>
      <c r="WPV3" s="64"/>
      <c r="WPW3" s="64"/>
      <c r="WPX3" s="64"/>
      <c r="WPY3" s="64"/>
      <c r="WPZ3" s="64"/>
      <c r="WQA3" s="64"/>
      <c r="WQB3" s="64"/>
      <c r="WQC3" s="64"/>
      <c r="WQD3" s="64"/>
      <c r="WQE3" s="64"/>
      <c r="WQF3" s="64"/>
      <c r="WQG3" s="64"/>
      <c r="WQH3" s="64"/>
      <c r="WQI3" s="64"/>
      <c r="WQJ3" s="64"/>
      <c r="WQK3" s="64"/>
      <c r="WQL3" s="64"/>
      <c r="WQM3" s="64"/>
      <c r="WQN3" s="64"/>
      <c r="WQO3" s="64"/>
      <c r="WQP3" s="64"/>
      <c r="WQQ3" s="64"/>
      <c r="WQR3" s="64"/>
      <c r="WQS3" s="64"/>
      <c r="WQT3" s="64"/>
      <c r="WQU3" s="64"/>
      <c r="WQV3" s="64"/>
      <c r="WQW3" s="64"/>
      <c r="WQX3" s="64"/>
      <c r="WQY3" s="64"/>
      <c r="WQZ3" s="64"/>
      <c r="WRA3" s="64"/>
      <c r="WRB3" s="64"/>
      <c r="WRC3" s="64"/>
      <c r="WRD3" s="64"/>
      <c r="WRE3" s="64"/>
      <c r="WRF3" s="64"/>
      <c r="WRG3" s="64"/>
      <c r="WRH3" s="64"/>
      <c r="WRI3" s="64"/>
      <c r="WRJ3" s="64"/>
      <c r="WRK3" s="64"/>
      <c r="WRL3" s="64"/>
      <c r="WRM3" s="64"/>
      <c r="WRN3" s="64"/>
      <c r="WRO3" s="64"/>
      <c r="WRP3" s="64"/>
      <c r="WRQ3" s="64"/>
      <c r="WRR3" s="64"/>
      <c r="WRS3" s="64"/>
      <c r="WRT3" s="64"/>
      <c r="WRU3" s="64"/>
      <c r="WRV3" s="64"/>
      <c r="WRW3" s="64"/>
      <c r="WRX3" s="64"/>
      <c r="WRY3" s="64"/>
      <c r="WRZ3" s="64"/>
      <c r="WSA3" s="64"/>
      <c r="WSB3" s="64"/>
      <c r="WSC3" s="64"/>
      <c r="WSD3" s="64"/>
      <c r="WSE3" s="64"/>
      <c r="WSF3" s="64"/>
      <c r="WSG3" s="64"/>
      <c r="WSH3" s="64"/>
      <c r="WSI3" s="64"/>
      <c r="WSJ3" s="64"/>
      <c r="WSK3" s="64"/>
      <c r="WSL3" s="64"/>
      <c r="WSM3" s="64"/>
      <c r="WSN3" s="64"/>
      <c r="WSO3" s="64"/>
      <c r="WSP3" s="64"/>
      <c r="WSQ3" s="64"/>
      <c r="WSR3" s="64"/>
      <c r="WSS3" s="64"/>
      <c r="WST3" s="64"/>
      <c r="WSU3" s="64"/>
      <c r="WSV3" s="64"/>
      <c r="WSW3" s="64"/>
      <c r="WSX3" s="64"/>
      <c r="WSY3" s="64"/>
      <c r="WSZ3" s="64"/>
      <c r="WTA3" s="64"/>
      <c r="WTB3" s="64"/>
      <c r="WTC3" s="64"/>
      <c r="WTD3" s="64"/>
      <c r="WTE3" s="64"/>
      <c r="WTF3" s="64"/>
      <c r="WTG3" s="64"/>
      <c r="WTH3" s="64"/>
      <c r="WTI3" s="64"/>
      <c r="WTJ3" s="64"/>
      <c r="WTK3" s="64"/>
      <c r="WTL3" s="64"/>
      <c r="WTM3" s="64"/>
      <c r="WTN3" s="64"/>
      <c r="WTO3" s="64"/>
      <c r="WTP3" s="64"/>
      <c r="WTQ3" s="64"/>
      <c r="WTR3" s="64"/>
      <c r="WTS3" s="64"/>
      <c r="WTT3" s="64"/>
      <c r="WTU3" s="64"/>
      <c r="WTV3" s="64"/>
      <c r="WTW3" s="64"/>
      <c r="WTX3" s="64"/>
      <c r="WTY3" s="64"/>
      <c r="WTZ3" s="64"/>
      <c r="WUA3" s="64"/>
      <c r="WUB3" s="64"/>
      <c r="WUC3" s="64"/>
      <c r="WUD3" s="64"/>
      <c r="WUE3" s="64"/>
      <c r="WUF3" s="64"/>
      <c r="WUG3" s="64"/>
      <c r="WUH3" s="64"/>
      <c r="WUI3" s="64"/>
      <c r="WUJ3" s="64"/>
      <c r="WUK3" s="64"/>
      <c r="WUL3" s="64"/>
      <c r="WUM3" s="64"/>
      <c r="WUN3" s="64"/>
      <c r="WUO3" s="64"/>
      <c r="WUP3" s="64"/>
      <c r="WUQ3" s="64"/>
      <c r="WUR3" s="64"/>
      <c r="WUS3" s="64"/>
      <c r="WUT3" s="64"/>
      <c r="WUU3" s="64"/>
      <c r="WUV3" s="64"/>
      <c r="WUW3" s="64"/>
      <c r="WUX3" s="64"/>
      <c r="WUY3" s="64"/>
      <c r="WUZ3" s="64"/>
      <c r="WVA3" s="64"/>
      <c r="WVB3" s="64"/>
      <c r="WVC3" s="64"/>
      <c r="WVD3" s="64"/>
      <c r="WVE3" s="64"/>
      <c r="WVF3" s="64"/>
      <c r="WVG3" s="64"/>
      <c r="WVH3" s="64"/>
      <c r="WVI3" s="64"/>
      <c r="WVJ3" s="64"/>
      <c r="WVK3" s="64"/>
      <c r="WVL3" s="64"/>
      <c r="WVM3" s="64"/>
      <c r="WVN3" s="64"/>
      <c r="WVO3" s="64"/>
      <c r="WVP3" s="64"/>
      <c r="WVQ3" s="64"/>
      <c r="WVR3" s="64"/>
      <c r="WVS3" s="64"/>
      <c r="WVT3" s="64"/>
      <c r="WVU3" s="64"/>
      <c r="WVV3" s="64"/>
      <c r="WVW3" s="64"/>
      <c r="WVX3" s="64"/>
      <c r="WVY3" s="64"/>
      <c r="WVZ3" s="64"/>
      <c r="WWA3" s="64"/>
      <c r="WWB3" s="64"/>
      <c r="WWC3" s="64"/>
      <c r="WWD3" s="64"/>
      <c r="WWE3" s="64"/>
      <c r="WWF3" s="64"/>
      <c r="WWG3" s="64"/>
      <c r="WWH3" s="64"/>
      <c r="WWI3" s="64"/>
      <c r="WWJ3" s="64"/>
      <c r="WWK3" s="64"/>
      <c r="WWL3" s="64"/>
      <c r="WWM3" s="64"/>
      <c r="WWN3" s="64"/>
      <c r="WWO3" s="64"/>
      <c r="WWP3" s="64"/>
      <c r="WWQ3" s="64"/>
      <c r="WWR3" s="64"/>
      <c r="WWS3" s="64"/>
      <c r="WWT3" s="64"/>
      <c r="WWU3" s="64"/>
      <c r="WWV3" s="64"/>
      <c r="WWW3" s="64"/>
      <c r="WWX3" s="64"/>
      <c r="WWY3" s="64"/>
      <c r="WWZ3" s="64"/>
      <c r="WXA3" s="64"/>
      <c r="WXB3" s="64"/>
      <c r="WXC3" s="64"/>
      <c r="WXD3" s="64"/>
      <c r="WXE3" s="64"/>
      <c r="WXF3" s="64"/>
      <c r="WXG3" s="64"/>
      <c r="WXH3" s="64"/>
      <c r="WXI3" s="64"/>
      <c r="WXJ3" s="64"/>
      <c r="WXK3" s="64"/>
      <c r="WXL3" s="64"/>
      <c r="WXM3" s="64"/>
      <c r="WXN3" s="64"/>
      <c r="WXO3" s="64"/>
      <c r="WXP3" s="64"/>
      <c r="WXQ3" s="64"/>
      <c r="WXR3" s="64"/>
      <c r="WXS3" s="64"/>
      <c r="WXT3" s="64"/>
      <c r="WXU3" s="64"/>
      <c r="WXV3" s="64"/>
      <c r="WXW3" s="64"/>
      <c r="WXX3" s="64"/>
      <c r="WXY3" s="64"/>
      <c r="WXZ3" s="64"/>
      <c r="WYA3" s="64"/>
      <c r="WYB3" s="64"/>
      <c r="WYC3" s="64"/>
      <c r="WYD3" s="64"/>
      <c r="WYE3" s="64"/>
      <c r="WYF3" s="64"/>
      <c r="WYG3" s="64"/>
      <c r="WYH3" s="64"/>
      <c r="WYI3" s="64"/>
      <c r="WYJ3" s="64"/>
      <c r="WYK3" s="64"/>
      <c r="WYL3" s="64"/>
      <c r="WYM3" s="64"/>
      <c r="WYN3" s="64"/>
      <c r="WYO3" s="64"/>
      <c r="WYP3" s="64"/>
      <c r="WYQ3" s="64"/>
      <c r="WYR3" s="64"/>
      <c r="WYS3" s="64"/>
      <c r="WYT3" s="64"/>
      <c r="WYU3" s="64"/>
      <c r="WYV3" s="64"/>
      <c r="WYW3" s="64"/>
      <c r="WYX3" s="64"/>
      <c r="WYY3" s="64"/>
      <c r="WYZ3" s="64"/>
      <c r="WZA3" s="64"/>
      <c r="WZB3" s="64"/>
      <c r="WZC3" s="64"/>
      <c r="WZD3" s="64"/>
      <c r="WZE3" s="64"/>
      <c r="WZF3" s="64"/>
      <c r="WZG3" s="64"/>
      <c r="WZH3" s="64"/>
      <c r="WZI3" s="64"/>
      <c r="WZJ3" s="64"/>
      <c r="WZK3" s="64"/>
      <c r="WZL3" s="64"/>
      <c r="WZM3" s="64"/>
      <c r="WZN3" s="64"/>
      <c r="WZO3" s="64"/>
      <c r="WZP3" s="64"/>
      <c r="WZQ3" s="64"/>
      <c r="WZR3" s="64"/>
      <c r="WZS3" s="64"/>
      <c r="WZT3" s="64"/>
      <c r="WZU3" s="64"/>
      <c r="WZV3" s="64"/>
      <c r="WZW3" s="64"/>
      <c r="WZX3" s="64"/>
      <c r="WZY3" s="64"/>
      <c r="WZZ3" s="64"/>
      <c r="XAA3" s="64"/>
      <c r="XAB3" s="64"/>
      <c r="XAC3" s="64"/>
      <c r="XAD3" s="64"/>
      <c r="XAE3" s="64"/>
      <c r="XAF3" s="64"/>
      <c r="XAG3" s="64"/>
      <c r="XAH3" s="64"/>
      <c r="XAI3" s="64"/>
      <c r="XAJ3" s="64"/>
      <c r="XAK3" s="64"/>
      <c r="XAL3" s="64"/>
      <c r="XAM3" s="64"/>
      <c r="XAN3" s="64"/>
      <c r="XAO3" s="64"/>
      <c r="XAP3" s="64"/>
      <c r="XAQ3" s="64"/>
      <c r="XAR3" s="64"/>
      <c r="XAS3" s="64"/>
      <c r="XAT3" s="64"/>
      <c r="XAU3" s="64"/>
      <c r="XAV3" s="64"/>
      <c r="XAW3" s="64"/>
      <c r="XAX3" s="64"/>
      <c r="XAY3" s="64"/>
      <c r="XAZ3" s="64"/>
      <c r="XBA3" s="64"/>
      <c r="XBB3" s="64"/>
      <c r="XBC3" s="64"/>
      <c r="XBD3" s="64"/>
      <c r="XBE3" s="64"/>
      <c r="XBF3" s="64"/>
      <c r="XBG3" s="64"/>
      <c r="XBH3" s="64"/>
      <c r="XBI3" s="64"/>
      <c r="XBJ3" s="64"/>
      <c r="XBK3" s="64"/>
      <c r="XBL3" s="64"/>
      <c r="XBM3" s="64"/>
      <c r="XBN3" s="64"/>
      <c r="XBO3" s="64"/>
      <c r="XBP3" s="64"/>
      <c r="XBQ3" s="64"/>
      <c r="XBR3" s="64"/>
      <c r="XBS3" s="64"/>
      <c r="XBT3" s="64"/>
      <c r="XBU3" s="64"/>
      <c r="XBV3" s="64"/>
      <c r="XBW3" s="64"/>
      <c r="XBX3" s="64"/>
      <c r="XBY3" s="64"/>
      <c r="XBZ3" s="64"/>
      <c r="XCA3" s="64"/>
      <c r="XCB3" s="64"/>
      <c r="XCC3" s="64"/>
      <c r="XCD3" s="64"/>
      <c r="XCE3" s="64"/>
      <c r="XCF3" s="64"/>
      <c r="XCG3" s="64"/>
      <c r="XCH3" s="64"/>
      <c r="XCI3" s="64"/>
      <c r="XCJ3" s="64"/>
      <c r="XCK3" s="64"/>
      <c r="XCL3" s="64"/>
      <c r="XCM3" s="64"/>
      <c r="XCN3" s="64"/>
      <c r="XCO3" s="64"/>
      <c r="XCP3" s="64"/>
      <c r="XCQ3" s="64"/>
      <c r="XCR3" s="64"/>
      <c r="XCS3" s="64"/>
      <c r="XCT3" s="64"/>
      <c r="XCU3" s="64"/>
      <c r="XCV3" s="64"/>
      <c r="XCW3" s="64"/>
      <c r="XCX3" s="64"/>
      <c r="XCY3" s="64"/>
      <c r="XCZ3" s="64"/>
      <c r="XDA3" s="64"/>
      <c r="XDB3" s="64"/>
      <c r="XDC3" s="64"/>
      <c r="XDD3" s="64"/>
      <c r="XDE3" s="64"/>
      <c r="XDF3" s="64"/>
      <c r="XDG3" s="64"/>
      <c r="XDH3" s="64"/>
      <c r="XDI3" s="64"/>
      <c r="XDJ3" s="64"/>
      <c r="XDK3" s="64"/>
      <c r="XDL3" s="64"/>
      <c r="XDM3" s="64"/>
      <c r="XDN3" s="64"/>
      <c r="XDO3" s="64"/>
      <c r="XDP3" s="64"/>
      <c r="XDQ3" s="64"/>
      <c r="XDR3" s="64"/>
      <c r="XDS3" s="64"/>
      <c r="XDT3" s="64"/>
      <c r="XDU3" s="64"/>
      <c r="XDV3" s="64"/>
      <c r="XDW3" s="64"/>
      <c r="XDX3" s="64"/>
      <c r="XDY3" s="64"/>
      <c r="XDZ3" s="64"/>
      <c r="XEA3" s="64"/>
      <c r="XEB3" s="64"/>
      <c r="XEC3" s="64"/>
      <c r="XED3" s="64"/>
      <c r="XEE3" s="64"/>
    </row>
  </sheetData>
  <conditionalFormatting sqref="E3">
    <cfRule type="duplicateValues" dxfId="4" priority="1"/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D92D-7242-480F-ACE1-01B45F7FA1BC}">
  <dimension ref="B3:C31"/>
  <sheetViews>
    <sheetView showGridLines="0" workbookViewId="0">
      <selection activeCell="M23" sqref="M23"/>
    </sheetView>
  </sheetViews>
  <sheetFormatPr defaultRowHeight="15" x14ac:dyDescent="0.25"/>
  <cols>
    <col min="1" max="1" width="3.140625" customWidth="1"/>
    <col min="2" max="2" width="52.28515625" bestFit="1" customWidth="1"/>
    <col min="3" max="3" width="14.7109375" bestFit="1" customWidth="1"/>
  </cols>
  <sheetData>
    <row r="3" spans="2:3" ht="25.5" customHeight="1" x14ac:dyDescent="0.25">
      <c r="B3" s="106" t="s">
        <v>3928</v>
      </c>
      <c r="C3" s="106" t="s">
        <v>3929</v>
      </c>
    </row>
    <row r="4" spans="2:3" x14ac:dyDescent="0.25">
      <c r="B4" s="105" t="s">
        <v>1195</v>
      </c>
      <c r="C4" s="20"/>
    </row>
    <row r="5" spans="2:3" x14ac:dyDescent="0.25">
      <c r="B5" s="105" t="s">
        <v>235</v>
      </c>
      <c r="C5" s="20">
        <v>4</v>
      </c>
    </row>
    <row r="6" spans="2:3" x14ac:dyDescent="0.25">
      <c r="B6" s="105" t="s">
        <v>597</v>
      </c>
      <c r="C6" s="20">
        <v>2</v>
      </c>
    </row>
    <row r="7" spans="2:3" x14ac:dyDescent="0.25">
      <c r="B7" s="105" t="s">
        <v>64</v>
      </c>
      <c r="C7" s="20">
        <v>5</v>
      </c>
    </row>
    <row r="8" spans="2:3" x14ac:dyDescent="0.25">
      <c r="B8" s="105" t="s">
        <v>348</v>
      </c>
      <c r="C8" s="20">
        <v>2</v>
      </c>
    </row>
    <row r="9" spans="2:3" x14ac:dyDescent="0.25">
      <c r="B9" s="105" t="s">
        <v>123</v>
      </c>
      <c r="C9" s="20">
        <v>4</v>
      </c>
    </row>
    <row r="10" spans="2:3" x14ac:dyDescent="0.25">
      <c r="B10" s="105" t="s">
        <v>795</v>
      </c>
      <c r="C10" s="20"/>
    </row>
    <row r="11" spans="2:3" x14ac:dyDescent="0.25">
      <c r="B11" s="105" t="s">
        <v>181</v>
      </c>
      <c r="C11" s="20">
        <v>2</v>
      </c>
    </row>
    <row r="12" spans="2:3" x14ac:dyDescent="0.25">
      <c r="B12" s="105" t="s">
        <v>115</v>
      </c>
      <c r="C12" s="20">
        <v>6</v>
      </c>
    </row>
    <row r="13" spans="2:3" x14ac:dyDescent="0.25">
      <c r="B13" s="105" t="s">
        <v>162</v>
      </c>
      <c r="C13" s="20">
        <v>1</v>
      </c>
    </row>
    <row r="14" spans="2:3" x14ac:dyDescent="0.25">
      <c r="B14" s="105" t="s">
        <v>254</v>
      </c>
      <c r="C14" s="20">
        <v>11</v>
      </c>
    </row>
    <row r="15" spans="2:3" x14ac:dyDescent="0.25">
      <c r="B15" s="105" t="s">
        <v>74</v>
      </c>
      <c r="C15" s="20">
        <v>27</v>
      </c>
    </row>
    <row r="16" spans="2:3" x14ac:dyDescent="0.25">
      <c r="B16" s="105" t="s">
        <v>47</v>
      </c>
      <c r="C16" s="20">
        <v>2</v>
      </c>
    </row>
    <row r="17" spans="2:3" x14ac:dyDescent="0.25">
      <c r="B17" s="105" t="s">
        <v>1414</v>
      </c>
      <c r="C17" s="20"/>
    </row>
    <row r="18" spans="2:3" x14ac:dyDescent="0.25">
      <c r="B18" s="105" t="s">
        <v>270</v>
      </c>
      <c r="C18" s="20"/>
    </row>
    <row r="19" spans="2:3" x14ac:dyDescent="0.25">
      <c r="B19" s="105" t="s">
        <v>223</v>
      </c>
      <c r="C19" s="20">
        <v>1</v>
      </c>
    </row>
    <row r="20" spans="2:3" x14ac:dyDescent="0.25">
      <c r="B20" s="105" t="s">
        <v>453</v>
      </c>
      <c r="C20" s="20"/>
    </row>
    <row r="21" spans="2:3" x14ac:dyDescent="0.25">
      <c r="B21" s="105" t="s">
        <v>241</v>
      </c>
      <c r="C21" s="20">
        <v>1</v>
      </c>
    </row>
    <row r="22" spans="2:3" x14ac:dyDescent="0.25">
      <c r="B22" s="105" t="s">
        <v>154</v>
      </c>
      <c r="C22" s="20">
        <v>8</v>
      </c>
    </row>
    <row r="23" spans="2:3" x14ac:dyDescent="0.25">
      <c r="B23" s="105" t="s">
        <v>445</v>
      </c>
      <c r="C23" s="20">
        <v>5</v>
      </c>
    </row>
    <row r="24" spans="2:3" x14ac:dyDescent="0.25">
      <c r="B24" s="105" t="s">
        <v>391</v>
      </c>
      <c r="C24" s="20">
        <v>2</v>
      </c>
    </row>
    <row r="25" spans="2:3" x14ac:dyDescent="0.25">
      <c r="B25" s="105" t="s">
        <v>677</v>
      </c>
      <c r="C25" s="20">
        <v>1</v>
      </c>
    </row>
    <row r="26" spans="2:3" x14ac:dyDescent="0.25">
      <c r="B26" s="105" t="s">
        <v>202</v>
      </c>
      <c r="C26" s="20">
        <v>4</v>
      </c>
    </row>
    <row r="27" spans="2:3" x14ac:dyDescent="0.25">
      <c r="B27" s="105" t="s">
        <v>38</v>
      </c>
      <c r="C27" s="20">
        <v>5</v>
      </c>
    </row>
    <row r="28" spans="2:3" x14ac:dyDescent="0.25">
      <c r="B28" s="105" t="s">
        <v>95</v>
      </c>
      <c r="C28" s="20">
        <v>15</v>
      </c>
    </row>
    <row r="29" spans="2:3" x14ac:dyDescent="0.25">
      <c r="B29" s="105" t="s">
        <v>141</v>
      </c>
      <c r="C29" s="20">
        <v>1</v>
      </c>
    </row>
    <row r="30" spans="2:3" x14ac:dyDescent="0.25">
      <c r="B30" s="105" t="s">
        <v>189</v>
      </c>
      <c r="C30" s="20"/>
    </row>
    <row r="31" spans="2:3" ht="23.25" customHeight="1" x14ac:dyDescent="0.25">
      <c r="B31" s="107" t="s">
        <v>3930</v>
      </c>
      <c r="C31" s="106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4AE8-CC18-4E5F-B3CE-F4DE95366B7C}">
  <sheetPr filterMode="1"/>
  <dimension ref="B1:AI355"/>
  <sheetViews>
    <sheetView showGridLines="0" workbookViewId="0">
      <pane xSplit="1" ySplit="4" topLeftCell="B325" activePane="bottomRight" state="frozen"/>
      <selection pane="topRight" activeCell="M23" sqref="M23"/>
      <selection pane="bottomLeft" activeCell="M23" sqref="M23"/>
      <selection pane="bottomRight" activeCell="M23" sqref="M23"/>
    </sheetView>
  </sheetViews>
  <sheetFormatPr defaultRowHeight="15" x14ac:dyDescent="0.25"/>
  <cols>
    <col min="1" max="1" width="3.42578125" customWidth="1"/>
    <col min="2" max="2" width="4.140625" customWidth="1"/>
    <col min="3" max="4" width="14.7109375" customWidth="1"/>
    <col min="5" max="6" width="32.140625" customWidth="1"/>
    <col min="7" max="7" width="45.5703125" customWidth="1"/>
    <col min="8" max="10" width="20.85546875" customWidth="1"/>
    <col min="11" max="11" width="23.42578125" customWidth="1"/>
    <col min="12" max="12" width="20.7109375" customWidth="1"/>
    <col min="13" max="13" width="34" customWidth="1"/>
    <col min="14" max="14" width="32.140625" customWidth="1"/>
    <col min="15" max="15" width="18.7109375" customWidth="1"/>
    <col min="16" max="16" width="20" customWidth="1"/>
    <col min="17" max="17" width="30.7109375" customWidth="1"/>
    <col min="18" max="18" width="32.140625" customWidth="1"/>
    <col min="19" max="19" width="13" customWidth="1"/>
    <col min="20" max="25" width="9.140625" customWidth="1"/>
    <col min="26" max="26" width="10" customWidth="1"/>
    <col min="27" max="31" width="9.140625" customWidth="1"/>
    <col min="32" max="33" width="9.140625" hidden="1" customWidth="1"/>
    <col min="34" max="34" width="9.140625" customWidth="1"/>
    <col min="35" max="35" width="13.85546875" style="2" customWidth="1"/>
    <col min="36" max="49" width="9.140625" customWidth="1"/>
  </cols>
  <sheetData>
    <row r="1" spans="2:35" x14ac:dyDescent="0.25">
      <c r="AI1" s="1">
        <v>204</v>
      </c>
    </row>
    <row r="2" spans="2:35" ht="84.75" customHeight="1" x14ac:dyDescent="0.25">
      <c r="B2" s="179" t="s">
        <v>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</row>
    <row r="3" spans="2:35" ht="35.25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</row>
    <row r="4" spans="2:35" ht="41.25" customHeight="1" x14ac:dyDescent="0.25"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/>
      <c r="J4" s="4"/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4" t="s">
        <v>24</v>
      </c>
      <c r="AB4" s="4" t="s">
        <v>25</v>
      </c>
      <c r="AC4" s="4" t="s">
        <v>26</v>
      </c>
      <c r="AD4" s="4" t="s">
        <v>27</v>
      </c>
      <c r="AE4" s="4" t="s">
        <v>28</v>
      </c>
      <c r="AF4" s="4" t="s">
        <v>29</v>
      </c>
      <c r="AG4" s="4"/>
      <c r="AH4" s="4" t="s">
        <v>30</v>
      </c>
      <c r="AI4" s="4" t="s">
        <v>31</v>
      </c>
    </row>
    <row r="5" spans="2:35" s="64" customFormat="1" ht="39.950000000000003" hidden="1" customHeight="1" x14ac:dyDescent="0.25">
      <c r="B5" s="5">
        <v>263</v>
      </c>
      <c r="C5" s="6" t="s">
        <v>1364</v>
      </c>
      <c r="D5" s="5" t="s">
        <v>33</v>
      </c>
      <c r="E5" s="58" t="s">
        <v>1365</v>
      </c>
      <c r="F5" s="7" t="s">
        <v>1366</v>
      </c>
      <c r="G5" s="7" t="s">
        <v>36</v>
      </c>
      <c r="H5" s="8">
        <v>236959.83</v>
      </c>
      <c r="I5" s="8"/>
      <c r="J5" s="8"/>
      <c r="K5" s="7" t="s">
        <v>1367</v>
      </c>
      <c r="L5" s="7" t="s">
        <v>453</v>
      </c>
      <c r="M5" s="7" t="s">
        <v>1368</v>
      </c>
      <c r="N5" s="9" t="s">
        <v>1369</v>
      </c>
      <c r="O5" s="10">
        <v>45320</v>
      </c>
      <c r="P5" s="7" t="s">
        <v>67</v>
      </c>
      <c r="Q5" s="7"/>
      <c r="R5" s="65"/>
      <c r="S5" s="7">
        <v>340</v>
      </c>
      <c r="T5" s="9"/>
      <c r="U5" s="9"/>
      <c r="V5" s="9"/>
      <c r="W5" s="9"/>
      <c r="X5" s="9">
        <v>340</v>
      </c>
      <c r="Y5" s="9">
        <v>340</v>
      </c>
      <c r="Z5" s="9"/>
      <c r="AA5" s="9"/>
      <c r="AB5" s="9"/>
      <c r="AC5" s="9"/>
      <c r="AD5" s="9"/>
      <c r="AE5" s="9"/>
      <c r="AF5" s="9"/>
      <c r="AG5" s="9">
        <f t="shared" ref="AG5:AG68" si="0">COUNT(S5:AF5)</f>
        <v>3</v>
      </c>
      <c r="AH5" s="62">
        <f t="shared" ref="AH5:AH68" si="1">AVERAGE(S5:AF5)</f>
        <v>340</v>
      </c>
      <c r="AI5" s="11" t="str">
        <f t="shared" ref="AI5:AI30" si="2">IF(AH5&gt;=$AI$1,"APROVADO","REPROVADO")</f>
        <v>APROVADO</v>
      </c>
    </row>
    <row r="6" spans="2:35" s="64" customFormat="1" ht="39.950000000000003" hidden="1" customHeight="1" x14ac:dyDescent="0.25">
      <c r="B6" s="5">
        <v>542</v>
      </c>
      <c r="C6" s="6" t="s">
        <v>2632</v>
      </c>
      <c r="D6" s="5" t="s">
        <v>33</v>
      </c>
      <c r="E6" s="58" t="s">
        <v>2625</v>
      </c>
      <c r="F6" s="7" t="s">
        <v>2633</v>
      </c>
      <c r="G6" s="7" t="s">
        <v>36</v>
      </c>
      <c r="H6" s="8">
        <v>75658.17</v>
      </c>
      <c r="I6" s="8"/>
      <c r="J6" s="8"/>
      <c r="K6" s="7" t="s">
        <v>2627</v>
      </c>
      <c r="L6" s="7" t="s">
        <v>95</v>
      </c>
      <c r="M6" s="7" t="s">
        <v>2628</v>
      </c>
      <c r="N6" s="9" t="s">
        <v>2629</v>
      </c>
      <c r="O6" s="10">
        <v>45322</v>
      </c>
      <c r="P6" s="7" t="s">
        <v>67</v>
      </c>
      <c r="Q6" s="7" t="s">
        <v>68</v>
      </c>
      <c r="R6" s="7"/>
      <c r="S6" s="7">
        <v>340</v>
      </c>
      <c r="T6" s="9"/>
      <c r="U6" s="9"/>
      <c r="V6" s="9"/>
      <c r="W6" s="9"/>
      <c r="X6" s="9">
        <v>340</v>
      </c>
      <c r="Y6" s="9">
        <v>340</v>
      </c>
      <c r="Z6" s="9"/>
      <c r="AA6" s="9"/>
      <c r="AB6" s="9"/>
      <c r="AC6" s="9"/>
      <c r="AD6" s="9"/>
      <c r="AE6" s="9"/>
      <c r="AF6" s="9"/>
      <c r="AG6" s="9">
        <f t="shared" si="0"/>
        <v>3</v>
      </c>
      <c r="AH6" s="62">
        <f t="shared" si="1"/>
        <v>340</v>
      </c>
      <c r="AI6" s="11" t="str">
        <f t="shared" si="2"/>
        <v>APROVADO</v>
      </c>
    </row>
    <row r="7" spans="2:35" s="64" customFormat="1" ht="39.950000000000003" hidden="1" customHeight="1" x14ac:dyDescent="0.25">
      <c r="B7" s="5">
        <v>564</v>
      </c>
      <c r="C7" s="6" t="s">
        <v>2706</v>
      </c>
      <c r="D7" s="5" t="s">
        <v>33</v>
      </c>
      <c r="E7" s="58" t="s">
        <v>2693</v>
      </c>
      <c r="F7" s="7" t="s">
        <v>2707</v>
      </c>
      <c r="G7" s="7" t="s">
        <v>107</v>
      </c>
      <c r="H7" s="8">
        <v>332039.32</v>
      </c>
      <c r="I7" s="8"/>
      <c r="J7" s="8"/>
      <c r="K7" s="7" t="s">
        <v>253</v>
      </c>
      <c r="L7" s="7" t="s">
        <v>254</v>
      </c>
      <c r="M7" s="7" t="s">
        <v>2695</v>
      </c>
      <c r="N7" s="37" t="s">
        <v>2696</v>
      </c>
      <c r="O7" s="10">
        <v>45322</v>
      </c>
      <c r="P7" s="7" t="s">
        <v>67</v>
      </c>
      <c r="Q7" s="7" t="s">
        <v>2697</v>
      </c>
      <c r="R7" s="9"/>
      <c r="S7" s="7">
        <v>334</v>
      </c>
      <c r="T7" s="9"/>
      <c r="U7" s="9"/>
      <c r="V7" s="9"/>
      <c r="W7" s="9"/>
      <c r="X7" s="9">
        <v>340</v>
      </c>
      <c r="Y7" s="9"/>
      <c r="Z7" s="9"/>
      <c r="AA7" s="9">
        <v>340</v>
      </c>
      <c r="AB7" s="9"/>
      <c r="AC7" s="9"/>
      <c r="AD7" s="9"/>
      <c r="AE7" s="9"/>
      <c r="AF7" s="9"/>
      <c r="AG7" s="9">
        <f t="shared" si="0"/>
        <v>3</v>
      </c>
      <c r="AH7" s="62">
        <f t="shared" si="1"/>
        <v>338</v>
      </c>
      <c r="AI7" s="11" t="str">
        <f t="shared" si="2"/>
        <v>APROVADO</v>
      </c>
    </row>
    <row r="8" spans="2:35" s="64" customFormat="1" ht="39.950000000000003" hidden="1" customHeight="1" x14ac:dyDescent="0.25">
      <c r="B8" s="5">
        <v>450</v>
      </c>
      <c r="C8" s="6" t="s">
        <v>2205</v>
      </c>
      <c r="D8" s="5" t="s">
        <v>33</v>
      </c>
      <c r="E8" s="59" t="s">
        <v>2200</v>
      </c>
      <c r="F8" s="11" t="s">
        <v>2206</v>
      </c>
      <c r="G8" s="11" t="s">
        <v>36</v>
      </c>
      <c r="H8" s="49">
        <v>198000</v>
      </c>
      <c r="I8" s="49"/>
      <c r="J8" s="49"/>
      <c r="K8" s="7" t="s">
        <v>2202</v>
      </c>
      <c r="L8" s="9" t="s">
        <v>115</v>
      </c>
      <c r="M8" s="9" t="s">
        <v>2203</v>
      </c>
      <c r="N8" s="9" t="s">
        <v>2204</v>
      </c>
      <c r="O8" s="10">
        <v>45322</v>
      </c>
      <c r="P8" s="7" t="s">
        <v>67</v>
      </c>
      <c r="Q8" s="9"/>
      <c r="R8" s="65"/>
      <c r="S8" s="7">
        <v>331</v>
      </c>
      <c r="T8" s="9"/>
      <c r="U8" s="9"/>
      <c r="V8" s="9"/>
      <c r="W8" s="9"/>
      <c r="X8" s="9">
        <v>340</v>
      </c>
      <c r="Y8" s="9">
        <v>335</v>
      </c>
      <c r="Z8" s="9"/>
      <c r="AA8" s="9"/>
      <c r="AB8" s="9"/>
      <c r="AC8" s="9"/>
      <c r="AD8" s="9"/>
      <c r="AE8" s="9"/>
      <c r="AF8" s="9"/>
      <c r="AG8" s="9">
        <f t="shared" si="0"/>
        <v>3</v>
      </c>
      <c r="AH8" s="62">
        <f t="shared" si="1"/>
        <v>335.33333333333331</v>
      </c>
      <c r="AI8" s="11" t="str">
        <f t="shared" si="2"/>
        <v>APROVADO</v>
      </c>
    </row>
    <row r="9" spans="2:35" s="64" customFormat="1" ht="39.950000000000003" hidden="1" customHeight="1" x14ac:dyDescent="0.25">
      <c r="B9" s="5">
        <v>469</v>
      </c>
      <c r="C9" s="6" t="s">
        <v>2285</v>
      </c>
      <c r="D9" s="5" t="s">
        <v>33</v>
      </c>
      <c r="E9" s="58" t="s">
        <v>2286</v>
      </c>
      <c r="F9" s="63" t="s">
        <v>2287</v>
      </c>
      <c r="G9" s="5" t="s">
        <v>107</v>
      </c>
      <c r="H9" s="17">
        <v>100000</v>
      </c>
      <c r="I9" s="17"/>
      <c r="J9" s="17"/>
      <c r="K9" s="7" t="s">
        <v>2288</v>
      </c>
      <c r="L9" s="5" t="s">
        <v>254</v>
      </c>
      <c r="M9" s="5" t="s">
        <v>2289</v>
      </c>
      <c r="N9" s="31" t="s">
        <v>2290</v>
      </c>
      <c r="O9" s="10">
        <v>45322</v>
      </c>
      <c r="P9" s="5" t="s">
        <v>67</v>
      </c>
      <c r="Q9" s="7" t="s">
        <v>2291</v>
      </c>
      <c r="R9" s="65"/>
      <c r="S9" s="5">
        <v>318</v>
      </c>
      <c r="T9" s="9"/>
      <c r="U9" s="9"/>
      <c r="V9" s="9"/>
      <c r="W9" s="9"/>
      <c r="X9" s="9">
        <v>340</v>
      </c>
      <c r="Y9" s="9">
        <v>324</v>
      </c>
      <c r="Z9" s="9"/>
      <c r="AA9" s="9"/>
      <c r="AB9" s="9"/>
      <c r="AC9" s="9"/>
      <c r="AD9" s="9"/>
      <c r="AE9" s="9"/>
      <c r="AF9" s="9"/>
      <c r="AG9" s="9">
        <f t="shared" si="0"/>
        <v>3</v>
      </c>
      <c r="AH9" s="62">
        <f t="shared" si="1"/>
        <v>327.33333333333331</v>
      </c>
      <c r="AI9" s="11" t="str">
        <f t="shared" si="2"/>
        <v>APROVADO</v>
      </c>
    </row>
    <row r="10" spans="2:35" s="64" customFormat="1" ht="39.950000000000003" hidden="1" customHeight="1" x14ac:dyDescent="0.25">
      <c r="B10" s="5">
        <v>561</v>
      </c>
      <c r="C10" s="6" t="s">
        <v>2692</v>
      </c>
      <c r="D10" s="5" t="s">
        <v>33</v>
      </c>
      <c r="E10" s="58" t="s">
        <v>2693</v>
      </c>
      <c r="F10" s="7" t="s">
        <v>2694</v>
      </c>
      <c r="G10" s="7" t="s">
        <v>107</v>
      </c>
      <c r="H10" s="8">
        <v>345629.74</v>
      </c>
      <c r="I10" s="8"/>
      <c r="J10" s="8"/>
      <c r="K10" s="7" t="s">
        <v>253</v>
      </c>
      <c r="L10" s="7" t="s">
        <v>254</v>
      </c>
      <c r="M10" s="7" t="s">
        <v>2695</v>
      </c>
      <c r="N10" s="9" t="s">
        <v>2696</v>
      </c>
      <c r="O10" s="10">
        <v>45322</v>
      </c>
      <c r="P10" s="7" t="s">
        <v>67</v>
      </c>
      <c r="Q10" s="7" t="s">
        <v>2697</v>
      </c>
      <c r="R10" s="9"/>
      <c r="S10" s="7">
        <v>325</v>
      </c>
      <c r="T10" s="9"/>
      <c r="U10" s="9"/>
      <c r="V10" s="9"/>
      <c r="W10" s="9"/>
      <c r="X10" s="9">
        <v>340</v>
      </c>
      <c r="Y10" s="9"/>
      <c r="Z10" s="9"/>
      <c r="AA10" s="9">
        <v>317</v>
      </c>
      <c r="AB10" s="9"/>
      <c r="AC10" s="9"/>
      <c r="AD10" s="9"/>
      <c r="AE10" s="9"/>
      <c r="AF10" s="9"/>
      <c r="AG10" s="9">
        <f t="shared" si="0"/>
        <v>3</v>
      </c>
      <c r="AH10" s="62">
        <f t="shared" si="1"/>
        <v>327.33333333333331</v>
      </c>
      <c r="AI10" s="11" t="str">
        <f t="shared" si="2"/>
        <v>APROVADO</v>
      </c>
    </row>
    <row r="11" spans="2:35" s="64" customFormat="1" ht="39.950000000000003" hidden="1" customHeight="1" x14ac:dyDescent="0.25">
      <c r="B11" s="5">
        <v>457</v>
      </c>
      <c r="C11" s="27" t="s">
        <v>2231</v>
      </c>
      <c r="D11" s="5" t="s">
        <v>33</v>
      </c>
      <c r="E11" s="58" t="s">
        <v>2225</v>
      </c>
      <c r="F11" s="7" t="s">
        <v>2232</v>
      </c>
      <c r="G11" s="7" t="s">
        <v>107</v>
      </c>
      <c r="H11" s="8">
        <v>812100</v>
      </c>
      <c r="I11" s="8"/>
      <c r="J11" s="8"/>
      <c r="K11" s="7" t="s">
        <v>2220</v>
      </c>
      <c r="L11" s="7" t="s">
        <v>38</v>
      </c>
      <c r="M11" s="7" t="s">
        <v>2227</v>
      </c>
      <c r="N11" s="9" t="s">
        <v>2228</v>
      </c>
      <c r="O11" s="10">
        <v>45322</v>
      </c>
      <c r="P11" s="7" t="s">
        <v>41</v>
      </c>
      <c r="Q11" s="9"/>
      <c r="R11" s="65"/>
      <c r="S11" s="7">
        <v>335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>
        <v>334</v>
      </c>
      <c r="AE11" s="9">
        <v>312</v>
      </c>
      <c r="AF11" s="9"/>
      <c r="AG11" s="9">
        <f t="shared" si="0"/>
        <v>3</v>
      </c>
      <c r="AH11" s="62">
        <f t="shared" si="1"/>
        <v>327</v>
      </c>
      <c r="AI11" s="11" t="str">
        <f t="shared" si="2"/>
        <v>APROVADO</v>
      </c>
    </row>
    <row r="12" spans="2:35" s="64" customFormat="1" ht="39.950000000000003" hidden="1" customHeight="1" x14ac:dyDescent="0.25">
      <c r="B12" s="5">
        <v>478</v>
      </c>
      <c r="C12" s="22" t="s">
        <v>2337</v>
      </c>
      <c r="D12" s="5" t="s">
        <v>51</v>
      </c>
      <c r="E12" s="59" t="s">
        <v>2332</v>
      </c>
      <c r="F12" s="9" t="s">
        <v>2338</v>
      </c>
      <c r="G12" s="5" t="s">
        <v>36</v>
      </c>
      <c r="H12" s="41">
        <v>100000</v>
      </c>
      <c r="I12" s="41"/>
      <c r="J12" s="41"/>
      <c r="K12" s="9" t="s">
        <v>2334</v>
      </c>
      <c r="L12" s="11" t="s">
        <v>47</v>
      </c>
      <c r="M12" s="9" t="s">
        <v>2335</v>
      </c>
      <c r="N12" s="67" t="s">
        <v>2336</v>
      </c>
      <c r="O12" s="34">
        <v>45322</v>
      </c>
      <c r="P12" s="9" t="s">
        <v>57</v>
      </c>
      <c r="Q12" s="9"/>
      <c r="R12" s="65"/>
      <c r="S12" s="9">
        <v>310</v>
      </c>
      <c r="T12" s="9"/>
      <c r="U12" s="9"/>
      <c r="V12" s="9"/>
      <c r="W12" s="9"/>
      <c r="X12" s="9">
        <v>340</v>
      </c>
      <c r="Y12" s="9">
        <v>318</v>
      </c>
      <c r="Z12" s="9"/>
      <c r="AA12" s="9"/>
      <c r="AB12" s="9"/>
      <c r="AC12" s="9"/>
      <c r="AD12" s="9"/>
      <c r="AE12" s="65"/>
      <c r="AF12" s="65"/>
      <c r="AG12" s="9">
        <f t="shared" si="0"/>
        <v>3</v>
      </c>
      <c r="AH12" s="62">
        <f t="shared" si="1"/>
        <v>322.66666666666669</v>
      </c>
      <c r="AI12" s="11" t="str">
        <f t="shared" si="2"/>
        <v>APROVADO</v>
      </c>
    </row>
    <row r="13" spans="2:35" s="64" customFormat="1" ht="39.950000000000003" hidden="1" customHeight="1" x14ac:dyDescent="0.25">
      <c r="B13" s="5">
        <v>532</v>
      </c>
      <c r="C13" s="6" t="s">
        <v>2598</v>
      </c>
      <c r="D13" s="5" t="s">
        <v>33</v>
      </c>
      <c r="E13" s="58" t="s">
        <v>2593</v>
      </c>
      <c r="F13" s="5" t="s">
        <v>2599</v>
      </c>
      <c r="G13" s="5" t="s">
        <v>62</v>
      </c>
      <c r="H13" s="8">
        <v>2737957.34</v>
      </c>
      <c r="I13" s="8"/>
      <c r="J13" s="8"/>
      <c r="K13" s="7" t="s">
        <v>2595</v>
      </c>
      <c r="L13" s="7" t="s">
        <v>391</v>
      </c>
      <c r="M13" s="7" t="s">
        <v>2596</v>
      </c>
      <c r="N13" s="9" t="s">
        <v>2597</v>
      </c>
      <c r="O13" s="10">
        <v>45322</v>
      </c>
      <c r="P13" s="5" t="s">
        <v>67</v>
      </c>
      <c r="Q13" s="7" t="s">
        <v>375</v>
      </c>
      <c r="R13" s="7"/>
      <c r="S13" s="5">
        <v>332</v>
      </c>
      <c r="T13" s="9"/>
      <c r="U13" s="9"/>
      <c r="V13" s="9"/>
      <c r="W13" s="9"/>
      <c r="X13" s="9"/>
      <c r="Y13" s="9"/>
      <c r="Z13" s="9">
        <v>328</v>
      </c>
      <c r="AA13" s="9">
        <v>305</v>
      </c>
      <c r="AB13" s="9"/>
      <c r="AC13" s="9"/>
      <c r="AD13" s="9"/>
      <c r="AE13" s="9"/>
      <c r="AF13" s="9"/>
      <c r="AG13" s="9">
        <f t="shared" si="0"/>
        <v>3</v>
      </c>
      <c r="AH13" s="62">
        <f t="shared" si="1"/>
        <v>321.66666666666669</v>
      </c>
      <c r="AI13" s="11" t="str">
        <f t="shared" si="2"/>
        <v>APROVADO</v>
      </c>
    </row>
    <row r="14" spans="2:35" s="64" customFormat="1" ht="39.950000000000003" hidden="1" customHeight="1" x14ac:dyDescent="0.25">
      <c r="B14" s="5">
        <v>264</v>
      </c>
      <c r="C14" s="27" t="s">
        <v>1370</v>
      </c>
      <c r="D14" s="5" t="s">
        <v>33</v>
      </c>
      <c r="E14" s="58" t="s">
        <v>1365</v>
      </c>
      <c r="F14" s="7" t="s">
        <v>1371</v>
      </c>
      <c r="G14" s="7" t="s">
        <v>36</v>
      </c>
      <c r="H14" s="8">
        <v>288982.78999999998</v>
      </c>
      <c r="I14" s="8"/>
      <c r="J14" s="8"/>
      <c r="K14" s="7" t="s">
        <v>1367</v>
      </c>
      <c r="L14" s="7" t="s">
        <v>453</v>
      </c>
      <c r="M14" s="7" t="s">
        <v>1368</v>
      </c>
      <c r="N14" s="9" t="s">
        <v>1369</v>
      </c>
      <c r="O14" s="10">
        <v>45320</v>
      </c>
      <c r="P14" s="7" t="s">
        <v>41</v>
      </c>
      <c r="Q14" s="7"/>
      <c r="R14" s="65"/>
      <c r="S14" s="7">
        <v>312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328</v>
      </c>
      <c r="AE14" s="9">
        <v>324</v>
      </c>
      <c r="AF14" s="9"/>
      <c r="AG14" s="9">
        <f t="shared" si="0"/>
        <v>3</v>
      </c>
      <c r="AH14" s="62">
        <f t="shared" si="1"/>
        <v>321.33333333333331</v>
      </c>
      <c r="AI14" s="11" t="str">
        <f t="shared" si="2"/>
        <v>APROVADO</v>
      </c>
    </row>
    <row r="15" spans="2:35" s="64" customFormat="1" ht="39.950000000000003" hidden="1" customHeight="1" x14ac:dyDescent="0.25">
      <c r="B15" s="5">
        <v>477</v>
      </c>
      <c r="C15" s="22" t="s">
        <v>2331</v>
      </c>
      <c r="D15" s="5" t="s">
        <v>51</v>
      </c>
      <c r="E15" s="59" t="s">
        <v>2332</v>
      </c>
      <c r="F15" s="9" t="s">
        <v>2333</v>
      </c>
      <c r="G15" s="5" t="s">
        <v>36</v>
      </c>
      <c r="H15" s="41">
        <v>100000</v>
      </c>
      <c r="I15" s="41"/>
      <c r="J15" s="41"/>
      <c r="K15" s="9" t="s">
        <v>2334</v>
      </c>
      <c r="L15" s="11" t="s">
        <v>47</v>
      </c>
      <c r="M15" s="9" t="s">
        <v>2335</v>
      </c>
      <c r="N15" s="67" t="s">
        <v>2336</v>
      </c>
      <c r="O15" s="34">
        <v>45322</v>
      </c>
      <c r="P15" s="9" t="s">
        <v>57</v>
      </c>
      <c r="Q15" s="9"/>
      <c r="R15" s="65"/>
      <c r="S15" s="9">
        <v>293</v>
      </c>
      <c r="T15" s="9"/>
      <c r="U15" s="9"/>
      <c r="V15" s="9"/>
      <c r="W15" s="9"/>
      <c r="X15" s="9"/>
      <c r="Y15" s="9"/>
      <c r="Z15" s="9">
        <v>330</v>
      </c>
      <c r="AA15" s="9">
        <v>340</v>
      </c>
      <c r="AB15" s="9"/>
      <c r="AC15" s="9"/>
      <c r="AD15" s="9"/>
      <c r="AE15" s="65"/>
      <c r="AF15" s="65"/>
      <c r="AG15" s="9">
        <f t="shared" si="0"/>
        <v>3</v>
      </c>
      <c r="AH15" s="62">
        <f t="shared" si="1"/>
        <v>321</v>
      </c>
      <c r="AI15" s="11" t="str">
        <f t="shared" si="2"/>
        <v>APROVADO</v>
      </c>
    </row>
    <row r="16" spans="2:35" s="64" customFormat="1" ht="39.950000000000003" hidden="1" customHeight="1" x14ac:dyDescent="0.25">
      <c r="B16" s="5">
        <v>435</v>
      </c>
      <c r="C16" s="6" t="s">
        <v>2141</v>
      </c>
      <c r="D16" s="5" t="s">
        <v>33</v>
      </c>
      <c r="E16" s="58" t="s">
        <v>2136</v>
      </c>
      <c r="F16" s="7" t="s">
        <v>2142</v>
      </c>
      <c r="G16" s="7" t="s">
        <v>336</v>
      </c>
      <c r="H16" s="8">
        <v>238400</v>
      </c>
      <c r="I16" s="8"/>
      <c r="J16" s="8"/>
      <c r="K16" s="7" t="s">
        <v>2138</v>
      </c>
      <c r="L16" s="7" t="s">
        <v>254</v>
      </c>
      <c r="M16" s="7" t="s">
        <v>2139</v>
      </c>
      <c r="N16" s="9" t="s">
        <v>2140</v>
      </c>
      <c r="O16" s="10">
        <v>45322</v>
      </c>
      <c r="P16" s="7" t="s">
        <v>67</v>
      </c>
      <c r="Q16" s="9"/>
      <c r="R16" s="65"/>
      <c r="S16" s="7">
        <v>309</v>
      </c>
      <c r="T16" s="9"/>
      <c r="U16" s="9"/>
      <c r="V16" s="9"/>
      <c r="W16" s="9"/>
      <c r="X16" s="9">
        <v>340</v>
      </c>
      <c r="Y16" s="9">
        <v>313</v>
      </c>
      <c r="Z16" s="9"/>
      <c r="AA16" s="9"/>
      <c r="AB16" s="9"/>
      <c r="AC16" s="9"/>
      <c r="AD16" s="9"/>
      <c r="AE16" s="9"/>
      <c r="AF16" s="9"/>
      <c r="AG16" s="9">
        <f t="shared" si="0"/>
        <v>3</v>
      </c>
      <c r="AH16" s="62">
        <f t="shared" si="1"/>
        <v>320.66666666666669</v>
      </c>
      <c r="AI16" s="11" t="str">
        <f t="shared" si="2"/>
        <v>APROVADO</v>
      </c>
    </row>
    <row r="17" spans="2:35" s="64" customFormat="1" ht="39.950000000000003" hidden="1" customHeight="1" x14ac:dyDescent="0.25">
      <c r="B17" s="5">
        <v>534</v>
      </c>
      <c r="C17" s="6" t="s">
        <v>2602</v>
      </c>
      <c r="D17" s="5" t="s">
        <v>33</v>
      </c>
      <c r="E17" s="58" t="s">
        <v>2593</v>
      </c>
      <c r="F17" s="7" t="s">
        <v>2603</v>
      </c>
      <c r="G17" s="5" t="s">
        <v>62</v>
      </c>
      <c r="H17" s="8">
        <v>4872240</v>
      </c>
      <c r="I17" s="8"/>
      <c r="J17" s="8"/>
      <c r="K17" s="7" t="s">
        <v>2595</v>
      </c>
      <c r="L17" s="7" t="s">
        <v>391</v>
      </c>
      <c r="M17" s="7" t="s">
        <v>2596</v>
      </c>
      <c r="N17" s="9" t="s">
        <v>2597</v>
      </c>
      <c r="O17" s="10">
        <v>45322</v>
      </c>
      <c r="P17" s="7" t="s">
        <v>67</v>
      </c>
      <c r="Q17" s="7" t="s">
        <v>359</v>
      </c>
      <c r="R17" s="7"/>
      <c r="S17" s="7">
        <v>305</v>
      </c>
      <c r="T17" s="9"/>
      <c r="U17" s="9"/>
      <c r="V17" s="9"/>
      <c r="W17" s="9"/>
      <c r="X17" s="9">
        <v>340</v>
      </c>
      <c r="Y17" s="9">
        <v>313</v>
      </c>
      <c r="Z17" s="9"/>
      <c r="AA17" s="9"/>
      <c r="AB17" s="9"/>
      <c r="AC17" s="9"/>
      <c r="AD17" s="9"/>
      <c r="AE17" s="9"/>
      <c r="AF17" s="9"/>
      <c r="AG17" s="9">
        <f t="shared" si="0"/>
        <v>3</v>
      </c>
      <c r="AH17" s="62">
        <f t="shared" si="1"/>
        <v>319.33333333333331</v>
      </c>
      <c r="AI17" s="11" t="str">
        <f t="shared" si="2"/>
        <v>APROVADO</v>
      </c>
    </row>
    <row r="18" spans="2:35" s="64" customFormat="1" ht="39.950000000000003" hidden="1" customHeight="1" x14ac:dyDescent="0.25">
      <c r="B18" s="5">
        <v>436</v>
      </c>
      <c r="C18" s="6" t="s">
        <v>2143</v>
      </c>
      <c r="D18" s="5" t="s">
        <v>33</v>
      </c>
      <c r="E18" s="58" t="s">
        <v>2136</v>
      </c>
      <c r="F18" s="5" t="s">
        <v>2144</v>
      </c>
      <c r="G18" s="7" t="s">
        <v>107</v>
      </c>
      <c r="H18" s="8">
        <v>580000</v>
      </c>
      <c r="I18" s="8"/>
      <c r="J18" s="8"/>
      <c r="K18" s="7" t="s">
        <v>2138</v>
      </c>
      <c r="L18" s="7" t="s">
        <v>254</v>
      </c>
      <c r="M18" s="7" t="s">
        <v>2139</v>
      </c>
      <c r="N18" s="9" t="s">
        <v>2140</v>
      </c>
      <c r="O18" s="10">
        <v>45322</v>
      </c>
      <c r="P18" s="5" t="s">
        <v>67</v>
      </c>
      <c r="Q18" s="9"/>
      <c r="R18" s="65"/>
      <c r="S18" s="5">
        <v>311</v>
      </c>
      <c r="T18" s="9"/>
      <c r="U18" s="9"/>
      <c r="V18" s="9"/>
      <c r="W18" s="9"/>
      <c r="X18" s="9"/>
      <c r="Y18" s="9">
        <v>317</v>
      </c>
      <c r="Z18" s="9">
        <v>327</v>
      </c>
      <c r="AA18" s="9"/>
      <c r="AB18" s="9"/>
      <c r="AC18" s="9"/>
      <c r="AD18" s="9"/>
      <c r="AE18" s="9"/>
      <c r="AF18" s="9"/>
      <c r="AG18" s="9">
        <f t="shared" si="0"/>
        <v>3</v>
      </c>
      <c r="AH18" s="62">
        <f t="shared" si="1"/>
        <v>318.33333333333331</v>
      </c>
      <c r="AI18" s="11" t="str">
        <f t="shared" si="2"/>
        <v>APROVADO</v>
      </c>
    </row>
    <row r="19" spans="2:35" s="64" customFormat="1" ht="39.950000000000003" hidden="1" customHeight="1" x14ac:dyDescent="0.25">
      <c r="B19" s="5">
        <v>137</v>
      </c>
      <c r="C19" s="6" t="s">
        <v>733</v>
      </c>
      <c r="D19" s="5" t="s">
        <v>51</v>
      </c>
      <c r="E19" s="58" t="s">
        <v>726</v>
      </c>
      <c r="F19" s="7" t="s">
        <v>734</v>
      </c>
      <c r="G19" s="7" t="s">
        <v>107</v>
      </c>
      <c r="H19" s="41">
        <v>348245</v>
      </c>
      <c r="I19" s="41"/>
      <c r="J19" s="41"/>
      <c r="K19" s="9" t="s">
        <v>728</v>
      </c>
      <c r="L19" s="11" t="s">
        <v>123</v>
      </c>
      <c r="M19" s="7" t="s">
        <v>729</v>
      </c>
      <c r="N19" s="7" t="s">
        <v>730</v>
      </c>
      <c r="O19" s="34">
        <v>45308</v>
      </c>
      <c r="P19" s="9" t="s">
        <v>57</v>
      </c>
      <c r="Q19" s="11" t="s">
        <v>735</v>
      </c>
      <c r="R19" s="9"/>
      <c r="S19" s="9">
        <v>308</v>
      </c>
      <c r="T19" s="9"/>
      <c r="U19" s="9"/>
      <c r="V19" s="9"/>
      <c r="W19" s="9"/>
      <c r="X19" s="9"/>
      <c r="Y19" s="9"/>
      <c r="Z19" s="9"/>
      <c r="AA19" s="9"/>
      <c r="AB19" s="9">
        <v>303</v>
      </c>
      <c r="AC19" s="9"/>
      <c r="AD19" s="9"/>
      <c r="AE19" s="9">
        <v>336</v>
      </c>
      <c r="AF19" s="9"/>
      <c r="AG19" s="9">
        <f t="shared" si="0"/>
        <v>3</v>
      </c>
      <c r="AH19" s="62">
        <f t="shared" si="1"/>
        <v>315.66666666666669</v>
      </c>
      <c r="AI19" s="11" t="str">
        <f t="shared" si="2"/>
        <v>APROVADO</v>
      </c>
    </row>
    <row r="20" spans="2:35" s="64" customFormat="1" ht="39.950000000000003" hidden="1" customHeight="1" x14ac:dyDescent="0.25">
      <c r="B20" s="5">
        <v>291</v>
      </c>
      <c r="C20" s="22" t="s">
        <v>1493</v>
      </c>
      <c r="D20" s="5" t="s">
        <v>51</v>
      </c>
      <c r="E20" s="59" t="s">
        <v>1488</v>
      </c>
      <c r="F20" s="11" t="s">
        <v>1494</v>
      </c>
      <c r="G20" s="11" t="s">
        <v>36</v>
      </c>
      <c r="H20" s="41">
        <v>87500</v>
      </c>
      <c r="I20" s="41"/>
      <c r="J20" s="41"/>
      <c r="K20" s="9" t="s">
        <v>1490</v>
      </c>
      <c r="L20" s="11" t="s">
        <v>1414</v>
      </c>
      <c r="M20" s="9" t="s">
        <v>1495</v>
      </c>
      <c r="N20" s="68" t="s">
        <v>1492</v>
      </c>
      <c r="O20" s="34">
        <v>45321</v>
      </c>
      <c r="P20" s="9" t="s">
        <v>57</v>
      </c>
      <c r="Q20" s="9"/>
      <c r="R20" s="65"/>
      <c r="S20" s="9">
        <v>336</v>
      </c>
      <c r="T20" s="9"/>
      <c r="U20" s="9"/>
      <c r="V20" s="9"/>
      <c r="W20" s="9"/>
      <c r="X20" s="9"/>
      <c r="Y20" s="9"/>
      <c r="Z20" s="9">
        <v>298</v>
      </c>
      <c r="AA20" s="9">
        <v>303</v>
      </c>
      <c r="AB20" s="9"/>
      <c r="AC20" s="9"/>
      <c r="AD20" s="9"/>
      <c r="AE20" s="65"/>
      <c r="AF20" s="65"/>
      <c r="AG20" s="9">
        <f t="shared" si="0"/>
        <v>3</v>
      </c>
      <c r="AH20" s="62">
        <f t="shared" si="1"/>
        <v>312.33333333333331</v>
      </c>
      <c r="AI20" s="11" t="str">
        <f t="shared" si="2"/>
        <v>APROVADO</v>
      </c>
    </row>
    <row r="21" spans="2:35" s="64" customFormat="1" ht="39.950000000000003" hidden="1" customHeight="1" x14ac:dyDescent="0.25">
      <c r="B21" s="5">
        <v>485</v>
      </c>
      <c r="C21" s="27" t="s">
        <v>2365</v>
      </c>
      <c r="D21" s="5" t="s">
        <v>33</v>
      </c>
      <c r="E21" s="58" t="s">
        <v>1964</v>
      </c>
      <c r="F21" s="7" t="s">
        <v>2366</v>
      </c>
      <c r="G21" s="7" t="s">
        <v>36</v>
      </c>
      <c r="H21" s="8">
        <v>236998.45</v>
      </c>
      <c r="I21" s="8"/>
      <c r="J21" s="8"/>
      <c r="K21" s="7" t="s">
        <v>2367</v>
      </c>
      <c r="L21" s="7" t="s">
        <v>235</v>
      </c>
      <c r="M21" s="7" t="s">
        <v>2368</v>
      </c>
      <c r="N21" s="9" t="s">
        <v>2369</v>
      </c>
      <c r="O21" s="10">
        <v>45322</v>
      </c>
      <c r="P21" s="7" t="s">
        <v>41</v>
      </c>
      <c r="Q21" s="7"/>
      <c r="R21" s="65"/>
      <c r="S21" s="7">
        <v>332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>
        <v>317</v>
      </c>
      <c r="AE21" s="9">
        <v>286</v>
      </c>
      <c r="AF21" s="9"/>
      <c r="AG21" s="9">
        <f t="shared" si="0"/>
        <v>3</v>
      </c>
      <c r="AH21" s="62">
        <f t="shared" si="1"/>
        <v>311.66666666666669</v>
      </c>
      <c r="AI21" s="11" t="str">
        <f t="shared" si="2"/>
        <v>APROVADO</v>
      </c>
    </row>
    <row r="22" spans="2:35" s="64" customFormat="1" ht="39.950000000000003" hidden="1" customHeight="1" x14ac:dyDescent="0.25">
      <c r="B22" s="5">
        <v>380</v>
      </c>
      <c r="C22" s="6" t="s">
        <v>1913</v>
      </c>
      <c r="D22" s="5" t="s">
        <v>51</v>
      </c>
      <c r="E22" s="58" t="s">
        <v>1906</v>
      </c>
      <c r="F22" s="7" t="s">
        <v>1914</v>
      </c>
      <c r="G22" s="7" t="s">
        <v>174</v>
      </c>
      <c r="H22" s="41">
        <v>100000</v>
      </c>
      <c r="I22" s="41"/>
      <c r="J22" s="41"/>
      <c r="K22" s="9" t="s">
        <v>1908</v>
      </c>
      <c r="L22" s="11" t="s">
        <v>348</v>
      </c>
      <c r="M22" s="9" t="s">
        <v>1909</v>
      </c>
      <c r="N22" s="67" t="s">
        <v>1910</v>
      </c>
      <c r="O22" s="34">
        <v>45322</v>
      </c>
      <c r="P22" s="9" t="s">
        <v>57</v>
      </c>
      <c r="Q22" s="9"/>
      <c r="R22" s="65"/>
      <c r="S22" s="9">
        <v>334</v>
      </c>
      <c r="T22" s="9"/>
      <c r="U22" s="9"/>
      <c r="V22" s="9"/>
      <c r="W22" s="9"/>
      <c r="X22" s="9"/>
      <c r="Y22" s="9"/>
      <c r="Z22" s="9"/>
      <c r="AA22" s="9"/>
      <c r="AB22" s="9"/>
      <c r="AC22" s="9">
        <v>252</v>
      </c>
      <c r="AD22" s="9"/>
      <c r="AE22" s="65">
        <v>334</v>
      </c>
      <c r="AF22" s="65"/>
      <c r="AG22" s="9">
        <f t="shared" si="0"/>
        <v>3</v>
      </c>
      <c r="AH22" s="62">
        <f t="shared" si="1"/>
        <v>306.66666666666669</v>
      </c>
      <c r="AI22" s="11" t="str">
        <f t="shared" si="2"/>
        <v>APROVADO</v>
      </c>
    </row>
    <row r="23" spans="2:35" s="64" customFormat="1" ht="39.950000000000003" hidden="1" customHeight="1" x14ac:dyDescent="0.25">
      <c r="B23" s="5">
        <v>468</v>
      </c>
      <c r="C23" s="6" t="s">
        <v>2283</v>
      </c>
      <c r="D23" s="5" t="s">
        <v>33</v>
      </c>
      <c r="E23" s="58" t="s">
        <v>2279</v>
      </c>
      <c r="F23" s="5" t="s">
        <v>2284</v>
      </c>
      <c r="G23" s="7" t="s">
        <v>336</v>
      </c>
      <c r="H23" s="8">
        <v>399210</v>
      </c>
      <c r="I23" s="8"/>
      <c r="J23" s="8"/>
      <c r="K23" s="7" t="s">
        <v>201</v>
      </c>
      <c r="L23" s="7" t="s">
        <v>202</v>
      </c>
      <c r="M23" s="7" t="s">
        <v>2281</v>
      </c>
      <c r="N23" s="9" t="s">
        <v>2282</v>
      </c>
      <c r="O23" s="10">
        <v>45322</v>
      </c>
      <c r="P23" s="5" t="s">
        <v>67</v>
      </c>
      <c r="Q23" s="7"/>
      <c r="R23" s="65"/>
      <c r="S23" s="5">
        <v>330</v>
      </c>
      <c r="T23" s="9"/>
      <c r="U23" s="9"/>
      <c r="V23" s="9"/>
      <c r="W23" s="9"/>
      <c r="X23" s="9"/>
      <c r="Y23" s="9"/>
      <c r="Z23" s="9">
        <v>318</v>
      </c>
      <c r="AA23" s="9">
        <v>270</v>
      </c>
      <c r="AB23" s="9"/>
      <c r="AC23" s="9"/>
      <c r="AD23" s="9"/>
      <c r="AE23" s="9"/>
      <c r="AF23" s="9"/>
      <c r="AG23" s="9">
        <f t="shared" si="0"/>
        <v>3</v>
      </c>
      <c r="AH23" s="62">
        <f t="shared" si="1"/>
        <v>306</v>
      </c>
      <c r="AI23" s="11" t="str">
        <f t="shared" si="2"/>
        <v>APROVADO</v>
      </c>
    </row>
    <row r="24" spans="2:35" s="64" customFormat="1" ht="39.950000000000003" hidden="1" customHeight="1" x14ac:dyDescent="0.25">
      <c r="B24" s="5">
        <v>456</v>
      </c>
      <c r="C24" s="27" t="s">
        <v>2229</v>
      </c>
      <c r="D24" s="5" t="s">
        <v>33</v>
      </c>
      <c r="E24" s="58" t="s">
        <v>2225</v>
      </c>
      <c r="F24" s="7" t="s">
        <v>2230</v>
      </c>
      <c r="G24" s="7" t="s">
        <v>107</v>
      </c>
      <c r="H24" s="8">
        <v>1139100</v>
      </c>
      <c r="I24" s="8"/>
      <c r="J24" s="8"/>
      <c r="K24" s="7" t="s">
        <v>2220</v>
      </c>
      <c r="L24" s="7" t="s">
        <v>38</v>
      </c>
      <c r="M24" s="7" t="s">
        <v>2227</v>
      </c>
      <c r="N24" s="9" t="s">
        <v>2228</v>
      </c>
      <c r="O24" s="10">
        <v>45322</v>
      </c>
      <c r="P24" s="7" t="s">
        <v>41</v>
      </c>
      <c r="Q24" s="9"/>
      <c r="R24" s="65"/>
      <c r="S24" s="7">
        <v>324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>
        <v>253</v>
      </c>
      <c r="AF24" s="9">
        <v>340</v>
      </c>
      <c r="AG24" s="9">
        <f t="shared" si="0"/>
        <v>3</v>
      </c>
      <c r="AH24" s="62">
        <f t="shared" si="1"/>
        <v>305.66666666666669</v>
      </c>
      <c r="AI24" s="11" t="str">
        <f t="shared" si="2"/>
        <v>APROVADO</v>
      </c>
    </row>
    <row r="25" spans="2:35" s="64" customFormat="1" ht="39.950000000000003" hidden="1" customHeight="1" x14ac:dyDescent="0.25">
      <c r="B25" s="5">
        <v>327</v>
      </c>
      <c r="C25" s="27" t="s">
        <v>1675</v>
      </c>
      <c r="D25" s="5" t="s">
        <v>33</v>
      </c>
      <c r="E25" s="58" t="s">
        <v>1676</v>
      </c>
      <c r="F25" s="7" t="s">
        <v>1677</v>
      </c>
      <c r="G25" s="7" t="s">
        <v>107</v>
      </c>
      <c r="H25" s="8">
        <v>69050</v>
      </c>
      <c r="I25" s="8"/>
      <c r="J25" s="8"/>
      <c r="K25" s="7" t="s">
        <v>108</v>
      </c>
      <c r="L25" s="7" t="s">
        <v>95</v>
      </c>
      <c r="M25" s="7" t="s">
        <v>1678</v>
      </c>
      <c r="N25" s="9" t="s">
        <v>1679</v>
      </c>
      <c r="O25" s="10">
        <v>45321</v>
      </c>
      <c r="P25" s="7" t="s">
        <v>41</v>
      </c>
      <c r="Q25" s="7"/>
      <c r="R25" s="65"/>
      <c r="S25" s="7">
        <v>334</v>
      </c>
      <c r="T25" s="9">
        <v>241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>
        <v>340</v>
      </c>
      <c r="AF25" s="9"/>
      <c r="AG25" s="9">
        <f t="shared" si="0"/>
        <v>3</v>
      </c>
      <c r="AH25" s="62">
        <f t="shared" si="1"/>
        <v>305</v>
      </c>
      <c r="AI25" s="11" t="str">
        <f t="shared" si="2"/>
        <v>APROVADO</v>
      </c>
    </row>
    <row r="26" spans="2:35" s="64" customFormat="1" ht="39.950000000000003" hidden="1" customHeight="1" x14ac:dyDescent="0.25">
      <c r="B26" s="5">
        <v>64</v>
      </c>
      <c r="C26" s="6" t="s">
        <v>381</v>
      </c>
      <c r="D26" s="5" t="s">
        <v>33</v>
      </c>
      <c r="E26" s="5" t="s">
        <v>382</v>
      </c>
      <c r="F26" s="7" t="s">
        <v>383</v>
      </c>
      <c r="G26" s="7" t="s">
        <v>36</v>
      </c>
      <c r="H26" s="84">
        <v>100000</v>
      </c>
      <c r="I26" s="17"/>
      <c r="J26" s="17"/>
      <c r="K26" s="5" t="s">
        <v>384</v>
      </c>
      <c r="L26" s="5" t="s">
        <v>348</v>
      </c>
      <c r="M26" s="5" t="s">
        <v>385</v>
      </c>
      <c r="N26" s="9" t="s">
        <v>386</v>
      </c>
      <c r="O26" s="10">
        <v>45306</v>
      </c>
      <c r="P26" s="5" t="s">
        <v>41</v>
      </c>
      <c r="Q26" s="5"/>
      <c r="R26" s="5"/>
      <c r="S26" s="9">
        <v>340</v>
      </c>
      <c r="T26" s="9">
        <v>272</v>
      </c>
      <c r="U26" s="9"/>
      <c r="V26" s="9">
        <v>301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>
        <f t="shared" si="0"/>
        <v>3</v>
      </c>
      <c r="AH26" s="62">
        <f t="shared" si="1"/>
        <v>304.33333333333331</v>
      </c>
      <c r="AI26" s="11" t="str">
        <f t="shared" si="2"/>
        <v>APROVADO</v>
      </c>
    </row>
    <row r="27" spans="2:35" s="64" customFormat="1" ht="39.950000000000003" hidden="1" customHeight="1" x14ac:dyDescent="0.25">
      <c r="B27" s="5">
        <v>513</v>
      </c>
      <c r="C27" s="22" t="s">
        <v>2508</v>
      </c>
      <c r="D27" s="5" t="s">
        <v>51</v>
      </c>
      <c r="E27" s="9" t="s">
        <v>2509</v>
      </c>
      <c r="F27" s="9" t="s">
        <v>2510</v>
      </c>
      <c r="G27" s="11" t="s">
        <v>107</v>
      </c>
      <c r="H27" s="85">
        <v>34165</v>
      </c>
      <c r="I27" s="38"/>
      <c r="J27" s="38"/>
      <c r="K27" s="9" t="s">
        <v>2511</v>
      </c>
      <c r="L27" s="11" t="s">
        <v>47</v>
      </c>
      <c r="M27" s="9" t="s">
        <v>2512</v>
      </c>
      <c r="N27" s="52" t="s">
        <v>3872</v>
      </c>
      <c r="O27" s="34">
        <v>45322</v>
      </c>
      <c r="P27" s="9" t="s">
        <v>57</v>
      </c>
      <c r="Q27" s="11" t="s">
        <v>2514</v>
      </c>
      <c r="R27" s="9"/>
      <c r="S27" s="9">
        <v>265</v>
      </c>
      <c r="T27" s="9"/>
      <c r="U27" s="9"/>
      <c r="V27" s="9"/>
      <c r="W27" s="9"/>
      <c r="X27" s="9"/>
      <c r="Y27" s="9"/>
      <c r="Z27" s="9">
        <v>324</v>
      </c>
      <c r="AA27" s="9">
        <v>324</v>
      </c>
      <c r="AB27" s="9"/>
      <c r="AC27" s="9"/>
      <c r="AD27" s="9"/>
      <c r="AE27" s="65"/>
      <c r="AF27" s="65"/>
      <c r="AG27" s="9">
        <f t="shared" si="0"/>
        <v>3</v>
      </c>
      <c r="AH27" s="62">
        <f t="shared" si="1"/>
        <v>304.33333333333331</v>
      </c>
      <c r="AI27" s="11" t="str">
        <f t="shared" si="2"/>
        <v>APROVADO</v>
      </c>
    </row>
    <row r="28" spans="2:35" s="64" customFormat="1" ht="39.950000000000003" hidden="1" customHeight="1" x14ac:dyDescent="0.25">
      <c r="B28" s="5">
        <v>308</v>
      </c>
      <c r="C28" s="6" t="s">
        <v>1585</v>
      </c>
      <c r="D28" s="5" t="s">
        <v>33</v>
      </c>
      <c r="E28" s="5" t="s">
        <v>1586</v>
      </c>
      <c r="F28" s="7" t="s">
        <v>1587</v>
      </c>
      <c r="G28" s="7" t="s">
        <v>36</v>
      </c>
      <c r="H28" s="84">
        <v>258000</v>
      </c>
      <c r="I28" s="17"/>
      <c r="J28" s="17"/>
      <c r="K28" s="5" t="s">
        <v>73</v>
      </c>
      <c r="L28" s="5" t="s">
        <v>74</v>
      </c>
      <c r="M28" s="5" t="s">
        <v>1588</v>
      </c>
      <c r="N28" s="31" t="s">
        <v>3852</v>
      </c>
      <c r="O28" s="10">
        <v>45321</v>
      </c>
      <c r="P28" s="5" t="s">
        <v>67</v>
      </c>
      <c r="Q28" s="5"/>
      <c r="R28" s="65"/>
      <c r="S28" s="5">
        <v>340</v>
      </c>
      <c r="T28" s="9">
        <v>232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>
        <v>340</v>
      </c>
      <c r="AG28" s="9">
        <f t="shared" si="0"/>
        <v>3</v>
      </c>
      <c r="AH28" s="62">
        <f t="shared" si="1"/>
        <v>304</v>
      </c>
      <c r="AI28" s="11" t="str">
        <f t="shared" si="2"/>
        <v>APROVADO</v>
      </c>
    </row>
    <row r="29" spans="2:35" s="64" customFormat="1" ht="39.950000000000003" hidden="1" customHeight="1" x14ac:dyDescent="0.25">
      <c r="B29" s="58">
        <v>473</v>
      </c>
      <c r="C29" s="6" t="s">
        <v>2310</v>
      </c>
      <c r="D29" s="5" t="s">
        <v>33</v>
      </c>
      <c r="E29" s="5" t="s">
        <v>2311</v>
      </c>
      <c r="F29" s="5" t="s">
        <v>2312</v>
      </c>
      <c r="G29" s="7" t="s">
        <v>36</v>
      </c>
      <c r="H29" s="84">
        <v>46669.7</v>
      </c>
      <c r="I29" s="17"/>
      <c r="J29" s="17"/>
      <c r="K29" s="5" t="s">
        <v>2307</v>
      </c>
      <c r="L29" s="5" t="s">
        <v>181</v>
      </c>
      <c r="M29" s="5" t="s">
        <v>2313</v>
      </c>
      <c r="N29" s="9" t="s">
        <v>2314</v>
      </c>
      <c r="O29" s="10">
        <v>45322</v>
      </c>
      <c r="P29" s="5" t="s">
        <v>67</v>
      </c>
      <c r="Q29" s="5" t="s">
        <v>2111</v>
      </c>
      <c r="R29" s="65"/>
      <c r="S29" s="5">
        <v>340</v>
      </c>
      <c r="T29" s="9">
        <v>232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>
        <v>340</v>
      </c>
      <c r="AG29" s="9">
        <f t="shared" si="0"/>
        <v>3</v>
      </c>
      <c r="AH29" s="62">
        <f t="shared" si="1"/>
        <v>304</v>
      </c>
      <c r="AI29" s="11" t="str">
        <f t="shared" si="2"/>
        <v>APROVADO</v>
      </c>
    </row>
    <row r="30" spans="2:35" s="64" customFormat="1" ht="39.950000000000003" hidden="1" customHeight="1" x14ac:dyDescent="0.25">
      <c r="B30" s="5">
        <v>329</v>
      </c>
      <c r="C30" s="27" t="s">
        <v>1682</v>
      </c>
      <c r="D30" s="5" t="s">
        <v>33</v>
      </c>
      <c r="E30" s="58" t="s">
        <v>1676</v>
      </c>
      <c r="F30" s="7" t="s">
        <v>1683</v>
      </c>
      <c r="G30" s="7" t="s">
        <v>107</v>
      </c>
      <c r="H30" s="8">
        <v>65300</v>
      </c>
      <c r="I30" s="8"/>
      <c r="J30" s="8"/>
      <c r="K30" s="7" t="s">
        <v>108</v>
      </c>
      <c r="L30" s="7" t="s">
        <v>95</v>
      </c>
      <c r="M30" s="7" t="s">
        <v>1678</v>
      </c>
      <c r="N30" s="9" t="s">
        <v>1679</v>
      </c>
      <c r="O30" s="10">
        <v>45321</v>
      </c>
      <c r="P30" s="7" t="s">
        <v>41</v>
      </c>
      <c r="Q30" s="7"/>
      <c r="R30" s="65"/>
      <c r="S30" s="7">
        <v>340</v>
      </c>
      <c r="T30" s="9">
        <v>229</v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>
        <v>340</v>
      </c>
      <c r="AF30" s="9"/>
      <c r="AG30" s="9">
        <f t="shared" si="0"/>
        <v>3</v>
      </c>
      <c r="AH30" s="62">
        <f t="shared" si="1"/>
        <v>303</v>
      </c>
      <c r="AI30" s="11" t="str">
        <f t="shared" si="2"/>
        <v>APROVADO</v>
      </c>
    </row>
    <row r="31" spans="2:35" s="64" customFormat="1" ht="39.950000000000003" hidden="1" customHeight="1" x14ac:dyDescent="0.25">
      <c r="B31" s="5">
        <v>266</v>
      </c>
      <c r="C31" s="6" t="s">
        <v>1374</v>
      </c>
      <c r="D31" s="5" t="s">
        <v>33</v>
      </c>
      <c r="E31" s="5" t="s">
        <v>1375</v>
      </c>
      <c r="F31" s="7" t="s">
        <v>1376</v>
      </c>
      <c r="G31" s="7" t="s">
        <v>36</v>
      </c>
      <c r="H31" s="84">
        <v>295091.13</v>
      </c>
      <c r="I31" s="8"/>
      <c r="J31" s="8"/>
      <c r="K31" s="7" t="s">
        <v>1367</v>
      </c>
      <c r="L31" s="7" t="s">
        <v>453</v>
      </c>
      <c r="M31" s="7" t="s">
        <v>1377</v>
      </c>
      <c r="N31" s="9" t="s">
        <v>1378</v>
      </c>
      <c r="O31" s="10">
        <v>45320</v>
      </c>
      <c r="P31" s="7" t="s">
        <v>67</v>
      </c>
      <c r="Q31" s="7"/>
      <c r="R31" s="65"/>
      <c r="S31" s="7">
        <v>229</v>
      </c>
      <c r="T31" s="9"/>
      <c r="U31" s="9"/>
      <c r="V31" s="9"/>
      <c r="W31" s="9"/>
      <c r="X31" s="9"/>
      <c r="Y31" s="9"/>
      <c r="Z31" s="9">
        <v>340</v>
      </c>
      <c r="AA31" s="9">
        <v>340</v>
      </c>
      <c r="AB31" s="9"/>
      <c r="AC31" s="9"/>
      <c r="AD31" s="9"/>
      <c r="AE31" s="9"/>
      <c r="AF31" s="9"/>
      <c r="AG31" s="9">
        <f t="shared" si="0"/>
        <v>3</v>
      </c>
      <c r="AH31" s="62">
        <f t="shared" si="1"/>
        <v>303</v>
      </c>
      <c r="AI31" s="11" t="str">
        <f>IF(AH31&gt;='Aprovados Recursos do Fundo'!$AQ$1,"APROVADO","REPROVADO")</f>
        <v>APROVADO</v>
      </c>
    </row>
    <row r="32" spans="2:35" s="64" customFormat="1" ht="39.950000000000003" hidden="1" customHeight="1" x14ac:dyDescent="0.25">
      <c r="B32" s="5">
        <v>570</v>
      </c>
      <c r="C32" s="6" t="s">
        <v>2720</v>
      </c>
      <c r="D32" s="5" t="s">
        <v>51</v>
      </c>
      <c r="E32" s="58" t="s">
        <v>2721</v>
      </c>
      <c r="F32" s="7" t="s">
        <v>2728</v>
      </c>
      <c r="G32" s="7" t="s">
        <v>45</v>
      </c>
      <c r="H32" s="41">
        <v>300000</v>
      </c>
      <c r="I32" s="41"/>
      <c r="J32" s="41"/>
      <c r="K32" s="9" t="s">
        <v>2723</v>
      </c>
      <c r="L32" s="11" t="s">
        <v>202</v>
      </c>
      <c r="M32" s="7" t="s">
        <v>2724</v>
      </c>
      <c r="N32" s="21" t="s">
        <v>2725</v>
      </c>
      <c r="O32" s="34">
        <v>45322</v>
      </c>
      <c r="P32" s="9" t="s">
        <v>57</v>
      </c>
      <c r="Q32" s="11" t="s">
        <v>2726</v>
      </c>
      <c r="R32" s="9"/>
      <c r="S32" s="9">
        <v>298</v>
      </c>
      <c r="T32" s="9"/>
      <c r="U32" s="9"/>
      <c r="V32" s="9"/>
      <c r="W32" s="9"/>
      <c r="X32" s="9"/>
      <c r="Y32" s="9"/>
      <c r="Z32" s="9">
        <v>321</v>
      </c>
      <c r="AA32" s="9">
        <v>289</v>
      </c>
      <c r="AB32" s="9"/>
      <c r="AC32" s="9"/>
      <c r="AD32" s="9"/>
      <c r="AE32" s="65"/>
      <c r="AF32" s="65"/>
      <c r="AG32" s="9">
        <f t="shared" si="0"/>
        <v>3</v>
      </c>
      <c r="AH32" s="62">
        <f t="shared" si="1"/>
        <v>302.66666666666669</v>
      </c>
      <c r="AI32" s="11" t="str">
        <f>IF(AH32&gt;=$AI$1,"APROVADO","REPROVADO")</f>
        <v>APROVADO</v>
      </c>
    </row>
    <row r="33" spans="2:35" s="64" customFormat="1" ht="39.950000000000003" hidden="1" customHeight="1" x14ac:dyDescent="0.25">
      <c r="B33" s="5">
        <v>535</v>
      </c>
      <c r="C33" s="6" t="s">
        <v>2604</v>
      </c>
      <c r="D33" s="5" t="s">
        <v>51</v>
      </c>
      <c r="E33" s="5" t="s">
        <v>2914</v>
      </c>
      <c r="F33" s="7" t="s">
        <v>2605</v>
      </c>
      <c r="G33" s="7" t="s">
        <v>36</v>
      </c>
      <c r="H33" s="85">
        <v>125000</v>
      </c>
      <c r="I33" s="41"/>
      <c r="J33" s="41"/>
      <c r="K33" s="9" t="s">
        <v>2606</v>
      </c>
      <c r="L33" s="11" t="s">
        <v>64</v>
      </c>
      <c r="M33" s="7" t="s">
        <v>2607</v>
      </c>
      <c r="N33" s="7" t="s">
        <v>3881</v>
      </c>
      <c r="O33" s="34">
        <v>45322</v>
      </c>
      <c r="P33" s="9" t="s">
        <v>57</v>
      </c>
      <c r="Q33" s="11" t="s">
        <v>2609</v>
      </c>
      <c r="R33" s="9"/>
      <c r="S33" s="9">
        <v>281</v>
      </c>
      <c r="T33" s="9"/>
      <c r="U33" s="9"/>
      <c r="V33" s="9"/>
      <c r="W33" s="9"/>
      <c r="X33" s="9"/>
      <c r="Y33" s="9"/>
      <c r="Z33" s="9">
        <v>313</v>
      </c>
      <c r="AA33" s="9">
        <v>313</v>
      </c>
      <c r="AB33" s="9"/>
      <c r="AC33" s="9"/>
      <c r="AD33" s="9"/>
      <c r="AE33" s="65"/>
      <c r="AF33" s="65"/>
      <c r="AG33" s="9">
        <f t="shared" si="0"/>
        <v>3</v>
      </c>
      <c r="AH33" s="62">
        <f t="shared" si="1"/>
        <v>302.33333333333331</v>
      </c>
      <c r="AI33" s="11" t="str">
        <f>IF(AH33&gt;='Aprovados Recursos do Fundo'!$AQ$1,"APROVADO","REPROVADO")</f>
        <v>APROVADO</v>
      </c>
    </row>
    <row r="34" spans="2:35" s="64" customFormat="1" ht="39.950000000000003" hidden="1" customHeight="1" x14ac:dyDescent="0.25">
      <c r="B34" s="5">
        <v>572</v>
      </c>
      <c r="C34" s="6" t="s">
        <v>2735</v>
      </c>
      <c r="D34" s="5" t="s">
        <v>33</v>
      </c>
      <c r="E34" s="5" t="s">
        <v>2736</v>
      </c>
      <c r="F34" s="7" t="s">
        <v>2737</v>
      </c>
      <c r="G34" s="7" t="s">
        <v>107</v>
      </c>
      <c r="H34" s="92">
        <v>987125</v>
      </c>
      <c r="I34" s="8"/>
      <c r="J34" s="8"/>
      <c r="K34" s="7" t="s">
        <v>73</v>
      </c>
      <c r="L34" s="5" t="s">
        <v>74</v>
      </c>
      <c r="M34" s="7" t="s">
        <v>2738</v>
      </c>
      <c r="N34" s="9" t="s">
        <v>2739</v>
      </c>
      <c r="O34" s="10">
        <v>45322</v>
      </c>
      <c r="P34" s="7" t="s">
        <v>67</v>
      </c>
      <c r="Q34" s="7" t="s">
        <v>68</v>
      </c>
      <c r="R34" s="7"/>
      <c r="S34" s="7">
        <v>231</v>
      </c>
      <c r="T34" s="9"/>
      <c r="U34" s="9"/>
      <c r="V34" s="9"/>
      <c r="W34" s="9"/>
      <c r="X34" s="9"/>
      <c r="Y34" s="9">
        <v>335</v>
      </c>
      <c r="Z34" s="9"/>
      <c r="AA34" s="9">
        <v>340</v>
      </c>
      <c r="AB34" s="9"/>
      <c r="AC34" s="9"/>
      <c r="AD34" s="9"/>
      <c r="AE34" s="9"/>
      <c r="AF34" s="9"/>
      <c r="AG34" s="9">
        <f t="shared" si="0"/>
        <v>3</v>
      </c>
      <c r="AH34" s="62">
        <f t="shared" si="1"/>
        <v>302</v>
      </c>
      <c r="AI34" s="11" t="str">
        <f>IF(AH34&gt;='Aprovados Recursos do Fundo'!$AQ$1,"APROVADO","REPROVADO")</f>
        <v>APROVADO</v>
      </c>
    </row>
    <row r="35" spans="2:35" s="64" customFormat="1" ht="39.950000000000003" hidden="1" customHeight="1" x14ac:dyDescent="0.25">
      <c r="B35" s="5">
        <v>25</v>
      </c>
      <c r="C35" s="6" t="s">
        <v>198</v>
      </c>
      <c r="D35" s="5" t="s">
        <v>33</v>
      </c>
      <c r="E35" s="58" t="s">
        <v>199</v>
      </c>
      <c r="F35" s="5" t="s">
        <v>200</v>
      </c>
      <c r="G35" s="5" t="s">
        <v>36</v>
      </c>
      <c r="H35" s="15">
        <v>261777</v>
      </c>
      <c r="I35" s="15"/>
      <c r="J35" s="15"/>
      <c r="K35" s="5" t="s">
        <v>201</v>
      </c>
      <c r="L35" s="5" t="s">
        <v>202</v>
      </c>
      <c r="M35" s="5" t="s">
        <v>203</v>
      </c>
      <c r="N35" s="9" t="s">
        <v>204</v>
      </c>
      <c r="O35" s="10">
        <v>45302</v>
      </c>
      <c r="P35" s="7" t="s">
        <v>41</v>
      </c>
      <c r="Q35" s="7"/>
      <c r="R35" s="7"/>
      <c r="S35" s="9">
        <v>340</v>
      </c>
      <c r="T35" s="9"/>
      <c r="U35" s="9">
        <v>262</v>
      </c>
      <c r="V35" s="9">
        <v>302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>
        <f t="shared" si="0"/>
        <v>3</v>
      </c>
      <c r="AH35" s="62">
        <f t="shared" si="1"/>
        <v>301.33333333333331</v>
      </c>
      <c r="AI35" s="11" t="str">
        <f>IF(AH35&gt;=$AI$1,"APROVADO","REPROVADO")</f>
        <v>APROVADO</v>
      </c>
    </row>
    <row r="36" spans="2:35" s="64" customFormat="1" ht="39.950000000000003" hidden="1" customHeight="1" x14ac:dyDescent="0.25">
      <c r="B36" s="5">
        <v>507</v>
      </c>
      <c r="C36" s="22" t="s">
        <v>2481</v>
      </c>
      <c r="D36" s="5" t="s">
        <v>51</v>
      </c>
      <c r="E36" s="59" t="s">
        <v>2482</v>
      </c>
      <c r="F36" s="9" t="s">
        <v>1053</v>
      </c>
      <c r="G36" s="11" t="s">
        <v>107</v>
      </c>
      <c r="H36" s="41">
        <v>239275</v>
      </c>
      <c r="I36" s="41"/>
      <c r="J36" s="41"/>
      <c r="K36" s="9" t="s">
        <v>390</v>
      </c>
      <c r="L36" s="11" t="s">
        <v>391</v>
      </c>
      <c r="M36" s="9" t="s">
        <v>2483</v>
      </c>
      <c r="N36" s="67" t="s">
        <v>2461</v>
      </c>
      <c r="O36" s="34">
        <v>45322</v>
      </c>
      <c r="P36" s="9" t="s">
        <v>57</v>
      </c>
      <c r="Q36" s="11" t="s">
        <v>2484</v>
      </c>
      <c r="R36" s="9"/>
      <c r="S36" s="9">
        <v>273</v>
      </c>
      <c r="T36" s="9"/>
      <c r="U36" s="9"/>
      <c r="V36" s="9"/>
      <c r="W36" s="9"/>
      <c r="X36" s="9"/>
      <c r="Y36" s="9"/>
      <c r="Z36" s="9">
        <v>300</v>
      </c>
      <c r="AA36" s="9">
        <v>331</v>
      </c>
      <c r="AB36" s="9"/>
      <c r="AC36" s="9"/>
      <c r="AD36" s="9"/>
      <c r="AE36" s="65"/>
      <c r="AF36" s="65"/>
      <c r="AG36" s="9">
        <f t="shared" si="0"/>
        <v>3</v>
      </c>
      <c r="AH36" s="62">
        <f t="shared" si="1"/>
        <v>301.33333333333331</v>
      </c>
      <c r="AI36" s="11" t="str">
        <f>IF(AH36&gt;=$AI$1,"APROVADO","REPROVADO")</f>
        <v>APROVADO</v>
      </c>
    </row>
    <row r="37" spans="2:35" s="64" customFormat="1" ht="39.950000000000003" hidden="1" customHeight="1" x14ac:dyDescent="0.25">
      <c r="B37" s="5">
        <v>287</v>
      </c>
      <c r="C37" s="6" t="s">
        <v>1472</v>
      </c>
      <c r="D37" s="5" t="s">
        <v>33</v>
      </c>
      <c r="E37" s="5" t="s">
        <v>1473</v>
      </c>
      <c r="F37" s="7" t="s">
        <v>1474</v>
      </c>
      <c r="G37" s="7" t="s">
        <v>36</v>
      </c>
      <c r="H37" s="92">
        <v>302200</v>
      </c>
      <c r="I37" s="8"/>
      <c r="J37" s="8"/>
      <c r="K37" s="7" t="s">
        <v>1475</v>
      </c>
      <c r="L37" s="7" t="s">
        <v>64</v>
      </c>
      <c r="M37" s="7" t="s">
        <v>1476</v>
      </c>
      <c r="N37" s="9" t="s">
        <v>1477</v>
      </c>
      <c r="O37" s="10">
        <v>45321</v>
      </c>
      <c r="P37" s="7" t="s">
        <v>67</v>
      </c>
      <c r="Q37" s="7"/>
      <c r="R37" s="65"/>
      <c r="S37" s="7">
        <v>340</v>
      </c>
      <c r="T37" s="9">
        <v>223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>
        <v>340</v>
      </c>
      <c r="AG37" s="9">
        <f t="shared" si="0"/>
        <v>3</v>
      </c>
      <c r="AH37" s="62">
        <f t="shared" si="1"/>
        <v>301</v>
      </c>
      <c r="AI37" s="11" t="str">
        <f>IF(AH37&gt;='Aprovados Recursos do Fundo'!$AQ$1,"APROVADO","REPROVADO")</f>
        <v>APROVADO</v>
      </c>
    </row>
    <row r="38" spans="2:35" s="64" customFormat="1" ht="39.950000000000003" hidden="1" customHeight="1" x14ac:dyDescent="0.25">
      <c r="B38" s="5">
        <v>381</v>
      </c>
      <c r="C38" s="6" t="s">
        <v>1915</v>
      </c>
      <c r="D38" s="5" t="s">
        <v>33</v>
      </c>
      <c r="E38" s="5" t="s">
        <v>1916</v>
      </c>
      <c r="F38" s="5" t="s">
        <v>1917</v>
      </c>
      <c r="G38" s="7" t="s">
        <v>36</v>
      </c>
      <c r="H38" s="92">
        <v>64900</v>
      </c>
      <c r="I38" s="8"/>
      <c r="J38" s="8"/>
      <c r="K38" s="7" t="s">
        <v>1908</v>
      </c>
      <c r="L38" s="7" t="s">
        <v>348</v>
      </c>
      <c r="M38" s="7" t="s">
        <v>1918</v>
      </c>
      <c r="N38" s="9" t="s">
        <v>1919</v>
      </c>
      <c r="O38" s="10">
        <v>45322</v>
      </c>
      <c r="P38" s="5" t="s">
        <v>67</v>
      </c>
      <c r="Q38" s="7"/>
      <c r="R38" s="65"/>
      <c r="S38" s="5">
        <v>340</v>
      </c>
      <c r="T38" s="9">
        <v>222</v>
      </c>
      <c r="U38" s="9"/>
      <c r="V38" s="9"/>
      <c r="W38" s="9"/>
      <c r="X38" s="9"/>
      <c r="Y38" s="9">
        <v>340</v>
      </c>
      <c r="Z38" s="9"/>
      <c r="AA38" s="9"/>
      <c r="AB38" s="9"/>
      <c r="AC38" s="9"/>
      <c r="AD38" s="9"/>
      <c r="AE38" s="9"/>
      <c r="AF38" s="9"/>
      <c r="AG38" s="9">
        <f t="shared" si="0"/>
        <v>3</v>
      </c>
      <c r="AH38" s="62">
        <f t="shared" si="1"/>
        <v>300.66666666666669</v>
      </c>
      <c r="AI38" s="11" t="str">
        <f>IF(AH38&gt;='Aprovados Recursos do Fundo'!$AQ$1,"APROVADO","REPROVADO")</f>
        <v>APROVADO</v>
      </c>
    </row>
    <row r="39" spans="2:35" s="64" customFormat="1" ht="39.950000000000003" hidden="1" customHeight="1" x14ac:dyDescent="0.25">
      <c r="B39" s="5">
        <v>519</v>
      </c>
      <c r="C39" s="22" t="s">
        <v>2539</v>
      </c>
      <c r="D39" s="5" t="s">
        <v>51</v>
      </c>
      <c r="E39" s="59" t="s">
        <v>2535</v>
      </c>
      <c r="F39" s="9" t="s">
        <v>2540</v>
      </c>
      <c r="G39" s="11" t="s">
        <v>36</v>
      </c>
      <c r="H39" s="41">
        <v>329350</v>
      </c>
      <c r="I39" s="41"/>
      <c r="J39" s="41"/>
      <c r="K39" s="9" t="s">
        <v>2138</v>
      </c>
      <c r="L39" s="11" t="s">
        <v>254</v>
      </c>
      <c r="M39" s="11" t="s">
        <v>2537</v>
      </c>
      <c r="N39" s="67" t="s">
        <v>2541</v>
      </c>
      <c r="O39" s="34">
        <v>45322</v>
      </c>
      <c r="P39" s="9" t="s">
        <v>57</v>
      </c>
      <c r="Q39" s="11" t="s">
        <v>518</v>
      </c>
      <c r="R39" s="9"/>
      <c r="S39" s="9">
        <v>293</v>
      </c>
      <c r="T39" s="9"/>
      <c r="U39" s="9"/>
      <c r="V39" s="9"/>
      <c r="W39" s="9"/>
      <c r="X39" s="9"/>
      <c r="Y39" s="9"/>
      <c r="Z39" s="9">
        <v>304</v>
      </c>
      <c r="AA39" s="9">
        <v>304</v>
      </c>
      <c r="AB39" s="9"/>
      <c r="AC39" s="9"/>
      <c r="AD39" s="9"/>
      <c r="AE39" s="65"/>
      <c r="AF39" s="65"/>
      <c r="AG39" s="9">
        <f t="shared" si="0"/>
        <v>3</v>
      </c>
      <c r="AH39" s="62">
        <f t="shared" si="1"/>
        <v>300.33333333333331</v>
      </c>
      <c r="AI39" s="11" t="str">
        <f>IF(AH39&gt;=$AI$1,"APROVADO","REPROVADO")</f>
        <v>APROVADO</v>
      </c>
    </row>
    <row r="40" spans="2:35" s="64" customFormat="1" ht="39.950000000000003" hidden="1" customHeight="1" x14ac:dyDescent="0.25">
      <c r="B40" s="5">
        <v>81</v>
      </c>
      <c r="C40" s="27" t="s">
        <v>472</v>
      </c>
      <c r="D40" s="5" t="s">
        <v>33</v>
      </c>
      <c r="E40" s="5" t="s">
        <v>473</v>
      </c>
      <c r="F40" s="7" t="s">
        <v>474</v>
      </c>
      <c r="G40" s="7" t="s">
        <v>36</v>
      </c>
      <c r="H40" s="92">
        <v>10000</v>
      </c>
      <c r="I40" s="8"/>
      <c r="J40" s="8"/>
      <c r="K40" s="7" t="s">
        <v>475</v>
      </c>
      <c r="L40" s="7" t="s">
        <v>241</v>
      </c>
      <c r="M40" s="7" t="s">
        <v>476</v>
      </c>
      <c r="N40" s="9" t="s">
        <v>477</v>
      </c>
      <c r="O40" s="10">
        <v>45307</v>
      </c>
      <c r="P40" s="7" t="s">
        <v>41</v>
      </c>
      <c r="Q40" s="7"/>
      <c r="R40" s="7" t="s">
        <v>478</v>
      </c>
      <c r="S40" s="9">
        <v>340</v>
      </c>
      <c r="T40" s="9"/>
      <c r="U40" s="9">
        <v>274</v>
      </c>
      <c r="V40" s="9">
        <v>287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>
        <f t="shared" si="0"/>
        <v>3</v>
      </c>
      <c r="AH40" s="62">
        <f t="shared" si="1"/>
        <v>300.33333333333331</v>
      </c>
      <c r="AI40" s="11" t="str">
        <f>IF(AH40&gt;='Aprovados Recursos do Fundo'!$AQ$1,"APROVADO","REPROVADO")</f>
        <v>APROVADO</v>
      </c>
    </row>
    <row r="41" spans="2:35" s="64" customFormat="1" ht="39.950000000000003" hidden="1" customHeight="1" x14ac:dyDescent="0.25">
      <c r="B41" s="5">
        <v>289</v>
      </c>
      <c r="C41" s="6" t="s">
        <v>1481</v>
      </c>
      <c r="D41" s="5" t="s">
        <v>33</v>
      </c>
      <c r="E41" s="5" t="s">
        <v>1482</v>
      </c>
      <c r="F41" s="7" t="s">
        <v>1483</v>
      </c>
      <c r="G41" s="7" t="s">
        <v>36</v>
      </c>
      <c r="H41" s="92">
        <v>160000</v>
      </c>
      <c r="I41" s="8"/>
      <c r="J41" s="8"/>
      <c r="K41" s="7" t="s">
        <v>1484</v>
      </c>
      <c r="L41" s="7" t="s">
        <v>181</v>
      </c>
      <c r="M41" s="7" t="s">
        <v>1485</v>
      </c>
      <c r="N41" s="9" t="s">
        <v>1486</v>
      </c>
      <c r="O41" s="10">
        <v>45321</v>
      </c>
      <c r="P41" s="7" t="s">
        <v>67</v>
      </c>
      <c r="Q41" s="7"/>
      <c r="R41" s="65"/>
      <c r="S41" s="7">
        <v>321</v>
      </c>
      <c r="T41" s="9"/>
      <c r="U41" s="9"/>
      <c r="V41" s="9"/>
      <c r="W41" s="9"/>
      <c r="X41" s="9"/>
      <c r="Y41" s="9"/>
      <c r="Z41" s="9">
        <v>240</v>
      </c>
      <c r="AA41" s="9">
        <v>340</v>
      </c>
      <c r="AB41" s="9"/>
      <c r="AC41" s="9"/>
      <c r="AD41" s="9"/>
      <c r="AE41" s="9"/>
      <c r="AF41" s="9"/>
      <c r="AG41" s="9">
        <f t="shared" si="0"/>
        <v>3</v>
      </c>
      <c r="AH41" s="62">
        <f t="shared" si="1"/>
        <v>300.33333333333331</v>
      </c>
      <c r="AI41" s="11" t="str">
        <f>IF(AH41&gt;='Aprovados Recursos do Fundo'!$AQ$1,"APROVADO","REPROVADO")</f>
        <v>APROVADO</v>
      </c>
    </row>
    <row r="42" spans="2:35" s="64" customFormat="1" ht="39.950000000000003" hidden="1" customHeight="1" x14ac:dyDescent="0.25">
      <c r="B42" s="5">
        <v>52</v>
      </c>
      <c r="C42" s="6" t="s">
        <v>328</v>
      </c>
      <c r="D42" s="5" t="s">
        <v>33</v>
      </c>
      <c r="E42" s="5" t="s">
        <v>329</v>
      </c>
      <c r="F42" s="7" t="s">
        <v>330</v>
      </c>
      <c r="G42" s="5" t="s">
        <v>62</v>
      </c>
      <c r="H42" s="17">
        <v>1431815.84</v>
      </c>
      <c r="I42" s="8">
        <v>2000</v>
      </c>
      <c r="J42" s="8">
        <f>H42-I42</f>
        <v>1429815.84</v>
      </c>
      <c r="K42" s="7" t="s">
        <v>73</v>
      </c>
      <c r="L42" s="7" t="s">
        <v>74</v>
      </c>
      <c r="M42" s="7" t="s">
        <v>331</v>
      </c>
      <c r="N42" s="9" t="s">
        <v>332</v>
      </c>
      <c r="O42" s="10">
        <v>45303</v>
      </c>
      <c r="P42" s="7" t="s">
        <v>41</v>
      </c>
      <c r="Q42" s="7"/>
      <c r="R42" s="7"/>
      <c r="S42" s="9">
        <v>340</v>
      </c>
      <c r="T42" s="9"/>
      <c r="U42" s="9">
        <v>272</v>
      </c>
      <c r="V42" s="9">
        <v>288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>
        <f t="shared" si="0"/>
        <v>3</v>
      </c>
      <c r="AH42" s="62">
        <f t="shared" si="1"/>
        <v>300</v>
      </c>
      <c r="AI42" s="11" t="str">
        <f>IF(AH42&gt;='Aprovados Recursos do Fundo'!$AQ$1,"APROVADO","REPROVADO")</f>
        <v>APROVADO</v>
      </c>
    </row>
    <row r="43" spans="2:35" s="64" customFormat="1" ht="39.950000000000003" hidden="1" customHeight="1" x14ac:dyDescent="0.25">
      <c r="B43" s="5">
        <v>496</v>
      </c>
      <c r="C43" s="6" t="s">
        <v>2426</v>
      </c>
      <c r="D43" s="5" t="s">
        <v>33</v>
      </c>
      <c r="E43" s="5" t="s">
        <v>2422</v>
      </c>
      <c r="F43" s="5" t="s">
        <v>2427</v>
      </c>
      <c r="G43" s="7" t="s">
        <v>300</v>
      </c>
      <c r="H43" s="17">
        <v>505667</v>
      </c>
      <c r="I43" s="8"/>
      <c r="J43" s="8"/>
      <c r="K43" s="7" t="s">
        <v>201</v>
      </c>
      <c r="L43" s="7" t="s">
        <v>202</v>
      </c>
      <c r="M43" s="7" t="s">
        <v>2424</v>
      </c>
      <c r="N43" s="9" t="s">
        <v>2425</v>
      </c>
      <c r="O43" s="10">
        <v>45322</v>
      </c>
      <c r="P43" s="5" t="s">
        <v>67</v>
      </c>
      <c r="Q43" s="9"/>
      <c r="R43" s="65"/>
      <c r="S43" s="5">
        <v>267</v>
      </c>
      <c r="T43" s="9"/>
      <c r="U43" s="9"/>
      <c r="V43" s="9"/>
      <c r="W43" s="9"/>
      <c r="X43" s="9"/>
      <c r="Y43" s="9"/>
      <c r="Z43" s="9">
        <v>316</v>
      </c>
      <c r="AA43" s="9">
        <v>316</v>
      </c>
      <c r="AB43" s="9"/>
      <c r="AC43" s="9"/>
      <c r="AD43" s="9"/>
      <c r="AE43" s="9"/>
      <c r="AF43" s="9"/>
      <c r="AG43" s="9">
        <f t="shared" si="0"/>
        <v>3</v>
      </c>
      <c r="AH43" s="62">
        <f t="shared" si="1"/>
        <v>299.66666666666669</v>
      </c>
      <c r="AI43" s="11" t="str">
        <f>IF(AH43&gt;='Aprovados Recursos do Fundo'!$AQ$1,"APROVADO","REPROVADO")</f>
        <v>APROVADO</v>
      </c>
    </row>
    <row r="44" spans="2:35" s="64" customFormat="1" ht="39.950000000000003" hidden="1" customHeight="1" x14ac:dyDescent="0.25">
      <c r="B44" s="5">
        <v>506</v>
      </c>
      <c r="C44" s="27" t="s">
        <v>2474</v>
      </c>
      <c r="D44" s="5" t="s">
        <v>33</v>
      </c>
      <c r="E44" s="5" t="s">
        <v>2475</v>
      </c>
      <c r="F44" s="7" t="s">
        <v>2476</v>
      </c>
      <c r="G44" s="7" t="s">
        <v>36</v>
      </c>
      <c r="H44" s="17">
        <v>588000</v>
      </c>
      <c r="I44" s="8"/>
      <c r="J44" s="8"/>
      <c r="K44" s="7" t="s">
        <v>2477</v>
      </c>
      <c r="L44" s="7" t="s">
        <v>235</v>
      </c>
      <c r="M44" s="7" t="s">
        <v>2478</v>
      </c>
      <c r="N44" s="9" t="s">
        <v>2479</v>
      </c>
      <c r="O44" s="10">
        <v>45322</v>
      </c>
      <c r="P44" s="7" t="s">
        <v>41</v>
      </c>
      <c r="Q44" s="7"/>
      <c r="R44" s="7" t="s">
        <v>2480</v>
      </c>
      <c r="S44" s="7">
        <v>333</v>
      </c>
      <c r="T44" s="9"/>
      <c r="U44" s="9"/>
      <c r="V44" s="9">
        <v>259</v>
      </c>
      <c r="W44" s="9"/>
      <c r="X44" s="9"/>
      <c r="Y44" s="9"/>
      <c r="Z44" s="9"/>
      <c r="AA44" s="9"/>
      <c r="AB44" s="9"/>
      <c r="AC44" s="9"/>
      <c r="AD44" s="9"/>
      <c r="AE44" s="9">
        <v>307</v>
      </c>
      <c r="AF44" s="9"/>
      <c r="AG44" s="9">
        <f t="shared" si="0"/>
        <v>3</v>
      </c>
      <c r="AH44" s="62">
        <f t="shared" si="1"/>
        <v>299.66666666666669</v>
      </c>
      <c r="AI44" s="11" t="str">
        <f>IF(AH44&gt;='Aprovados Recursos do Fundo'!$AQ$1,"APROVADO","REPROVADO")</f>
        <v>APROVADO</v>
      </c>
    </row>
    <row r="45" spans="2:35" s="64" customFormat="1" ht="39.950000000000003" hidden="1" customHeight="1" x14ac:dyDescent="0.25">
      <c r="B45" s="5">
        <v>326</v>
      </c>
      <c r="C45" s="27" t="s">
        <v>1673</v>
      </c>
      <c r="D45" s="5" t="s">
        <v>33</v>
      </c>
      <c r="E45" s="58" t="s">
        <v>1667</v>
      </c>
      <c r="F45" s="7" t="s">
        <v>1674</v>
      </c>
      <c r="G45" s="5" t="s">
        <v>62</v>
      </c>
      <c r="H45" s="8">
        <v>521505.34</v>
      </c>
      <c r="I45" s="8"/>
      <c r="J45" s="8"/>
      <c r="K45" s="7" t="s">
        <v>538</v>
      </c>
      <c r="L45" s="7" t="s">
        <v>115</v>
      </c>
      <c r="M45" s="7" t="s">
        <v>1669</v>
      </c>
      <c r="N45" s="9" t="s">
        <v>1670</v>
      </c>
      <c r="O45" s="10">
        <v>45321</v>
      </c>
      <c r="P45" s="7" t="s">
        <v>41</v>
      </c>
      <c r="Q45" s="7"/>
      <c r="R45" s="65"/>
      <c r="S45" s="7">
        <v>340</v>
      </c>
      <c r="T45" s="9">
        <v>244</v>
      </c>
      <c r="U45" s="9"/>
      <c r="V45" s="9"/>
      <c r="W45" s="9"/>
      <c r="X45" s="9"/>
      <c r="Y45" s="9"/>
      <c r="Z45" s="9"/>
      <c r="AA45" s="9"/>
      <c r="AB45" s="9">
        <v>313</v>
      </c>
      <c r="AC45" s="9"/>
      <c r="AD45" s="9"/>
      <c r="AE45" s="9"/>
      <c r="AF45" s="9"/>
      <c r="AG45" s="9">
        <f t="shared" si="0"/>
        <v>3</v>
      </c>
      <c r="AH45" s="62">
        <f t="shared" si="1"/>
        <v>299</v>
      </c>
      <c r="AI45" s="11" t="str">
        <f>IF(AH45&gt;=$AI$1,"APROVADO","REPROVADO")</f>
        <v>APROVADO</v>
      </c>
    </row>
    <row r="46" spans="2:35" s="64" customFormat="1" ht="39.950000000000003" hidden="1" customHeight="1" x14ac:dyDescent="0.25">
      <c r="B46" s="5">
        <v>46</v>
      </c>
      <c r="C46" s="6" t="s">
        <v>297</v>
      </c>
      <c r="D46" s="5" t="s">
        <v>33</v>
      </c>
      <c r="E46" s="5" t="s">
        <v>298</v>
      </c>
      <c r="F46" s="7" t="s">
        <v>299</v>
      </c>
      <c r="G46" s="7" t="s">
        <v>300</v>
      </c>
      <c r="H46" s="17">
        <v>252000</v>
      </c>
      <c r="I46" s="8"/>
      <c r="J46" s="8"/>
      <c r="K46" s="7" t="s">
        <v>290</v>
      </c>
      <c r="L46" s="7" t="s">
        <v>154</v>
      </c>
      <c r="M46" s="7" t="s">
        <v>301</v>
      </c>
      <c r="N46" s="9" t="s">
        <v>302</v>
      </c>
      <c r="O46" s="10">
        <v>45303</v>
      </c>
      <c r="P46" s="7" t="s">
        <v>41</v>
      </c>
      <c r="Q46" s="7"/>
      <c r="R46" s="65"/>
      <c r="S46" s="9">
        <v>286</v>
      </c>
      <c r="T46" s="9">
        <v>305</v>
      </c>
      <c r="U46" s="9"/>
      <c r="V46" s="9">
        <v>306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>
        <f t="shared" si="0"/>
        <v>3</v>
      </c>
      <c r="AH46" s="62">
        <f t="shared" si="1"/>
        <v>299</v>
      </c>
      <c r="AI46" s="11" t="str">
        <f>IF(AH46&gt;='Aprovados Recursos do Fundo'!$AQ$1,"APROVADO","REPROVADO")</f>
        <v>APROVADO</v>
      </c>
    </row>
    <row r="47" spans="2:35" s="64" customFormat="1" ht="39.950000000000003" hidden="1" customHeight="1" x14ac:dyDescent="0.25">
      <c r="B47" s="5">
        <v>387</v>
      </c>
      <c r="C47" s="6" t="s">
        <v>1945</v>
      </c>
      <c r="D47" s="5" t="s">
        <v>33</v>
      </c>
      <c r="E47" s="58" t="s">
        <v>1946</v>
      </c>
      <c r="F47" s="5" t="s">
        <v>1947</v>
      </c>
      <c r="G47" s="7" t="s">
        <v>107</v>
      </c>
      <c r="H47" s="8">
        <v>79200</v>
      </c>
      <c r="I47" s="8"/>
      <c r="J47" s="8"/>
      <c r="K47" s="7" t="s">
        <v>728</v>
      </c>
      <c r="L47" s="7" t="s">
        <v>123</v>
      </c>
      <c r="M47" s="7" t="s">
        <v>1948</v>
      </c>
      <c r="N47" s="9" t="s">
        <v>1949</v>
      </c>
      <c r="O47" s="10">
        <v>45322</v>
      </c>
      <c r="P47" s="5" t="s">
        <v>67</v>
      </c>
      <c r="Q47" s="7"/>
      <c r="R47" s="65"/>
      <c r="S47" s="5">
        <v>310</v>
      </c>
      <c r="T47" s="9">
        <v>250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>
        <v>336</v>
      </c>
      <c r="AF47" s="9"/>
      <c r="AG47" s="9">
        <f t="shared" si="0"/>
        <v>3</v>
      </c>
      <c r="AH47" s="62">
        <f t="shared" si="1"/>
        <v>298.66666666666669</v>
      </c>
      <c r="AI47" s="11" t="str">
        <f>IF(AH47&gt;=$AI$1,"APROVADO","REPROVADO")</f>
        <v>APROVADO</v>
      </c>
    </row>
    <row r="48" spans="2:35" s="64" customFormat="1" ht="39.950000000000003" hidden="1" customHeight="1" x14ac:dyDescent="0.25">
      <c r="B48" s="5">
        <v>428</v>
      </c>
      <c r="C48" s="6" t="s">
        <v>2108</v>
      </c>
      <c r="D48" s="5" t="s">
        <v>33</v>
      </c>
      <c r="E48" s="58" t="s">
        <v>2104</v>
      </c>
      <c r="F48" s="5" t="s">
        <v>2109</v>
      </c>
      <c r="G48" s="5" t="s">
        <v>36</v>
      </c>
      <c r="H48" s="17">
        <v>5500000</v>
      </c>
      <c r="I48" s="17"/>
      <c r="J48" s="17"/>
      <c r="K48" s="7" t="s">
        <v>73</v>
      </c>
      <c r="L48" s="5" t="s">
        <v>74</v>
      </c>
      <c r="M48" s="5" t="s">
        <v>2110</v>
      </c>
      <c r="N48" s="9" t="s">
        <v>2107</v>
      </c>
      <c r="O48" s="10">
        <v>45322</v>
      </c>
      <c r="P48" s="5" t="s">
        <v>67</v>
      </c>
      <c r="Q48" s="7" t="s">
        <v>2111</v>
      </c>
      <c r="R48" s="65"/>
      <c r="S48" s="5">
        <v>301</v>
      </c>
      <c r="T48" s="9"/>
      <c r="U48" s="9"/>
      <c r="V48" s="9"/>
      <c r="W48" s="9"/>
      <c r="X48" s="9"/>
      <c r="Y48" s="9"/>
      <c r="Z48" s="9">
        <v>292</v>
      </c>
      <c r="AA48" s="9">
        <v>303</v>
      </c>
      <c r="AB48" s="9"/>
      <c r="AC48" s="9"/>
      <c r="AD48" s="9"/>
      <c r="AE48" s="9"/>
      <c r="AF48" s="9"/>
      <c r="AG48" s="9">
        <f t="shared" si="0"/>
        <v>3</v>
      </c>
      <c r="AH48" s="62">
        <f t="shared" si="1"/>
        <v>298.66666666666669</v>
      </c>
      <c r="AI48" s="11" t="str">
        <f>IF(AH48&gt;=$AI$1,"APROVADO","REPROVADO")</f>
        <v>APROVADO</v>
      </c>
    </row>
    <row r="49" spans="2:35" s="64" customFormat="1" ht="39.950000000000003" hidden="1" customHeight="1" x14ac:dyDescent="0.25">
      <c r="B49" s="5">
        <v>444</v>
      </c>
      <c r="C49" s="6" t="s">
        <v>2172</v>
      </c>
      <c r="D49" s="5" t="s">
        <v>33</v>
      </c>
      <c r="E49" s="5" t="s">
        <v>2173</v>
      </c>
      <c r="F49" s="7" t="s">
        <v>2174</v>
      </c>
      <c r="G49" s="7" t="s">
        <v>336</v>
      </c>
      <c r="H49" s="71">
        <v>2997082.04</v>
      </c>
      <c r="I49" s="49"/>
      <c r="J49" s="49"/>
      <c r="K49" s="7" t="s">
        <v>73</v>
      </c>
      <c r="L49" s="5" t="s">
        <v>74</v>
      </c>
      <c r="M49" s="9" t="s">
        <v>2175</v>
      </c>
      <c r="N49" s="9" t="s">
        <v>2176</v>
      </c>
      <c r="O49" s="10">
        <v>45322</v>
      </c>
      <c r="P49" s="7" t="s">
        <v>67</v>
      </c>
      <c r="Q49" s="9"/>
      <c r="R49" s="65"/>
      <c r="S49" s="7">
        <v>293</v>
      </c>
      <c r="T49" s="9"/>
      <c r="U49" s="9"/>
      <c r="V49" s="9"/>
      <c r="W49" s="9"/>
      <c r="X49" s="9">
        <v>296</v>
      </c>
      <c r="Y49" s="9">
        <v>307</v>
      </c>
      <c r="Z49" s="9"/>
      <c r="AA49" s="9"/>
      <c r="AB49" s="9"/>
      <c r="AC49" s="9"/>
      <c r="AD49" s="9"/>
      <c r="AE49" s="9"/>
      <c r="AF49" s="9"/>
      <c r="AG49" s="9">
        <f t="shared" si="0"/>
        <v>3</v>
      </c>
      <c r="AH49" s="62">
        <f t="shared" si="1"/>
        <v>298.66666666666669</v>
      </c>
      <c r="AI49" s="11" t="str">
        <f>IF(AH49&gt;='Aprovados Recursos do Fundo'!$AQ$1,"APROVADO","REPROVADO")</f>
        <v>APROVADO</v>
      </c>
    </row>
    <row r="50" spans="2:35" s="64" customFormat="1" ht="39.950000000000003" hidden="1" customHeight="1" x14ac:dyDescent="0.25">
      <c r="B50" s="5">
        <v>134</v>
      </c>
      <c r="C50" s="22" t="s">
        <v>720</v>
      </c>
      <c r="D50" s="5" t="s">
        <v>51</v>
      </c>
      <c r="E50" s="9" t="s">
        <v>712</v>
      </c>
      <c r="F50" s="11" t="s">
        <v>721</v>
      </c>
      <c r="G50" s="11" t="s">
        <v>62</v>
      </c>
      <c r="H50" s="38">
        <v>600000</v>
      </c>
      <c r="I50" s="41"/>
      <c r="J50" s="41"/>
      <c r="K50" s="9" t="s">
        <v>701</v>
      </c>
      <c r="L50" s="11" t="s">
        <v>95</v>
      </c>
      <c r="M50" s="9" t="s">
        <v>722</v>
      </c>
      <c r="N50" s="9" t="s">
        <v>723</v>
      </c>
      <c r="O50" s="34">
        <v>45308</v>
      </c>
      <c r="P50" s="9" t="s">
        <v>57</v>
      </c>
      <c r="Q50" s="11" t="s">
        <v>724</v>
      </c>
      <c r="R50" s="9"/>
      <c r="S50" s="9">
        <v>305</v>
      </c>
      <c r="T50" s="9">
        <v>249</v>
      </c>
      <c r="U50" s="9"/>
      <c r="V50" s="9"/>
      <c r="W50" s="9"/>
      <c r="X50" s="9"/>
      <c r="Y50" s="9"/>
      <c r="Z50" s="9"/>
      <c r="AA50" s="9">
        <v>340</v>
      </c>
      <c r="AB50" s="9"/>
      <c r="AC50" s="9"/>
      <c r="AD50" s="9"/>
      <c r="AE50" s="9"/>
      <c r="AF50" s="9"/>
      <c r="AG50" s="9">
        <f t="shared" si="0"/>
        <v>3</v>
      </c>
      <c r="AH50" s="62">
        <f t="shared" si="1"/>
        <v>298</v>
      </c>
      <c r="AI50" s="11" t="str">
        <f>IF(AH50&gt;='Aprovados Recursos do Fundo'!$AQ$1,"APROVADO","REPROVADO")</f>
        <v>APROVADO</v>
      </c>
    </row>
    <row r="51" spans="2:35" s="64" customFormat="1" ht="39.950000000000003" hidden="1" customHeight="1" x14ac:dyDescent="0.25">
      <c r="B51" s="5">
        <v>93</v>
      </c>
      <c r="C51" s="6" t="s">
        <v>535</v>
      </c>
      <c r="D51" s="5" t="s">
        <v>33</v>
      </c>
      <c r="E51" s="5" t="s">
        <v>536</v>
      </c>
      <c r="F51" s="7" t="s">
        <v>537</v>
      </c>
      <c r="G51" s="7" t="s">
        <v>107</v>
      </c>
      <c r="H51" s="17">
        <v>88496</v>
      </c>
      <c r="I51" s="8"/>
      <c r="J51" s="8"/>
      <c r="K51" s="7" t="s">
        <v>538</v>
      </c>
      <c r="L51" s="7" t="s">
        <v>115</v>
      </c>
      <c r="M51" s="7" t="s">
        <v>539</v>
      </c>
      <c r="N51" s="9" t="s">
        <v>540</v>
      </c>
      <c r="O51" s="10">
        <v>45307</v>
      </c>
      <c r="P51" s="7" t="s">
        <v>67</v>
      </c>
      <c r="Q51" s="7" t="s">
        <v>375</v>
      </c>
      <c r="R51" s="7"/>
      <c r="S51" s="9">
        <v>313</v>
      </c>
      <c r="T51" s="9">
        <v>239</v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>
        <v>340</v>
      </c>
      <c r="AG51" s="9">
        <f t="shared" si="0"/>
        <v>3</v>
      </c>
      <c r="AH51" s="62">
        <f t="shared" si="1"/>
        <v>297.33333333333331</v>
      </c>
      <c r="AI51" s="11" t="str">
        <f>IF(AH51&gt;='Aprovados Recursos do Fundo'!$AQ$1,"APROVADO","REPROVADO")</f>
        <v>APROVADO</v>
      </c>
    </row>
    <row r="52" spans="2:35" s="64" customFormat="1" ht="39.950000000000003" hidden="1" customHeight="1" x14ac:dyDescent="0.25">
      <c r="B52" s="5">
        <v>491</v>
      </c>
      <c r="C52" s="22" t="s">
        <v>2400</v>
      </c>
      <c r="D52" s="5" t="s">
        <v>51</v>
      </c>
      <c r="E52" s="9" t="s">
        <v>2401</v>
      </c>
      <c r="F52" s="9" t="s">
        <v>2402</v>
      </c>
      <c r="G52" s="11" t="s">
        <v>36</v>
      </c>
      <c r="H52" s="38">
        <v>150000</v>
      </c>
      <c r="I52" s="41"/>
      <c r="J52" s="41"/>
      <c r="K52" s="9" t="s">
        <v>2397</v>
      </c>
      <c r="L52" s="11" t="s">
        <v>181</v>
      </c>
      <c r="M52" s="9" t="s">
        <v>2403</v>
      </c>
      <c r="N52" s="67" t="s">
        <v>2404</v>
      </c>
      <c r="O52" s="34">
        <v>45322</v>
      </c>
      <c r="P52" s="9" t="s">
        <v>41</v>
      </c>
      <c r="Q52" s="11" t="s">
        <v>2405</v>
      </c>
      <c r="R52" s="65"/>
      <c r="S52" s="9">
        <v>340</v>
      </c>
      <c r="T52" s="9"/>
      <c r="U52" s="9"/>
      <c r="V52" s="9">
        <v>210</v>
      </c>
      <c r="W52" s="9"/>
      <c r="X52" s="9"/>
      <c r="Y52" s="9"/>
      <c r="Z52" s="9"/>
      <c r="AA52" s="9"/>
      <c r="AB52" s="9"/>
      <c r="AC52" s="9"/>
      <c r="AD52" s="9"/>
      <c r="AE52" s="9">
        <v>340</v>
      </c>
      <c r="AF52" s="65"/>
      <c r="AG52" s="9">
        <f t="shared" si="0"/>
        <v>3</v>
      </c>
      <c r="AH52" s="62">
        <f t="shared" si="1"/>
        <v>296.66666666666669</v>
      </c>
      <c r="AI52" s="11" t="str">
        <f>IF(AH52&gt;='Aprovados Recursos do Fundo'!$AQ$1,"APROVADO","REPROVADO")</f>
        <v>APROVADO</v>
      </c>
    </row>
    <row r="53" spans="2:35" s="64" customFormat="1" ht="39.950000000000003" hidden="1" customHeight="1" x14ac:dyDescent="0.25">
      <c r="B53" s="5">
        <v>451</v>
      </c>
      <c r="C53" s="6" t="s">
        <v>2207</v>
      </c>
      <c r="D53" s="5" t="s">
        <v>51</v>
      </c>
      <c r="E53" s="58" t="s">
        <v>2208</v>
      </c>
      <c r="F53" s="7" t="s">
        <v>2209</v>
      </c>
      <c r="G53" s="7" t="s">
        <v>62</v>
      </c>
      <c r="H53" s="41">
        <v>394000</v>
      </c>
      <c r="I53" s="41"/>
      <c r="J53" s="41"/>
      <c r="K53" s="9" t="s">
        <v>2210</v>
      </c>
      <c r="L53" s="11" t="s">
        <v>391</v>
      </c>
      <c r="M53" s="9" t="s">
        <v>2211</v>
      </c>
      <c r="N53" s="67" t="s">
        <v>2212</v>
      </c>
      <c r="O53" s="34">
        <v>45322</v>
      </c>
      <c r="P53" s="9" t="s">
        <v>57</v>
      </c>
      <c r="Q53" s="9"/>
      <c r="R53" s="65"/>
      <c r="S53" s="9">
        <v>267</v>
      </c>
      <c r="T53" s="9"/>
      <c r="U53" s="9"/>
      <c r="V53" s="9"/>
      <c r="W53" s="9"/>
      <c r="X53" s="9">
        <v>311</v>
      </c>
      <c r="Y53" s="9"/>
      <c r="Z53" s="9">
        <v>311</v>
      </c>
      <c r="AA53" s="9"/>
      <c r="AB53" s="9"/>
      <c r="AC53" s="9"/>
      <c r="AD53" s="9"/>
      <c r="AE53" s="65"/>
      <c r="AF53" s="65"/>
      <c r="AG53" s="9">
        <f t="shared" si="0"/>
        <v>3</v>
      </c>
      <c r="AH53" s="62">
        <f t="shared" si="1"/>
        <v>296.33333333333331</v>
      </c>
      <c r="AI53" s="11" t="str">
        <f>IF(AH53&gt;=$AI$1,"APROVADO","REPROVADO")</f>
        <v>APROVADO</v>
      </c>
    </row>
    <row r="54" spans="2:35" s="64" customFormat="1" ht="39.950000000000003" hidden="1" customHeight="1" x14ac:dyDescent="0.25">
      <c r="B54" s="5">
        <v>590</v>
      </c>
      <c r="C54" s="6" t="s">
        <v>2811</v>
      </c>
      <c r="D54" s="5" t="s">
        <v>33</v>
      </c>
      <c r="E54" s="58" t="s">
        <v>2807</v>
      </c>
      <c r="F54" s="7" t="s">
        <v>2812</v>
      </c>
      <c r="G54" s="7" t="s">
        <v>107</v>
      </c>
      <c r="H54" s="8">
        <v>433836</v>
      </c>
      <c r="I54" s="8"/>
      <c r="J54" s="8"/>
      <c r="K54" s="7" t="s">
        <v>73</v>
      </c>
      <c r="L54" s="5" t="s">
        <v>74</v>
      </c>
      <c r="M54" s="7" t="s">
        <v>2809</v>
      </c>
      <c r="N54" s="9" t="s">
        <v>2810</v>
      </c>
      <c r="O54" s="10">
        <v>45322</v>
      </c>
      <c r="P54" s="7" t="s">
        <v>67</v>
      </c>
      <c r="Q54" s="7" t="s">
        <v>68</v>
      </c>
      <c r="R54" s="9"/>
      <c r="S54" s="7">
        <v>244</v>
      </c>
      <c r="T54" s="9"/>
      <c r="U54" s="9"/>
      <c r="V54" s="9"/>
      <c r="W54" s="9"/>
      <c r="X54" s="9"/>
      <c r="Y54" s="9"/>
      <c r="Z54" s="9">
        <v>316</v>
      </c>
      <c r="AA54" s="9"/>
      <c r="AB54" s="9"/>
      <c r="AC54" s="9"/>
      <c r="AD54" s="9"/>
      <c r="AE54" s="9">
        <v>329</v>
      </c>
      <c r="AF54" s="9"/>
      <c r="AG54" s="9">
        <f t="shared" si="0"/>
        <v>3</v>
      </c>
      <c r="AH54" s="62">
        <f t="shared" si="1"/>
        <v>296.33333333333331</v>
      </c>
      <c r="AI54" s="11" t="str">
        <f>IF(AH54&gt;=$AI$1,"APROVADO","REPROVADO")</f>
        <v>APROVADO</v>
      </c>
    </row>
    <row r="55" spans="2:35" s="64" customFormat="1" ht="39.950000000000003" hidden="1" customHeight="1" x14ac:dyDescent="0.25">
      <c r="B55" s="5">
        <v>16</v>
      </c>
      <c r="C55" s="6" t="s">
        <v>137</v>
      </c>
      <c r="D55" s="5" t="s">
        <v>33</v>
      </c>
      <c r="E55" s="5" t="s">
        <v>138</v>
      </c>
      <c r="F55" s="5" t="s">
        <v>139</v>
      </c>
      <c r="G55" s="5" t="s">
        <v>107</v>
      </c>
      <c r="H55" s="17">
        <v>29714</v>
      </c>
      <c r="I55" s="15"/>
      <c r="J55" s="15"/>
      <c r="K55" s="5" t="s">
        <v>140</v>
      </c>
      <c r="L55" s="5" t="s">
        <v>141</v>
      </c>
      <c r="M55" s="5" t="s">
        <v>142</v>
      </c>
      <c r="N55" s="9" t="s">
        <v>143</v>
      </c>
      <c r="O55" s="10">
        <v>45300</v>
      </c>
      <c r="P55" s="7" t="s">
        <v>67</v>
      </c>
      <c r="Q55" s="7" t="s">
        <v>98</v>
      </c>
      <c r="R55" s="7"/>
      <c r="S55" s="9">
        <v>340</v>
      </c>
      <c r="T55" s="9">
        <v>209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>
        <v>340</v>
      </c>
      <c r="AG55" s="9">
        <f t="shared" si="0"/>
        <v>3</v>
      </c>
      <c r="AH55" s="62">
        <f t="shared" si="1"/>
        <v>296.33333333333331</v>
      </c>
      <c r="AI55" s="11" t="str">
        <f>IF(AH55&gt;='Aprovados Recursos do Fundo'!$AQ$1,"APROVADO","REPROVADO")</f>
        <v>APROVADO</v>
      </c>
    </row>
    <row r="56" spans="2:35" s="64" customFormat="1" ht="39.950000000000003" hidden="1" customHeight="1" x14ac:dyDescent="0.25">
      <c r="B56" s="5">
        <v>187</v>
      </c>
      <c r="C56" s="6" t="s">
        <v>1002</v>
      </c>
      <c r="D56" s="5" t="s">
        <v>33</v>
      </c>
      <c r="E56" s="5" t="s">
        <v>1003</v>
      </c>
      <c r="F56" s="7" t="s">
        <v>1004</v>
      </c>
      <c r="G56" s="7" t="s">
        <v>36</v>
      </c>
      <c r="H56" s="17">
        <v>278842.44</v>
      </c>
      <c r="I56" s="8"/>
      <c r="J56" s="8"/>
      <c r="K56" s="7" t="s">
        <v>1005</v>
      </c>
      <c r="L56" s="7" t="s">
        <v>391</v>
      </c>
      <c r="M56" s="7" t="s">
        <v>1006</v>
      </c>
      <c r="N56" s="23" t="s">
        <v>1007</v>
      </c>
      <c r="O56" s="10">
        <v>45315</v>
      </c>
      <c r="P56" s="7" t="s">
        <v>67</v>
      </c>
      <c r="Q56" s="7" t="s">
        <v>89</v>
      </c>
      <c r="R56" s="7"/>
      <c r="S56" s="7">
        <v>304</v>
      </c>
      <c r="T56" s="9">
        <v>279</v>
      </c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>
        <v>306</v>
      </c>
      <c r="AG56" s="9">
        <f t="shared" si="0"/>
        <v>3</v>
      </c>
      <c r="AH56" s="62">
        <f t="shared" si="1"/>
        <v>296.33333333333331</v>
      </c>
      <c r="AI56" s="11" t="str">
        <f>IF(AH56&gt;='Aprovados Recursos do Fundo'!$AQ$1,"APROVADO","REPROVADO")</f>
        <v>APROVADO</v>
      </c>
    </row>
    <row r="57" spans="2:35" s="64" customFormat="1" ht="39.950000000000003" hidden="1" customHeight="1" x14ac:dyDescent="0.25">
      <c r="B57" s="5">
        <v>62</v>
      </c>
      <c r="C57" s="6" t="s">
        <v>370</v>
      </c>
      <c r="D57" s="5" t="s">
        <v>33</v>
      </c>
      <c r="E57" s="5" t="s">
        <v>371</v>
      </c>
      <c r="F57" s="7" t="s">
        <v>372</v>
      </c>
      <c r="G57" s="7" t="s">
        <v>36</v>
      </c>
      <c r="H57" s="8">
        <v>34150</v>
      </c>
      <c r="I57" s="8"/>
      <c r="J57" s="8"/>
      <c r="K57" s="7" t="s">
        <v>366</v>
      </c>
      <c r="L57" s="7" t="s">
        <v>115</v>
      </c>
      <c r="M57" s="7" t="s">
        <v>373</v>
      </c>
      <c r="N57" s="9" t="s">
        <v>374</v>
      </c>
      <c r="O57" s="10">
        <v>45306</v>
      </c>
      <c r="P57" s="7" t="s">
        <v>67</v>
      </c>
      <c r="Q57" s="7" t="s">
        <v>375</v>
      </c>
      <c r="R57" s="7"/>
      <c r="S57" s="9">
        <v>340</v>
      </c>
      <c r="T57" s="9">
        <v>207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>
        <v>340</v>
      </c>
      <c r="AG57" s="9">
        <f t="shared" si="0"/>
        <v>3</v>
      </c>
      <c r="AH57" s="62">
        <f t="shared" si="1"/>
        <v>295.66666666666669</v>
      </c>
      <c r="AI57" s="11" t="str">
        <f>IF(AH57&gt;='Aprovados Recursos do Fundo'!$AQ$1,"APROVADO","REPROVADO")</f>
        <v>APROVADO</v>
      </c>
    </row>
    <row r="58" spans="2:35" s="64" customFormat="1" ht="39.950000000000003" hidden="1" customHeight="1" x14ac:dyDescent="0.25">
      <c r="B58" s="5">
        <v>4</v>
      </c>
      <c r="C58" s="6" t="s">
        <v>59</v>
      </c>
      <c r="D58" s="5" t="s">
        <v>33</v>
      </c>
      <c r="E58" s="5" t="s">
        <v>60</v>
      </c>
      <c r="F58" s="5" t="s">
        <v>61</v>
      </c>
      <c r="G58" s="5" t="s">
        <v>62</v>
      </c>
      <c r="H58" s="15">
        <v>1000000</v>
      </c>
      <c r="I58" s="15"/>
      <c r="J58" s="15"/>
      <c r="K58" s="5" t="s">
        <v>63</v>
      </c>
      <c r="L58" s="5" t="s">
        <v>64</v>
      </c>
      <c r="M58" s="5" t="s">
        <v>65</v>
      </c>
      <c r="N58" s="9" t="s">
        <v>66</v>
      </c>
      <c r="O58" s="10">
        <v>45281</v>
      </c>
      <c r="P58" s="5" t="s">
        <v>67</v>
      </c>
      <c r="Q58" s="7" t="s">
        <v>68</v>
      </c>
      <c r="R58" s="7"/>
      <c r="S58" s="9">
        <v>312</v>
      </c>
      <c r="T58" s="9"/>
      <c r="U58" s="9">
        <v>275</v>
      </c>
      <c r="V58" s="9">
        <v>299</v>
      </c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>
        <f t="shared" si="0"/>
        <v>3</v>
      </c>
      <c r="AH58" s="62">
        <f t="shared" si="1"/>
        <v>295.33333333333331</v>
      </c>
      <c r="AI58" s="11" t="str">
        <f>IF(AH58&gt;='Aprovados Recursos do Fundo'!$AQ$1,"APROVADO","REPROVADO")</f>
        <v>APROVADO</v>
      </c>
    </row>
    <row r="59" spans="2:35" s="64" customFormat="1" ht="39.950000000000003" hidden="1" customHeight="1" x14ac:dyDescent="0.25">
      <c r="B59" s="5">
        <v>136</v>
      </c>
      <c r="C59" s="6" t="s">
        <v>731</v>
      </c>
      <c r="D59" s="5" t="s">
        <v>51</v>
      </c>
      <c r="E59" s="58" t="s">
        <v>726</v>
      </c>
      <c r="F59" s="7" t="s">
        <v>732</v>
      </c>
      <c r="G59" s="7" t="s">
        <v>107</v>
      </c>
      <c r="H59" s="41">
        <v>3287929.33</v>
      </c>
      <c r="I59" s="41"/>
      <c r="J59" s="41"/>
      <c r="K59" s="9" t="s">
        <v>728</v>
      </c>
      <c r="L59" s="11" t="s">
        <v>123</v>
      </c>
      <c r="M59" s="7" t="s">
        <v>729</v>
      </c>
      <c r="N59" s="7" t="s">
        <v>730</v>
      </c>
      <c r="O59" s="34">
        <v>45308</v>
      </c>
      <c r="P59" s="7" t="s">
        <v>57</v>
      </c>
      <c r="Q59" s="7" t="s">
        <v>518</v>
      </c>
      <c r="R59" s="9"/>
      <c r="S59" s="9">
        <v>285</v>
      </c>
      <c r="T59" s="9"/>
      <c r="U59" s="9"/>
      <c r="V59" s="9"/>
      <c r="W59" s="9"/>
      <c r="X59" s="9">
        <v>305</v>
      </c>
      <c r="Y59" s="9">
        <v>295</v>
      </c>
      <c r="Z59" s="9"/>
      <c r="AA59" s="9"/>
      <c r="AB59" s="9"/>
      <c r="AC59" s="9"/>
      <c r="AD59" s="9"/>
      <c r="AE59" s="9"/>
      <c r="AF59" s="9"/>
      <c r="AG59" s="9">
        <f t="shared" si="0"/>
        <v>3</v>
      </c>
      <c r="AH59" s="62">
        <f t="shared" si="1"/>
        <v>295</v>
      </c>
      <c r="AI59" s="11" t="str">
        <f>IF(AH59&gt;=$AI$1,"APROVADO","REPROVADO")</f>
        <v>APROVADO</v>
      </c>
    </row>
    <row r="60" spans="2:35" s="64" customFormat="1" ht="39.950000000000003" hidden="1" customHeight="1" x14ac:dyDescent="0.25">
      <c r="B60" s="5">
        <v>171</v>
      </c>
      <c r="C60" s="6" t="s">
        <v>903</v>
      </c>
      <c r="D60" s="5" t="s">
        <v>33</v>
      </c>
      <c r="E60" s="5" t="s">
        <v>904</v>
      </c>
      <c r="F60" s="7" t="s">
        <v>905</v>
      </c>
      <c r="G60" s="7" t="s">
        <v>36</v>
      </c>
      <c r="H60" s="8">
        <v>11850.05</v>
      </c>
      <c r="I60" s="8"/>
      <c r="J60" s="8"/>
      <c r="K60" s="7" t="s">
        <v>896</v>
      </c>
      <c r="L60" s="7" t="s">
        <v>123</v>
      </c>
      <c r="M60" s="7" t="s">
        <v>906</v>
      </c>
      <c r="N60" s="9" t="s">
        <v>907</v>
      </c>
      <c r="O60" s="10">
        <v>45554</v>
      </c>
      <c r="P60" s="7" t="s">
        <v>67</v>
      </c>
      <c r="Q60" s="7"/>
      <c r="R60" s="65"/>
      <c r="S60" s="9"/>
      <c r="T60" s="9">
        <v>229</v>
      </c>
      <c r="U60" s="9"/>
      <c r="V60" s="9"/>
      <c r="W60" s="9"/>
      <c r="X60" s="9">
        <v>340</v>
      </c>
      <c r="Y60" s="9">
        <v>316</v>
      </c>
      <c r="Z60" s="9"/>
      <c r="AA60" s="9"/>
      <c r="AB60" s="9"/>
      <c r="AC60" s="9"/>
      <c r="AD60" s="9"/>
      <c r="AE60" s="9"/>
      <c r="AF60" s="9"/>
      <c r="AG60" s="9">
        <f t="shared" si="0"/>
        <v>3</v>
      </c>
      <c r="AH60" s="62">
        <f t="shared" si="1"/>
        <v>295</v>
      </c>
      <c r="AI60" s="11" t="str">
        <f>IF(AH60&gt;='Aprovados Recursos do Fundo'!$AQ$1,"APROVADO","REPROVADO")</f>
        <v>APROVADO</v>
      </c>
    </row>
    <row r="61" spans="2:35" s="64" customFormat="1" ht="39.950000000000003" hidden="1" customHeight="1" x14ac:dyDescent="0.25">
      <c r="B61" s="5">
        <v>211</v>
      </c>
      <c r="C61" s="6" t="s">
        <v>1104</v>
      </c>
      <c r="D61" s="5" t="s">
        <v>33</v>
      </c>
      <c r="E61" s="5" t="s">
        <v>1105</v>
      </c>
      <c r="F61" s="7" t="s">
        <v>1106</v>
      </c>
      <c r="G61" s="7" t="s">
        <v>36</v>
      </c>
      <c r="H61" s="17">
        <v>135744</v>
      </c>
      <c r="I61" s="17"/>
      <c r="J61" s="17"/>
      <c r="K61" s="7" t="s">
        <v>1107</v>
      </c>
      <c r="L61" s="5" t="s">
        <v>123</v>
      </c>
      <c r="M61" s="5" t="s">
        <v>1108</v>
      </c>
      <c r="N61" s="31" t="s">
        <v>1109</v>
      </c>
      <c r="O61" s="10">
        <v>45320</v>
      </c>
      <c r="P61" s="7" t="s">
        <v>67</v>
      </c>
      <c r="Q61" s="7"/>
      <c r="R61" s="65"/>
      <c r="S61" s="7">
        <v>330</v>
      </c>
      <c r="T61" s="9">
        <v>215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>
        <v>340</v>
      </c>
      <c r="AG61" s="9">
        <f t="shared" si="0"/>
        <v>3</v>
      </c>
      <c r="AH61" s="62">
        <f t="shared" si="1"/>
        <v>295</v>
      </c>
      <c r="AI61" s="11" t="str">
        <f>IF(AH61&gt;='Aprovados Recursos do Fundo'!$AQ$1,"APROVADO","REPROVADO")</f>
        <v>APROVADO</v>
      </c>
    </row>
    <row r="62" spans="2:35" s="64" customFormat="1" ht="39.950000000000003" hidden="1" customHeight="1" x14ac:dyDescent="0.25">
      <c r="B62" s="5">
        <v>188</v>
      </c>
      <c r="C62" s="6" t="s">
        <v>1008</v>
      </c>
      <c r="D62" s="5" t="s">
        <v>33</v>
      </c>
      <c r="E62" s="5" t="s">
        <v>1009</v>
      </c>
      <c r="F62" s="5" t="s">
        <v>1010</v>
      </c>
      <c r="G62" s="5" t="s">
        <v>62</v>
      </c>
      <c r="H62" s="8">
        <v>322800</v>
      </c>
      <c r="I62" s="8"/>
      <c r="J62" s="8"/>
      <c r="K62" s="7" t="s">
        <v>342</v>
      </c>
      <c r="L62" s="7" t="s">
        <v>235</v>
      </c>
      <c r="M62" s="7" t="s">
        <v>1011</v>
      </c>
      <c r="N62" s="9" t="s">
        <v>1012</v>
      </c>
      <c r="O62" s="10">
        <v>45315</v>
      </c>
      <c r="P62" s="5" t="s">
        <v>67</v>
      </c>
      <c r="Q62" s="7" t="s">
        <v>68</v>
      </c>
      <c r="R62" s="9"/>
      <c r="S62" s="5">
        <v>340</v>
      </c>
      <c r="T62" s="9">
        <v>282</v>
      </c>
      <c r="U62" s="9">
        <v>262</v>
      </c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>
        <f t="shared" si="0"/>
        <v>3</v>
      </c>
      <c r="AH62" s="62">
        <f t="shared" si="1"/>
        <v>294.66666666666669</v>
      </c>
      <c r="AI62" s="11" t="str">
        <f>IF(AH62&gt;='Aprovados Recursos do Fundo'!$AQ$1,"APROVADO","REPROVADO")</f>
        <v>APROVADO</v>
      </c>
    </row>
    <row r="63" spans="2:35" s="64" customFormat="1" ht="39.950000000000003" hidden="1" customHeight="1" x14ac:dyDescent="0.25">
      <c r="B63" s="5">
        <v>351</v>
      </c>
      <c r="C63" s="6" t="s">
        <v>1783</v>
      </c>
      <c r="D63" s="5" t="s">
        <v>33</v>
      </c>
      <c r="E63" s="58" t="s">
        <v>1773</v>
      </c>
      <c r="F63" s="7" t="s">
        <v>1784</v>
      </c>
      <c r="G63" s="7" t="s">
        <v>36</v>
      </c>
      <c r="H63" s="8">
        <v>329780</v>
      </c>
      <c r="I63" s="8"/>
      <c r="J63" s="8"/>
      <c r="K63" s="7" t="s">
        <v>73</v>
      </c>
      <c r="L63" s="5" t="s">
        <v>74</v>
      </c>
      <c r="M63" s="7" t="s">
        <v>1775</v>
      </c>
      <c r="N63" s="9" t="s">
        <v>1776</v>
      </c>
      <c r="O63" s="10">
        <v>45321</v>
      </c>
      <c r="P63" s="7" t="s">
        <v>67</v>
      </c>
      <c r="Q63" s="7"/>
      <c r="R63" s="65"/>
      <c r="S63" s="7">
        <v>294</v>
      </c>
      <c r="T63" s="9"/>
      <c r="U63" s="9"/>
      <c r="V63" s="9"/>
      <c r="W63" s="9"/>
      <c r="X63" s="9"/>
      <c r="Y63" s="9">
        <v>300</v>
      </c>
      <c r="Z63" s="9"/>
      <c r="AA63" s="9"/>
      <c r="AB63" s="9"/>
      <c r="AC63" s="9"/>
      <c r="AD63" s="9"/>
      <c r="AE63" s="9">
        <v>289</v>
      </c>
      <c r="AF63" s="9"/>
      <c r="AG63" s="9">
        <f t="shared" si="0"/>
        <v>3</v>
      </c>
      <c r="AH63" s="62">
        <f t="shared" si="1"/>
        <v>294.33333333333331</v>
      </c>
      <c r="AI63" s="11" t="str">
        <f>IF(AH63&gt;=$AI$1,"APROVADO","REPROVADO")</f>
        <v>APROVADO</v>
      </c>
    </row>
    <row r="64" spans="2:35" s="64" customFormat="1" ht="39.950000000000003" hidden="1" customHeight="1" x14ac:dyDescent="0.25">
      <c r="B64" s="5">
        <v>571</v>
      </c>
      <c r="C64" s="6" t="s">
        <v>2729</v>
      </c>
      <c r="D64" s="5" t="s">
        <v>33</v>
      </c>
      <c r="E64" s="5" t="s">
        <v>2730</v>
      </c>
      <c r="F64" s="7" t="s">
        <v>2731</v>
      </c>
      <c r="G64" s="7" t="s">
        <v>36</v>
      </c>
      <c r="H64" s="8">
        <v>4517586.97</v>
      </c>
      <c r="I64" s="8"/>
      <c r="J64" s="8"/>
      <c r="K64" s="7" t="s">
        <v>2732</v>
      </c>
      <c r="L64" s="7" t="s">
        <v>795</v>
      </c>
      <c r="M64" s="7" t="s">
        <v>2733</v>
      </c>
      <c r="N64" s="9" t="s">
        <v>2734</v>
      </c>
      <c r="O64" s="10">
        <v>45322</v>
      </c>
      <c r="P64" s="7" t="s">
        <v>67</v>
      </c>
      <c r="Q64" s="5" t="s">
        <v>98</v>
      </c>
      <c r="R64" s="9"/>
      <c r="S64" s="7">
        <v>235</v>
      </c>
      <c r="T64" s="9"/>
      <c r="U64" s="9"/>
      <c r="V64" s="9"/>
      <c r="W64" s="9"/>
      <c r="X64" s="9"/>
      <c r="Y64" s="9">
        <v>308</v>
      </c>
      <c r="Z64" s="9"/>
      <c r="AA64" s="9">
        <v>340</v>
      </c>
      <c r="AB64" s="9"/>
      <c r="AC64" s="9"/>
      <c r="AD64" s="9"/>
      <c r="AE64" s="9"/>
      <c r="AF64" s="9"/>
      <c r="AG64" s="9">
        <f t="shared" si="0"/>
        <v>3</v>
      </c>
      <c r="AH64" s="62">
        <f t="shared" si="1"/>
        <v>294.33333333333331</v>
      </c>
      <c r="AI64" s="11" t="str">
        <f>IF(AH64&gt;='Aprovados Recursos do Fundo'!$AQ$1,"APROVADO","REPROVADO")</f>
        <v>APROVADO</v>
      </c>
    </row>
    <row r="65" spans="2:35" s="64" customFormat="1" ht="39.950000000000003" hidden="1" customHeight="1" x14ac:dyDescent="0.25">
      <c r="B65" s="5">
        <v>80</v>
      </c>
      <c r="C65" s="6" t="s">
        <v>470</v>
      </c>
      <c r="D65" s="5" t="s">
        <v>33</v>
      </c>
      <c r="E65" s="58" t="s">
        <v>462</v>
      </c>
      <c r="F65" s="7" t="s">
        <v>471</v>
      </c>
      <c r="G65" s="7" t="s">
        <v>107</v>
      </c>
      <c r="H65" s="8">
        <v>579789.01</v>
      </c>
      <c r="I65" s="8"/>
      <c r="J65" s="8"/>
      <c r="K65" s="7" t="s">
        <v>469</v>
      </c>
      <c r="L65" s="7" t="s">
        <v>95</v>
      </c>
      <c r="M65" s="7" t="s">
        <v>464</v>
      </c>
      <c r="N65" s="9" t="s">
        <v>465</v>
      </c>
      <c r="O65" s="10">
        <v>45307</v>
      </c>
      <c r="P65" s="7" t="s">
        <v>67</v>
      </c>
      <c r="Q65" s="7" t="s">
        <v>466</v>
      </c>
      <c r="R65" s="7"/>
      <c r="S65" s="9">
        <v>315</v>
      </c>
      <c r="T65" s="9">
        <v>225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>
        <v>340</v>
      </c>
      <c r="AG65" s="9">
        <f t="shared" si="0"/>
        <v>3</v>
      </c>
      <c r="AH65" s="62">
        <f t="shared" si="1"/>
        <v>293.33333333333331</v>
      </c>
      <c r="AI65" s="11" t="str">
        <f>IF(AH65&gt;=$AI$1,"APROVADO","REPROVADO")</f>
        <v>APROVADO</v>
      </c>
    </row>
    <row r="66" spans="2:35" s="64" customFormat="1" ht="39.950000000000003" hidden="1" customHeight="1" x14ac:dyDescent="0.25">
      <c r="B66" s="5">
        <v>33</v>
      </c>
      <c r="C66" s="6" t="s">
        <v>237</v>
      </c>
      <c r="D66" s="5" t="s">
        <v>33</v>
      </c>
      <c r="E66" s="5" t="s">
        <v>238</v>
      </c>
      <c r="F66" s="5" t="s">
        <v>239</v>
      </c>
      <c r="G66" s="5" t="s">
        <v>36</v>
      </c>
      <c r="H66" s="15">
        <v>641438.57999999996</v>
      </c>
      <c r="I66" s="15"/>
      <c r="J66" s="15"/>
      <c r="K66" s="5" t="s">
        <v>240</v>
      </c>
      <c r="L66" s="5" t="s">
        <v>241</v>
      </c>
      <c r="M66" s="5" t="s">
        <v>242</v>
      </c>
      <c r="N66" s="9" t="s">
        <v>243</v>
      </c>
      <c r="O66" s="10">
        <v>45303</v>
      </c>
      <c r="P66" s="7" t="s">
        <v>67</v>
      </c>
      <c r="Q66" s="7"/>
      <c r="R66" s="65"/>
      <c r="S66" s="9"/>
      <c r="T66" s="9">
        <v>198</v>
      </c>
      <c r="U66" s="9"/>
      <c r="V66" s="9"/>
      <c r="W66" s="9"/>
      <c r="X66" s="9"/>
      <c r="Y66" s="9">
        <v>340</v>
      </c>
      <c r="Z66" s="9"/>
      <c r="AA66" s="9">
        <v>340</v>
      </c>
      <c r="AB66" s="9"/>
      <c r="AC66" s="9"/>
      <c r="AD66" s="9"/>
      <c r="AE66" s="9"/>
      <c r="AF66" s="9"/>
      <c r="AG66" s="9">
        <f t="shared" si="0"/>
        <v>3</v>
      </c>
      <c r="AH66" s="62">
        <f t="shared" si="1"/>
        <v>292.66666666666669</v>
      </c>
      <c r="AI66" s="11" t="str">
        <f>IF(AH66&gt;='Aprovados Recursos do Fundo'!$AQ$1,"APROVADO","REPROVADO")</f>
        <v>APROVADO</v>
      </c>
    </row>
    <row r="67" spans="2:35" s="64" customFormat="1" ht="39.950000000000003" hidden="1" customHeight="1" x14ac:dyDescent="0.25">
      <c r="B67" s="5">
        <v>215</v>
      </c>
      <c r="C67" s="27" t="s">
        <v>1127</v>
      </c>
      <c r="D67" s="5" t="s">
        <v>33</v>
      </c>
      <c r="E67" s="5" t="s">
        <v>1128</v>
      </c>
      <c r="F67" s="7" t="s">
        <v>1129</v>
      </c>
      <c r="G67" s="7" t="s">
        <v>36</v>
      </c>
      <c r="H67" s="8">
        <v>60367</v>
      </c>
      <c r="I67" s="8"/>
      <c r="J67" s="8"/>
      <c r="K67" s="7" t="s">
        <v>1130</v>
      </c>
      <c r="L67" s="7" t="s">
        <v>445</v>
      </c>
      <c r="M67" s="7" t="s">
        <v>1131</v>
      </c>
      <c r="N67" s="9" t="s">
        <v>1132</v>
      </c>
      <c r="O67" s="10">
        <v>45320</v>
      </c>
      <c r="P67" s="7" t="s">
        <v>41</v>
      </c>
      <c r="Q67" s="7"/>
      <c r="R67" s="65"/>
      <c r="S67" s="7">
        <v>340</v>
      </c>
      <c r="T67" s="9">
        <v>258</v>
      </c>
      <c r="U67" s="9">
        <v>280</v>
      </c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>
        <f t="shared" si="0"/>
        <v>3</v>
      </c>
      <c r="AH67" s="62">
        <f t="shared" si="1"/>
        <v>292.66666666666669</v>
      </c>
      <c r="AI67" s="11" t="str">
        <f>IF(AH67&gt;='Aprovados Recursos do Fundo'!$AQ$1,"APROVADO","REPROVADO")</f>
        <v>APROVADO</v>
      </c>
    </row>
    <row r="68" spans="2:35" s="64" customFormat="1" ht="39.950000000000003" hidden="1" customHeight="1" x14ac:dyDescent="0.25">
      <c r="B68" s="5">
        <v>577</v>
      </c>
      <c r="C68" s="6" t="s">
        <v>2760</v>
      </c>
      <c r="D68" s="5" t="s">
        <v>33</v>
      </c>
      <c r="E68" s="5" t="s">
        <v>2761</v>
      </c>
      <c r="F68" s="5" t="s">
        <v>2762</v>
      </c>
      <c r="G68" s="7" t="s">
        <v>107</v>
      </c>
      <c r="H68" s="8">
        <v>403540</v>
      </c>
      <c r="I68" s="8"/>
      <c r="J68" s="8"/>
      <c r="K68" s="7" t="s">
        <v>73</v>
      </c>
      <c r="L68" s="5" t="s">
        <v>74</v>
      </c>
      <c r="M68" s="7" t="s">
        <v>2763</v>
      </c>
      <c r="N68" s="9" t="s">
        <v>2764</v>
      </c>
      <c r="O68" s="10">
        <v>45322</v>
      </c>
      <c r="P68" s="5" t="s">
        <v>67</v>
      </c>
      <c r="Q68" s="7" t="s">
        <v>68</v>
      </c>
      <c r="R68" s="7" t="s">
        <v>2765</v>
      </c>
      <c r="S68" s="5">
        <v>288</v>
      </c>
      <c r="T68" s="9"/>
      <c r="U68" s="9"/>
      <c r="V68" s="9"/>
      <c r="W68" s="9"/>
      <c r="X68" s="9"/>
      <c r="Y68" s="9"/>
      <c r="Z68" s="9">
        <v>308</v>
      </c>
      <c r="AA68" s="9">
        <v>282</v>
      </c>
      <c r="AB68" s="9"/>
      <c r="AC68" s="9"/>
      <c r="AD68" s="9"/>
      <c r="AE68" s="9"/>
      <c r="AF68" s="9"/>
      <c r="AG68" s="9">
        <f t="shared" si="0"/>
        <v>3</v>
      </c>
      <c r="AH68" s="62">
        <f t="shared" si="1"/>
        <v>292.66666666666669</v>
      </c>
      <c r="AI68" s="11" t="str">
        <f>IF(AH68&gt;='Aprovados Recursos do Fundo'!$AQ$1,"APROVADO","REPROVADO")</f>
        <v>APROVADO</v>
      </c>
    </row>
    <row r="69" spans="2:35" s="64" customFormat="1" ht="39.950000000000003" hidden="1" customHeight="1" x14ac:dyDescent="0.25">
      <c r="B69" s="5">
        <v>286</v>
      </c>
      <c r="C69" s="6" t="s">
        <v>1466</v>
      </c>
      <c r="D69" s="5" t="s">
        <v>33</v>
      </c>
      <c r="E69" s="5" t="s">
        <v>1467</v>
      </c>
      <c r="F69" s="5" t="s">
        <v>1468</v>
      </c>
      <c r="G69" s="7" t="s">
        <v>36</v>
      </c>
      <c r="H69" s="8">
        <v>71000</v>
      </c>
      <c r="I69" s="8"/>
      <c r="J69" s="8"/>
      <c r="K69" s="7" t="s">
        <v>1469</v>
      </c>
      <c r="L69" s="7" t="s">
        <v>597</v>
      </c>
      <c r="M69" s="7" t="s">
        <v>1470</v>
      </c>
      <c r="N69" s="9" t="s">
        <v>1471</v>
      </c>
      <c r="O69" s="10">
        <v>45321</v>
      </c>
      <c r="P69" s="5" t="s">
        <v>67</v>
      </c>
      <c r="Q69" s="7"/>
      <c r="R69" s="65"/>
      <c r="S69" s="5">
        <v>312</v>
      </c>
      <c r="T69" s="9">
        <v>227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9">
        <v>338</v>
      </c>
      <c r="AF69" s="9"/>
      <c r="AG69" s="9">
        <f t="shared" ref="AG69:AG132" si="3">COUNT(S69:AF69)</f>
        <v>3</v>
      </c>
      <c r="AH69" s="62">
        <f t="shared" ref="AH69:AH132" si="4">AVERAGE(S69:AF69)</f>
        <v>292.33333333333331</v>
      </c>
      <c r="AI69" s="11" t="str">
        <f>IF(AH69&gt;='Aprovados Recursos do Fundo'!$AQ$1,"APROVADO","REPROVADO")</f>
        <v>APROVADO</v>
      </c>
    </row>
    <row r="70" spans="2:35" s="64" customFormat="1" ht="39.950000000000003" hidden="1" customHeight="1" x14ac:dyDescent="0.25">
      <c r="B70" s="5">
        <v>54</v>
      </c>
      <c r="C70" s="6" t="s">
        <v>339</v>
      </c>
      <c r="D70" s="5" t="s">
        <v>33</v>
      </c>
      <c r="E70" s="5" t="s">
        <v>340</v>
      </c>
      <c r="F70" s="7" t="s">
        <v>341</v>
      </c>
      <c r="G70" s="7" t="s">
        <v>36</v>
      </c>
      <c r="H70" s="8">
        <v>88952.51</v>
      </c>
      <c r="I70" s="8"/>
      <c r="J70" s="8"/>
      <c r="K70" s="7" t="s">
        <v>342</v>
      </c>
      <c r="L70" s="7" t="s">
        <v>235</v>
      </c>
      <c r="M70" s="7" t="s">
        <v>343</v>
      </c>
      <c r="N70" s="9" t="s">
        <v>344</v>
      </c>
      <c r="O70" s="10">
        <v>45306</v>
      </c>
      <c r="P70" s="7" t="s">
        <v>41</v>
      </c>
      <c r="Q70" s="7"/>
      <c r="R70" s="7"/>
      <c r="S70" s="9">
        <v>340</v>
      </c>
      <c r="T70" s="9"/>
      <c r="U70" s="9">
        <v>246</v>
      </c>
      <c r="V70" s="9">
        <v>290</v>
      </c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>
        <f t="shared" si="3"/>
        <v>3</v>
      </c>
      <c r="AH70" s="62">
        <f t="shared" si="4"/>
        <v>292</v>
      </c>
      <c r="AI70" s="11" t="str">
        <f>IF(AH70&gt;='Aprovados Recursos do Fundo'!$AQ$1,"APROVADO","REPROVADO")</f>
        <v>APROVADO</v>
      </c>
    </row>
    <row r="71" spans="2:35" s="64" customFormat="1" ht="39.950000000000003" hidden="1" customHeight="1" x14ac:dyDescent="0.25">
      <c r="B71" s="5">
        <v>493</v>
      </c>
      <c r="C71" s="27" t="s">
        <v>2411</v>
      </c>
      <c r="D71" s="5" t="s">
        <v>33</v>
      </c>
      <c r="E71" s="5" t="s">
        <v>2412</v>
      </c>
      <c r="F71" s="7" t="s">
        <v>2413</v>
      </c>
      <c r="G71" s="7" t="s">
        <v>36</v>
      </c>
      <c r="H71" s="8">
        <v>600000</v>
      </c>
      <c r="I71" s="8"/>
      <c r="J71" s="8"/>
      <c r="K71" s="7" t="s">
        <v>73</v>
      </c>
      <c r="L71" s="7" t="s">
        <v>74</v>
      </c>
      <c r="M71" s="7" t="s">
        <v>2414</v>
      </c>
      <c r="N71" s="9" t="s">
        <v>2415</v>
      </c>
      <c r="O71" s="10">
        <v>45322</v>
      </c>
      <c r="P71" s="7" t="s">
        <v>41</v>
      </c>
      <c r="Q71" s="7"/>
      <c r="R71" s="65"/>
      <c r="S71" s="7">
        <v>316</v>
      </c>
      <c r="T71" s="9"/>
      <c r="U71" s="9"/>
      <c r="V71" s="9"/>
      <c r="W71" s="9"/>
      <c r="X71" s="9"/>
      <c r="Y71" s="9"/>
      <c r="Z71" s="9"/>
      <c r="AA71" s="9"/>
      <c r="AB71" s="9"/>
      <c r="AC71" s="9"/>
      <c r="AD71" s="9">
        <v>268</v>
      </c>
      <c r="AE71" s="9">
        <v>292</v>
      </c>
      <c r="AF71" s="9"/>
      <c r="AG71" s="9">
        <f t="shared" si="3"/>
        <v>3</v>
      </c>
      <c r="AH71" s="62">
        <f t="shared" si="4"/>
        <v>292</v>
      </c>
      <c r="AI71" s="11" t="str">
        <f>IF(AH71&gt;='Aprovados Recursos do Fundo'!$AQ$1,"APROVADO","REPROVADO")</f>
        <v>APROVADO</v>
      </c>
    </row>
    <row r="72" spans="2:35" s="64" customFormat="1" ht="39.950000000000003" hidden="1" customHeight="1" x14ac:dyDescent="0.25">
      <c r="B72" s="5">
        <v>7</v>
      </c>
      <c r="C72" s="6" t="s">
        <v>84</v>
      </c>
      <c r="D72" s="5" t="s">
        <v>33</v>
      </c>
      <c r="E72" s="5" t="s">
        <v>85</v>
      </c>
      <c r="F72" s="5" t="s">
        <v>86</v>
      </c>
      <c r="G72" s="7" t="s">
        <v>45</v>
      </c>
      <c r="H72" s="15">
        <v>364980</v>
      </c>
      <c r="I72" s="15"/>
      <c r="J72" s="15"/>
      <c r="K72" s="5" t="s">
        <v>63</v>
      </c>
      <c r="L72" s="5" t="s">
        <v>64</v>
      </c>
      <c r="M72" s="5" t="s">
        <v>87</v>
      </c>
      <c r="N72" s="11" t="s">
        <v>88</v>
      </c>
      <c r="O72" s="10">
        <v>45289</v>
      </c>
      <c r="P72" s="5" t="s">
        <v>67</v>
      </c>
      <c r="Q72" s="7" t="s">
        <v>89</v>
      </c>
      <c r="R72" s="7" t="s">
        <v>90</v>
      </c>
      <c r="S72" s="9">
        <v>340</v>
      </c>
      <c r="T72" s="9"/>
      <c r="U72" s="9">
        <v>245</v>
      </c>
      <c r="V72" s="9">
        <v>290</v>
      </c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>
        <f t="shared" si="3"/>
        <v>3</v>
      </c>
      <c r="AH72" s="62">
        <f t="shared" si="4"/>
        <v>291.66666666666669</v>
      </c>
      <c r="AI72" s="11" t="str">
        <f>IF(AH72&gt;='Aprovados Recursos do Fundo'!$AQ$1,"APROVADO","REPROVADO")</f>
        <v>APROVADO</v>
      </c>
    </row>
    <row r="73" spans="2:35" s="64" customFormat="1" ht="39.950000000000003" hidden="1" customHeight="1" x14ac:dyDescent="0.25">
      <c r="B73" s="5">
        <v>549</v>
      </c>
      <c r="C73" s="6" t="s">
        <v>2657</v>
      </c>
      <c r="D73" s="5" t="s">
        <v>33</v>
      </c>
      <c r="E73" s="58" t="s">
        <v>2650</v>
      </c>
      <c r="F73" s="5" t="s">
        <v>2658</v>
      </c>
      <c r="G73" s="7" t="s">
        <v>107</v>
      </c>
      <c r="H73" s="8">
        <v>606000</v>
      </c>
      <c r="I73" s="8"/>
      <c r="J73" s="8"/>
      <c r="K73" s="7" t="s">
        <v>73</v>
      </c>
      <c r="L73" s="5" t="s">
        <v>74</v>
      </c>
      <c r="M73" s="7" t="s">
        <v>2656</v>
      </c>
      <c r="N73" s="9" t="s">
        <v>2653</v>
      </c>
      <c r="O73" s="10">
        <v>45322</v>
      </c>
      <c r="P73" s="5" t="s">
        <v>67</v>
      </c>
      <c r="Q73" s="7" t="s">
        <v>89</v>
      </c>
      <c r="R73" s="7" t="s">
        <v>68</v>
      </c>
      <c r="S73" s="5">
        <v>301</v>
      </c>
      <c r="T73" s="9"/>
      <c r="U73" s="9"/>
      <c r="V73" s="9"/>
      <c r="W73" s="9"/>
      <c r="X73" s="9">
        <v>301</v>
      </c>
      <c r="Y73" s="9">
        <v>271</v>
      </c>
      <c r="Z73" s="9"/>
      <c r="AA73" s="9"/>
      <c r="AB73" s="9"/>
      <c r="AC73" s="9"/>
      <c r="AD73" s="9"/>
      <c r="AE73" s="9"/>
      <c r="AF73" s="9"/>
      <c r="AG73" s="9">
        <f t="shared" si="3"/>
        <v>3</v>
      </c>
      <c r="AH73" s="62">
        <f t="shared" si="4"/>
        <v>291</v>
      </c>
      <c r="AI73" s="11" t="str">
        <f>IF(AH73&gt;=$AI$1,"APROVADO","REPROVADO")</f>
        <v>APROVADO</v>
      </c>
    </row>
    <row r="74" spans="2:35" s="64" customFormat="1" ht="39.950000000000003" hidden="1" customHeight="1" x14ac:dyDescent="0.25">
      <c r="B74" s="5">
        <v>217</v>
      </c>
      <c r="C74" s="6" t="s">
        <v>1137</v>
      </c>
      <c r="D74" s="5" t="s">
        <v>33</v>
      </c>
      <c r="E74" s="5" t="s">
        <v>1138</v>
      </c>
      <c r="F74" s="7" t="s">
        <v>1139</v>
      </c>
      <c r="G74" s="7" t="s">
        <v>36</v>
      </c>
      <c r="H74" s="8">
        <v>70000</v>
      </c>
      <c r="I74" s="8"/>
      <c r="J74" s="8"/>
      <c r="K74" s="7" t="s">
        <v>1140</v>
      </c>
      <c r="L74" s="7" t="s">
        <v>254</v>
      </c>
      <c r="M74" s="7" t="s">
        <v>1141</v>
      </c>
      <c r="N74" s="9" t="s">
        <v>1142</v>
      </c>
      <c r="O74" s="10">
        <v>45320</v>
      </c>
      <c r="P74" s="7" t="s">
        <v>67</v>
      </c>
      <c r="Q74" s="7"/>
      <c r="R74" s="65"/>
      <c r="S74" s="7"/>
      <c r="T74" s="9">
        <v>233</v>
      </c>
      <c r="U74" s="9"/>
      <c r="V74" s="9"/>
      <c r="W74" s="9"/>
      <c r="X74" s="9"/>
      <c r="Y74" s="9"/>
      <c r="Z74" s="9">
        <v>320</v>
      </c>
      <c r="AA74" s="9">
        <v>320</v>
      </c>
      <c r="AB74" s="9"/>
      <c r="AC74" s="9"/>
      <c r="AD74" s="9"/>
      <c r="AE74" s="9"/>
      <c r="AF74" s="9"/>
      <c r="AG74" s="9">
        <f t="shared" si="3"/>
        <v>3</v>
      </c>
      <c r="AH74" s="62">
        <f t="shared" si="4"/>
        <v>291</v>
      </c>
      <c r="AI74" s="11" t="str">
        <f>IF(AH74&gt;='Aprovados Recursos do Fundo'!$AQ$1,"APROVADO","REPROVADO")</f>
        <v>APROVADO</v>
      </c>
    </row>
    <row r="75" spans="2:35" s="64" customFormat="1" ht="39.950000000000003" hidden="1" customHeight="1" x14ac:dyDescent="0.25">
      <c r="B75" s="5">
        <v>306</v>
      </c>
      <c r="C75" s="22" t="s">
        <v>1573</v>
      </c>
      <c r="D75" s="5" t="s">
        <v>51</v>
      </c>
      <c r="E75" s="9" t="s">
        <v>1574</v>
      </c>
      <c r="F75" s="9" t="s">
        <v>1575</v>
      </c>
      <c r="G75" s="11" t="s">
        <v>36</v>
      </c>
      <c r="H75" s="41">
        <v>315584</v>
      </c>
      <c r="I75" s="41"/>
      <c r="J75" s="41"/>
      <c r="K75" s="9" t="s">
        <v>1576</v>
      </c>
      <c r="L75" s="11" t="s">
        <v>154</v>
      </c>
      <c r="M75" s="9" t="s">
        <v>1577</v>
      </c>
      <c r="N75" s="11" t="s">
        <v>1578</v>
      </c>
      <c r="O75" s="34">
        <v>45321</v>
      </c>
      <c r="P75" s="9" t="s">
        <v>41</v>
      </c>
      <c r="Q75" s="9"/>
      <c r="R75" s="65"/>
      <c r="S75" s="9">
        <v>326</v>
      </c>
      <c r="T75" s="9">
        <v>207</v>
      </c>
      <c r="U75" s="9"/>
      <c r="V75" s="9"/>
      <c r="W75" s="9"/>
      <c r="X75" s="9"/>
      <c r="Y75" s="9"/>
      <c r="Z75" s="9"/>
      <c r="AA75" s="9"/>
      <c r="AB75" s="9"/>
      <c r="AC75" s="9"/>
      <c r="AD75" s="9"/>
      <c r="AE75" s="9">
        <v>340</v>
      </c>
      <c r="AF75" s="65"/>
      <c r="AG75" s="9">
        <f t="shared" si="3"/>
        <v>3</v>
      </c>
      <c r="AH75" s="62">
        <f t="shared" si="4"/>
        <v>291</v>
      </c>
      <c r="AI75" s="11" t="str">
        <f>IF(AH75&gt;='Aprovados Recursos do Fundo'!$AQ$1,"APROVADO","REPROVADO")</f>
        <v>APROVADO</v>
      </c>
    </row>
    <row r="76" spans="2:35" s="64" customFormat="1" ht="39.950000000000003" hidden="1" customHeight="1" x14ac:dyDescent="0.25">
      <c r="B76" s="5">
        <v>454</v>
      </c>
      <c r="C76" s="6" t="s">
        <v>2217</v>
      </c>
      <c r="D76" s="5" t="s">
        <v>33</v>
      </c>
      <c r="E76" s="5" t="s">
        <v>2218</v>
      </c>
      <c r="F76" s="7" t="s">
        <v>2219</v>
      </c>
      <c r="G76" s="7" t="s">
        <v>36</v>
      </c>
      <c r="H76" s="8">
        <v>0</v>
      </c>
      <c r="I76" s="8"/>
      <c r="J76" s="8"/>
      <c r="K76" s="7" t="s">
        <v>2220</v>
      </c>
      <c r="L76" s="7" t="s">
        <v>38</v>
      </c>
      <c r="M76" s="7" t="s">
        <v>2221</v>
      </c>
      <c r="N76" s="9" t="s">
        <v>2222</v>
      </c>
      <c r="O76" s="10">
        <v>45322</v>
      </c>
      <c r="P76" s="9" t="s">
        <v>41</v>
      </c>
      <c r="Q76" s="7" t="s">
        <v>2223</v>
      </c>
      <c r="R76" s="65"/>
      <c r="S76" s="7">
        <v>260</v>
      </c>
      <c r="T76" s="9"/>
      <c r="U76" s="9"/>
      <c r="V76" s="9"/>
      <c r="W76" s="9"/>
      <c r="X76" s="9"/>
      <c r="Y76" s="9">
        <v>273</v>
      </c>
      <c r="Z76" s="9"/>
      <c r="AA76" s="9">
        <v>340</v>
      </c>
      <c r="AB76" s="9"/>
      <c r="AC76" s="9"/>
      <c r="AD76" s="9"/>
      <c r="AE76" s="9"/>
      <c r="AF76" s="9"/>
      <c r="AG76" s="9">
        <f t="shared" si="3"/>
        <v>3</v>
      </c>
      <c r="AH76" s="62">
        <f t="shared" si="4"/>
        <v>291</v>
      </c>
      <c r="AI76" s="11" t="str">
        <f>IF(AH76&gt;='Aprovados Recursos do Fundo'!$AQ$1,"APROVADO","REPROVADO")</f>
        <v>APROVADO</v>
      </c>
    </row>
    <row r="77" spans="2:35" s="64" customFormat="1" ht="39.950000000000003" hidden="1" customHeight="1" x14ac:dyDescent="0.25">
      <c r="B77" s="5">
        <v>347</v>
      </c>
      <c r="C77" s="27" t="s">
        <v>1768</v>
      </c>
      <c r="D77" s="5" t="s">
        <v>33</v>
      </c>
      <c r="E77" s="58" t="s">
        <v>199</v>
      </c>
      <c r="F77" s="5" t="s">
        <v>1769</v>
      </c>
      <c r="G77" s="5" t="s">
        <v>36</v>
      </c>
      <c r="H77" s="15">
        <v>309988.8</v>
      </c>
      <c r="I77" s="15"/>
      <c r="J77" s="15"/>
      <c r="K77" s="5" t="s">
        <v>201</v>
      </c>
      <c r="L77" s="5" t="s">
        <v>202</v>
      </c>
      <c r="M77" s="5" t="s">
        <v>203</v>
      </c>
      <c r="N77" s="9" t="s">
        <v>204</v>
      </c>
      <c r="O77" s="10">
        <v>45302</v>
      </c>
      <c r="P77" s="7" t="s">
        <v>41</v>
      </c>
      <c r="Q77" s="7"/>
      <c r="R77" s="65"/>
      <c r="S77" s="7">
        <v>334</v>
      </c>
      <c r="T77" s="9">
        <v>294</v>
      </c>
      <c r="U77" s="9"/>
      <c r="V77" s="9"/>
      <c r="W77" s="9"/>
      <c r="X77" s="9"/>
      <c r="Y77" s="9"/>
      <c r="Z77" s="9"/>
      <c r="AA77" s="9"/>
      <c r="AB77" s="9">
        <v>244</v>
      </c>
      <c r="AC77" s="9"/>
      <c r="AD77" s="9"/>
      <c r="AE77" s="9"/>
      <c r="AF77" s="9"/>
      <c r="AG77" s="9">
        <f t="shared" si="3"/>
        <v>3</v>
      </c>
      <c r="AH77" s="62">
        <f t="shared" si="4"/>
        <v>290.66666666666669</v>
      </c>
      <c r="AI77" s="11" t="str">
        <f>IF(AH77&gt;=$AI$1,"APROVADO","REPROVADO")</f>
        <v>APROVADO</v>
      </c>
    </row>
    <row r="78" spans="2:35" s="64" customFormat="1" ht="39.950000000000003" hidden="1" customHeight="1" x14ac:dyDescent="0.25">
      <c r="B78" s="5">
        <v>405</v>
      </c>
      <c r="C78" s="6" t="s">
        <v>2016</v>
      </c>
      <c r="D78" s="5" t="s">
        <v>33</v>
      </c>
      <c r="E78" s="5" t="s">
        <v>2017</v>
      </c>
      <c r="F78" s="7" t="s">
        <v>2018</v>
      </c>
      <c r="G78" s="7" t="s">
        <v>107</v>
      </c>
      <c r="H78" s="8">
        <v>718800</v>
      </c>
      <c r="I78" s="8"/>
      <c r="J78" s="8"/>
      <c r="K78" s="7" t="s">
        <v>73</v>
      </c>
      <c r="L78" s="7" t="s">
        <v>74</v>
      </c>
      <c r="M78" s="7" t="s">
        <v>2019</v>
      </c>
      <c r="N78" s="9" t="s">
        <v>2020</v>
      </c>
      <c r="O78" s="10">
        <v>45322</v>
      </c>
      <c r="P78" s="7" t="s">
        <v>67</v>
      </c>
      <c r="Q78" s="7"/>
      <c r="R78" s="65"/>
      <c r="S78" s="7">
        <v>257</v>
      </c>
      <c r="T78" s="9"/>
      <c r="U78" s="9"/>
      <c r="V78" s="9"/>
      <c r="W78" s="9"/>
      <c r="X78" s="9"/>
      <c r="Y78" s="9">
        <v>275</v>
      </c>
      <c r="Z78" s="9"/>
      <c r="AA78" s="9">
        <v>340</v>
      </c>
      <c r="AB78" s="9"/>
      <c r="AC78" s="9"/>
      <c r="AD78" s="9"/>
      <c r="AE78" s="9"/>
      <c r="AF78" s="9"/>
      <c r="AG78" s="9">
        <f t="shared" si="3"/>
        <v>3</v>
      </c>
      <c r="AH78" s="62">
        <f t="shared" si="4"/>
        <v>290.66666666666669</v>
      </c>
      <c r="AI78" s="11" t="str">
        <f>IF(AH78&gt;='Aprovados Recursos do Fundo'!$AQ$1,"APROVADO","REPROVADO")</f>
        <v>APROVADO</v>
      </c>
    </row>
    <row r="79" spans="2:35" s="64" customFormat="1" ht="39.950000000000003" hidden="1" customHeight="1" x14ac:dyDescent="0.25">
      <c r="B79" s="5">
        <v>132</v>
      </c>
      <c r="C79" s="22" t="s">
        <v>711</v>
      </c>
      <c r="D79" s="5" t="s">
        <v>51</v>
      </c>
      <c r="E79" s="9" t="s">
        <v>712</v>
      </c>
      <c r="F79" s="9" t="s">
        <v>713</v>
      </c>
      <c r="G79" s="11" t="s">
        <v>107</v>
      </c>
      <c r="H79" s="41">
        <v>174295.5</v>
      </c>
      <c r="I79" s="41"/>
      <c r="J79" s="41"/>
      <c r="K79" s="9" t="s">
        <v>701</v>
      </c>
      <c r="L79" s="11" t="s">
        <v>95</v>
      </c>
      <c r="M79" s="9" t="s">
        <v>714</v>
      </c>
      <c r="N79" s="9" t="s">
        <v>715</v>
      </c>
      <c r="O79" s="34">
        <v>45308</v>
      </c>
      <c r="P79" s="9" t="s">
        <v>41</v>
      </c>
      <c r="Q79" s="11"/>
      <c r="R79" s="9"/>
      <c r="S79" s="9">
        <v>339</v>
      </c>
      <c r="T79" s="9">
        <v>271</v>
      </c>
      <c r="U79" s="9"/>
      <c r="V79" s="9"/>
      <c r="W79" s="9">
        <v>261</v>
      </c>
      <c r="X79" s="9"/>
      <c r="Y79" s="9"/>
      <c r="Z79" s="9"/>
      <c r="AA79" s="9"/>
      <c r="AB79" s="9"/>
      <c r="AC79" s="9"/>
      <c r="AD79" s="9"/>
      <c r="AE79" s="9"/>
      <c r="AF79" s="9"/>
      <c r="AG79" s="9">
        <f t="shared" si="3"/>
        <v>3</v>
      </c>
      <c r="AH79" s="62">
        <f t="shared" si="4"/>
        <v>290.33333333333331</v>
      </c>
      <c r="AI79" s="11" t="str">
        <f>IF(AH79&gt;=$AI$1,"APROVADO","REPROVADO")</f>
        <v>APROVADO</v>
      </c>
    </row>
    <row r="80" spans="2:35" s="64" customFormat="1" ht="39.950000000000003" hidden="1" customHeight="1" x14ac:dyDescent="0.25">
      <c r="B80" s="5">
        <v>323</v>
      </c>
      <c r="C80" s="27" t="s">
        <v>1660</v>
      </c>
      <c r="D80" s="5" t="s">
        <v>33</v>
      </c>
      <c r="E80" s="5" t="s">
        <v>1661</v>
      </c>
      <c r="F80" s="7" t="s">
        <v>1662</v>
      </c>
      <c r="G80" s="5" t="s">
        <v>62</v>
      </c>
      <c r="H80" s="8">
        <v>204464</v>
      </c>
      <c r="I80" s="8"/>
      <c r="J80" s="8"/>
      <c r="K80" s="7" t="s">
        <v>1663</v>
      </c>
      <c r="L80" s="7" t="s">
        <v>391</v>
      </c>
      <c r="M80" s="7" t="s">
        <v>1664</v>
      </c>
      <c r="N80" s="9" t="s">
        <v>1665</v>
      </c>
      <c r="O80" s="10">
        <v>45321</v>
      </c>
      <c r="P80" s="7" t="s">
        <v>41</v>
      </c>
      <c r="Q80" s="7"/>
      <c r="R80" s="65"/>
      <c r="S80" s="7">
        <v>336</v>
      </c>
      <c r="T80" s="9">
        <v>229</v>
      </c>
      <c r="U80" s="9"/>
      <c r="V80" s="9"/>
      <c r="W80" s="9"/>
      <c r="X80" s="9"/>
      <c r="Y80" s="9"/>
      <c r="Z80" s="9"/>
      <c r="AA80" s="9"/>
      <c r="AB80" s="9"/>
      <c r="AC80" s="9"/>
      <c r="AD80" s="9"/>
      <c r="AE80" s="9">
        <v>306</v>
      </c>
      <c r="AF80" s="9"/>
      <c r="AG80" s="9">
        <f t="shared" si="3"/>
        <v>3</v>
      </c>
      <c r="AH80" s="62">
        <f t="shared" si="4"/>
        <v>290.33333333333331</v>
      </c>
      <c r="AI80" s="11" t="str">
        <f>IF(AH80&gt;='Aprovados Recursos do Fundo'!$AQ$1,"APROVADO","REPROVADO")</f>
        <v>APROVADO</v>
      </c>
    </row>
    <row r="81" spans="2:35" s="64" customFormat="1" ht="39.950000000000003" hidden="1" customHeight="1" x14ac:dyDescent="0.25">
      <c r="B81" s="5">
        <v>548</v>
      </c>
      <c r="C81" s="6" t="s">
        <v>2654</v>
      </c>
      <c r="D81" s="5" t="s">
        <v>33</v>
      </c>
      <c r="E81" s="58" t="s">
        <v>2650</v>
      </c>
      <c r="F81" s="5" t="s">
        <v>2655</v>
      </c>
      <c r="G81" s="7" t="s">
        <v>107</v>
      </c>
      <c r="H81" s="8">
        <v>1765500</v>
      </c>
      <c r="I81" s="8"/>
      <c r="J81" s="8"/>
      <c r="K81" s="7" t="s">
        <v>73</v>
      </c>
      <c r="L81" s="5" t="s">
        <v>74</v>
      </c>
      <c r="M81" s="7" t="s">
        <v>2656</v>
      </c>
      <c r="N81" s="9" t="s">
        <v>2653</v>
      </c>
      <c r="O81" s="10">
        <v>45322</v>
      </c>
      <c r="P81" s="5" t="s">
        <v>67</v>
      </c>
      <c r="Q81" s="7" t="s">
        <v>89</v>
      </c>
      <c r="R81" s="7" t="s">
        <v>68</v>
      </c>
      <c r="S81" s="5">
        <v>287</v>
      </c>
      <c r="T81" s="9"/>
      <c r="U81" s="9"/>
      <c r="V81" s="9"/>
      <c r="W81" s="9"/>
      <c r="X81" s="9">
        <v>298</v>
      </c>
      <c r="Y81" s="9">
        <v>285</v>
      </c>
      <c r="Z81" s="9"/>
      <c r="AA81" s="9"/>
      <c r="AB81" s="9"/>
      <c r="AC81" s="9"/>
      <c r="AD81" s="9"/>
      <c r="AE81" s="9"/>
      <c r="AF81" s="9"/>
      <c r="AG81" s="9">
        <f t="shared" si="3"/>
        <v>3</v>
      </c>
      <c r="AH81" s="62">
        <f t="shared" si="4"/>
        <v>290</v>
      </c>
      <c r="AI81" s="11" t="str">
        <f>IF(AH81&gt;=$AI$1,"APROVADO","REPROVADO")</f>
        <v>APROVADO</v>
      </c>
    </row>
    <row r="82" spans="2:35" s="64" customFormat="1" ht="39.950000000000003" hidden="1" customHeight="1" x14ac:dyDescent="0.25">
      <c r="B82" s="5">
        <v>362</v>
      </c>
      <c r="C82" s="22" t="s">
        <v>1832</v>
      </c>
      <c r="D82" s="5" t="s">
        <v>51</v>
      </c>
      <c r="E82" s="59" t="s">
        <v>1827</v>
      </c>
      <c r="F82" s="9" t="s">
        <v>1833</v>
      </c>
      <c r="G82" s="11" t="s">
        <v>36</v>
      </c>
      <c r="H82" s="41">
        <v>267800</v>
      </c>
      <c r="I82" s="41"/>
      <c r="J82" s="41"/>
      <c r="K82" s="9" t="s">
        <v>1829</v>
      </c>
      <c r="L82" s="11" t="s">
        <v>181</v>
      </c>
      <c r="M82" s="9" t="s">
        <v>1830</v>
      </c>
      <c r="N82" s="66" t="s">
        <v>1831</v>
      </c>
      <c r="O82" s="34">
        <v>45321</v>
      </c>
      <c r="P82" s="9" t="s">
        <v>57</v>
      </c>
      <c r="Q82" s="65"/>
      <c r="R82" s="65"/>
      <c r="S82" s="9">
        <v>271</v>
      </c>
      <c r="T82" s="9"/>
      <c r="U82" s="9"/>
      <c r="V82" s="9"/>
      <c r="W82" s="9"/>
      <c r="X82" s="9"/>
      <c r="Y82" s="9"/>
      <c r="Z82" s="9">
        <v>300</v>
      </c>
      <c r="AA82" s="9">
        <v>298</v>
      </c>
      <c r="AB82" s="9"/>
      <c r="AC82" s="9"/>
      <c r="AD82" s="9"/>
      <c r="AE82" s="65"/>
      <c r="AF82" s="65"/>
      <c r="AG82" s="9">
        <f t="shared" si="3"/>
        <v>3</v>
      </c>
      <c r="AH82" s="62">
        <f t="shared" si="4"/>
        <v>289.66666666666669</v>
      </c>
      <c r="AI82" s="11" t="str">
        <f>IF(AH82&gt;=$AI$1,"APROVADO","REPROVADO")</f>
        <v>APROVADO</v>
      </c>
    </row>
    <row r="83" spans="2:35" s="64" customFormat="1" ht="39.950000000000003" hidden="1" customHeight="1" x14ac:dyDescent="0.25">
      <c r="B83" s="5">
        <v>96</v>
      </c>
      <c r="C83" s="27" t="s">
        <v>551</v>
      </c>
      <c r="D83" s="5" t="s">
        <v>33</v>
      </c>
      <c r="E83" s="5" t="s">
        <v>552</v>
      </c>
      <c r="F83" s="7" t="s">
        <v>553</v>
      </c>
      <c r="G83" s="5" t="s">
        <v>62</v>
      </c>
      <c r="H83" s="8">
        <v>73150</v>
      </c>
      <c r="I83" s="8"/>
      <c r="J83" s="8"/>
      <c r="K83" s="7" t="s">
        <v>554</v>
      </c>
      <c r="L83" s="7" t="s">
        <v>115</v>
      </c>
      <c r="M83" s="7" t="s">
        <v>555</v>
      </c>
      <c r="N83" s="9" t="s">
        <v>556</v>
      </c>
      <c r="O83" s="34">
        <v>45307</v>
      </c>
      <c r="P83" s="7" t="s">
        <v>41</v>
      </c>
      <c r="Q83" s="7"/>
      <c r="R83" s="7"/>
      <c r="S83" s="9">
        <v>340</v>
      </c>
      <c r="T83" s="9">
        <v>265</v>
      </c>
      <c r="U83" s="9">
        <v>264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>
        <f t="shared" si="3"/>
        <v>3</v>
      </c>
      <c r="AH83" s="62">
        <f t="shared" si="4"/>
        <v>289.66666666666669</v>
      </c>
      <c r="AI83" s="11" t="str">
        <f>IF(AH83&gt;='Aprovados Recursos do Fundo'!$AQ$1,"APROVADO","REPROVADO")</f>
        <v>APROVADO</v>
      </c>
    </row>
    <row r="84" spans="2:35" s="64" customFormat="1" ht="39.950000000000003" hidden="1" customHeight="1" x14ac:dyDescent="0.25">
      <c r="B84" s="5">
        <v>160</v>
      </c>
      <c r="C84" s="27" t="s">
        <v>846</v>
      </c>
      <c r="D84" s="5" t="s">
        <v>33</v>
      </c>
      <c r="E84" s="5" t="s">
        <v>847</v>
      </c>
      <c r="F84" s="7" t="s">
        <v>848</v>
      </c>
      <c r="G84" s="7" t="s">
        <v>107</v>
      </c>
      <c r="H84" s="8">
        <v>745455.43</v>
      </c>
      <c r="I84" s="8"/>
      <c r="J84" s="8"/>
      <c r="K84" s="7" t="s">
        <v>73</v>
      </c>
      <c r="L84" s="7" t="s">
        <v>74</v>
      </c>
      <c r="M84" s="7" t="s">
        <v>849</v>
      </c>
      <c r="N84" s="9" t="s">
        <v>850</v>
      </c>
      <c r="O84" s="10">
        <v>45308</v>
      </c>
      <c r="P84" s="7" t="s">
        <v>41</v>
      </c>
      <c r="Q84" s="7"/>
      <c r="R84" s="7"/>
      <c r="S84" s="9">
        <v>331</v>
      </c>
      <c r="T84" s="9">
        <v>257</v>
      </c>
      <c r="U84" s="9"/>
      <c r="V84" s="9"/>
      <c r="W84" s="9"/>
      <c r="X84" s="9"/>
      <c r="Y84" s="9"/>
      <c r="Z84" s="9"/>
      <c r="AA84" s="9"/>
      <c r="AB84" s="9"/>
      <c r="AC84" s="9">
        <v>281</v>
      </c>
      <c r="AD84" s="9"/>
      <c r="AE84" s="9"/>
      <c r="AF84" s="9"/>
      <c r="AG84" s="9">
        <f t="shared" si="3"/>
        <v>3</v>
      </c>
      <c r="AH84" s="62">
        <f t="shared" si="4"/>
        <v>289.66666666666669</v>
      </c>
      <c r="AI84" s="11" t="str">
        <f>IF(AH84&gt;='Aprovados Recursos do Fundo'!$AQ$1,"APROVADO","REPROVADO")</f>
        <v>APROVADO</v>
      </c>
    </row>
    <row r="85" spans="2:35" s="64" customFormat="1" ht="39.950000000000003" hidden="1" customHeight="1" x14ac:dyDescent="0.25">
      <c r="B85" s="5">
        <v>304</v>
      </c>
      <c r="C85" s="22" t="s">
        <v>1561</v>
      </c>
      <c r="D85" s="5" t="s">
        <v>51</v>
      </c>
      <c r="E85" s="9" t="s">
        <v>1562</v>
      </c>
      <c r="F85" s="9" t="s">
        <v>1563</v>
      </c>
      <c r="G85" s="11" t="s">
        <v>36</v>
      </c>
      <c r="H85" s="41">
        <v>64375</v>
      </c>
      <c r="I85" s="41"/>
      <c r="J85" s="41"/>
      <c r="K85" s="9" t="s">
        <v>1564</v>
      </c>
      <c r="L85" s="11" t="s">
        <v>189</v>
      </c>
      <c r="M85" s="9" t="s">
        <v>1565</v>
      </c>
      <c r="N85" s="9" t="s">
        <v>1566</v>
      </c>
      <c r="O85" s="34">
        <v>45321</v>
      </c>
      <c r="P85" s="9" t="s">
        <v>41</v>
      </c>
      <c r="Q85" s="9"/>
      <c r="R85" s="65"/>
      <c r="S85" s="9">
        <v>340</v>
      </c>
      <c r="T85" s="9">
        <v>203</v>
      </c>
      <c r="U85" s="9"/>
      <c r="V85" s="9"/>
      <c r="W85" s="9"/>
      <c r="X85" s="9"/>
      <c r="Y85" s="9"/>
      <c r="Z85" s="9"/>
      <c r="AA85" s="9"/>
      <c r="AB85" s="9">
        <v>326</v>
      </c>
      <c r="AC85" s="9"/>
      <c r="AD85" s="9"/>
      <c r="AE85" s="65"/>
      <c r="AF85" s="65"/>
      <c r="AG85" s="9">
        <f t="shared" si="3"/>
        <v>3</v>
      </c>
      <c r="AH85" s="62">
        <f t="shared" si="4"/>
        <v>289.66666666666669</v>
      </c>
      <c r="AI85" s="11" t="str">
        <f>IF(AH85&gt;='Aprovados Recursos do Fundo'!$AQ$1,"APROVADO","REPROVADO")</f>
        <v>APROVADO</v>
      </c>
    </row>
    <row r="86" spans="2:35" s="64" customFormat="1" ht="39.950000000000003" hidden="1" customHeight="1" x14ac:dyDescent="0.25">
      <c r="B86" s="5">
        <v>61</v>
      </c>
      <c r="C86" s="6" t="s">
        <v>364</v>
      </c>
      <c r="D86" s="5" t="s">
        <v>33</v>
      </c>
      <c r="E86" s="5" t="s">
        <v>172</v>
      </c>
      <c r="F86" s="7" t="s">
        <v>365</v>
      </c>
      <c r="G86" s="7" t="s">
        <v>36</v>
      </c>
      <c r="H86" s="8">
        <v>50000</v>
      </c>
      <c r="I86" s="8"/>
      <c r="J86" s="8"/>
      <c r="K86" s="7" t="s">
        <v>366</v>
      </c>
      <c r="L86" s="7" t="s">
        <v>115</v>
      </c>
      <c r="M86" s="7" t="s">
        <v>367</v>
      </c>
      <c r="N86" s="9" t="s">
        <v>368</v>
      </c>
      <c r="O86" s="10">
        <v>45306</v>
      </c>
      <c r="P86" s="7" t="s">
        <v>67</v>
      </c>
      <c r="Q86" s="7" t="s">
        <v>369</v>
      </c>
      <c r="R86" s="7"/>
      <c r="S86" s="9"/>
      <c r="T86" s="9">
        <v>188</v>
      </c>
      <c r="U86" s="9"/>
      <c r="V86" s="9"/>
      <c r="W86" s="9"/>
      <c r="X86" s="9"/>
      <c r="Y86" s="9"/>
      <c r="Z86" s="9">
        <v>340</v>
      </c>
      <c r="AA86" s="9">
        <v>340</v>
      </c>
      <c r="AB86" s="9"/>
      <c r="AC86" s="9"/>
      <c r="AD86" s="9"/>
      <c r="AE86" s="9"/>
      <c r="AF86" s="9"/>
      <c r="AG86" s="9">
        <f t="shared" si="3"/>
        <v>3</v>
      </c>
      <c r="AH86" s="62">
        <f t="shared" si="4"/>
        <v>289.33333333333331</v>
      </c>
      <c r="AI86" s="11" t="str">
        <f>IF(AH86&gt;='Aprovados Recursos do Fundo'!$AQ$1,"APROVADO","REPROVADO")</f>
        <v>APROVADO</v>
      </c>
    </row>
    <row r="87" spans="2:35" s="64" customFormat="1" ht="39.950000000000003" hidden="1" customHeight="1" x14ac:dyDescent="0.25">
      <c r="B87" s="5">
        <v>140</v>
      </c>
      <c r="C87" s="6" t="s">
        <v>747</v>
      </c>
      <c r="D87" s="5" t="s">
        <v>33</v>
      </c>
      <c r="E87" s="5" t="s">
        <v>748</v>
      </c>
      <c r="F87" s="7" t="s">
        <v>749</v>
      </c>
      <c r="G87" s="7" t="s">
        <v>36</v>
      </c>
      <c r="H87" s="8">
        <v>181500</v>
      </c>
      <c r="I87" s="8"/>
      <c r="J87" s="8"/>
      <c r="K87" s="7" t="s">
        <v>750</v>
      </c>
      <c r="L87" s="7" t="s">
        <v>223</v>
      </c>
      <c r="M87" s="7" t="s">
        <v>751</v>
      </c>
      <c r="N87" s="9" t="s">
        <v>752</v>
      </c>
      <c r="O87" s="10">
        <v>45308</v>
      </c>
      <c r="P87" s="7" t="s">
        <v>67</v>
      </c>
      <c r="Q87" s="7" t="s">
        <v>98</v>
      </c>
      <c r="R87" s="7"/>
      <c r="S87" s="9"/>
      <c r="T87" s="9">
        <v>224</v>
      </c>
      <c r="U87" s="9"/>
      <c r="V87" s="9"/>
      <c r="W87" s="9"/>
      <c r="X87" s="9"/>
      <c r="Y87" s="9"/>
      <c r="Z87" s="9">
        <v>310</v>
      </c>
      <c r="AA87" s="9">
        <v>334</v>
      </c>
      <c r="AB87" s="9"/>
      <c r="AC87" s="9"/>
      <c r="AD87" s="9"/>
      <c r="AE87" s="9"/>
      <c r="AF87" s="9"/>
      <c r="AG87" s="9">
        <f t="shared" si="3"/>
        <v>3</v>
      </c>
      <c r="AH87" s="62">
        <f t="shared" si="4"/>
        <v>289.33333333333331</v>
      </c>
      <c r="AI87" s="11" t="str">
        <f>IF(AH87&gt;='Aprovados Recursos do Fundo'!$AQ$1,"APROVADO","REPROVADO")</f>
        <v>APROVADO</v>
      </c>
    </row>
    <row r="88" spans="2:35" s="64" customFormat="1" ht="39.950000000000003" hidden="1" customHeight="1" x14ac:dyDescent="0.25">
      <c r="B88" s="5">
        <v>170</v>
      </c>
      <c r="C88" s="22" t="s">
        <v>899</v>
      </c>
      <c r="D88" s="5" t="s">
        <v>51</v>
      </c>
      <c r="E88" s="59" t="s">
        <v>894</v>
      </c>
      <c r="F88" s="11" t="s">
        <v>900</v>
      </c>
      <c r="G88" s="11" t="s">
        <v>107</v>
      </c>
      <c r="H88" s="41">
        <v>200000</v>
      </c>
      <c r="I88" s="41"/>
      <c r="J88" s="41"/>
      <c r="K88" s="7" t="s">
        <v>896</v>
      </c>
      <c r="L88" s="7" t="s">
        <v>123</v>
      </c>
      <c r="M88" s="9" t="s">
        <v>901</v>
      </c>
      <c r="N88" s="9" t="s">
        <v>902</v>
      </c>
      <c r="O88" s="34">
        <v>45310</v>
      </c>
      <c r="P88" s="9" t="s">
        <v>41</v>
      </c>
      <c r="Q88" s="9"/>
      <c r="R88" s="65"/>
      <c r="S88" s="9">
        <v>330</v>
      </c>
      <c r="T88" s="9">
        <v>232</v>
      </c>
      <c r="U88" s="9"/>
      <c r="V88" s="9"/>
      <c r="W88" s="9"/>
      <c r="X88" s="9"/>
      <c r="Y88" s="9"/>
      <c r="Z88" s="9"/>
      <c r="AA88" s="9"/>
      <c r="AB88" s="9">
        <v>305</v>
      </c>
      <c r="AC88" s="9"/>
      <c r="AD88" s="9"/>
      <c r="AE88" s="9"/>
      <c r="AF88" s="9"/>
      <c r="AG88" s="9">
        <f t="shared" si="3"/>
        <v>3</v>
      </c>
      <c r="AH88" s="62">
        <f t="shared" si="4"/>
        <v>289</v>
      </c>
      <c r="AI88" s="11" t="str">
        <f>IF(AH88&gt;=$AI$1,"APROVADO","REPROVADO")</f>
        <v>APROVADO</v>
      </c>
    </row>
    <row r="89" spans="2:35" s="64" customFormat="1" ht="39.950000000000003" hidden="1" customHeight="1" x14ac:dyDescent="0.25">
      <c r="B89" s="5">
        <v>568</v>
      </c>
      <c r="C89" s="6" t="s">
        <v>2720</v>
      </c>
      <c r="D89" s="5" t="s">
        <v>51</v>
      </c>
      <c r="E89" s="58" t="s">
        <v>2721</v>
      </c>
      <c r="F89" s="7" t="s">
        <v>2722</v>
      </c>
      <c r="G89" s="7" t="s">
        <v>45</v>
      </c>
      <c r="H89" s="41">
        <v>196347.25</v>
      </c>
      <c r="I89" s="41"/>
      <c r="J89" s="41"/>
      <c r="K89" s="9" t="s">
        <v>2723</v>
      </c>
      <c r="L89" s="11" t="s">
        <v>202</v>
      </c>
      <c r="M89" s="7" t="s">
        <v>2724</v>
      </c>
      <c r="N89" s="66" t="s">
        <v>2725</v>
      </c>
      <c r="O89" s="34">
        <v>45322</v>
      </c>
      <c r="P89" s="9" t="s">
        <v>57</v>
      </c>
      <c r="Q89" s="11" t="s">
        <v>2726</v>
      </c>
      <c r="R89" s="9"/>
      <c r="S89" s="9">
        <v>273</v>
      </c>
      <c r="T89" s="9"/>
      <c r="U89" s="9"/>
      <c r="V89" s="9"/>
      <c r="W89" s="9"/>
      <c r="X89" s="9"/>
      <c r="Y89" s="9"/>
      <c r="Z89" s="9">
        <v>319</v>
      </c>
      <c r="AA89" s="9">
        <v>275</v>
      </c>
      <c r="AB89" s="9"/>
      <c r="AC89" s="9"/>
      <c r="AD89" s="9"/>
      <c r="AE89" s="65"/>
      <c r="AF89" s="65"/>
      <c r="AG89" s="9">
        <f t="shared" si="3"/>
        <v>3</v>
      </c>
      <c r="AH89" s="62">
        <f t="shared" si="4"/>
        <v>289</v>
      </c>
      <c r="AI89" s="11" t="str">
        <f>IF(AH89&gt;=$AI$1,"APROVADO","REPROVADO")</f>
        <v>APROVADO</v>
      </c>
    </row>
    <row r="90" spans="2:35" s="64" customFormat="1" ht="39.950000000000003" hidden="1" customHeight="1" x14ac:dyDescent="0.25">
      <c r="B90" s="5">
        <v>498</v>
      </c>
      <c r="C90" s="27" t="s">
        <v>2433</v>
      </c>
      <c r="D90" s="5" t="s">
        <v>33</v>
      </c>
      <c r="E90" s="5" t="s">
        <v>2434</v>
      </c>
      <c r="F90" s="7" t="s">
        <v>2435</v>
      </c>
      <c r="G90" s="7" t="s">
        <v>36</v>
      </c>
      <c r="H90" s="8">
        <v>2004407.56</v>
      </c>
      <c r="I90" s="8"/>
      <c r="J90" s="8"/>
      <c r="K90" s="7" t="s">
        <v>2436</v>
      </c>
      <c r="L90" s="7" t="s">
        <v>254</v>
      </c>
      <c r="M90" s="7" t="s">
        <v>2437</v>
      </c>
      <c r="N90" s="9" t="s">
        <v>2438</v>
      </c>
      <c r="O90" s="10">
        <v>45322</v>
      </c>
      <c r="P90" s="7" t="s">
        <v>41</v>
      </c>
      <c r="Q90" s="7"/>
      <c r="R90" s="65"/>
      <c r="S90" s="7">
        <v>335</v>
      </c>
      <c r="T90" s="9">
        <v>231</v>
      </c>
      <c r="U90" s="9"/>
      <c r="V90" s="9">
        <v>300</v>
      </c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>
        <f t="shared" si="3"/>
        <v>3</v>
      </c>
      <c r="AH90" s="62">
        <f t="shared" si="4"/>
        <v>288.66666666666669</v>
      </c>
      <c r="AI90" s="11" t="str">
        <f>IF(AH90&gt;='Aprovados Recursos do Fundo'!$AQ$1,"APROVADO","REPROVADO")</f>
        <v>APROVADO</v>
      </c>
    </row>
    <row r="91" spans="2:35" s="64" customFormat="1" ht="39.950000000000003" hidden="1" customHeight="1" x14ac:dyDescent="0.25">
      <c r="B91" s="5">
        <v>293</v>
      </c>
      <c r="C91" s="6" t="s">
        <v>1501</v>
      </c>
      <c r="D91" s="5" t="s">
        <v>33</v>
      </c>
      <c r="E91" s="5" t="s">
        <v>1502</v>
      </c>
      <c r="F91" s="7" t="s">
        <v>1503</v>
      </c>
      <c r="G91" s="7" t="s">
        <v>107</v>
      </c>
      <c r="H91" s="8">
        <v>42947</v>
      </c>
      <c r="I91" s="8"/>
      <c r="J91" s="8"/>
      <c r="K91" s="7" t="s">
        <v>269</v>
      </c>
      <c r="L91" s="7" t="s">
        <v>270</v>
      </c>
      <c r="M91" s="7" t="s">
        <v>1504</v>
      </c>
      <c r="N91" s="9" t="s">
        <v>1505</v>
      </c>
      <c r="O91" s="10">
        <v>45321</v>
      </c>
      <c r="P91" s="7" t="s">
        <v>67</v>
      </c>
      <c r="Q91" s="7"/>
      <c r="R91" s="65"/>
      <c r="S91" s="7">
        <v>228</v>
      </c>
      <c r="T91" s="9"/>
      <c r="U91" s="9"/>
      <c r="V91" s="9"/>
      <c r="W91" s="9"/>
      <c r="X91" s="9">
        <v>314</v>
      </c>
      <c r="Y91" s="9"/>
      <c r="Z91" s="9"/>
      <c r="AA91" s="9"/>
      <c r="AB91" s="9"/>
      <c r="AC91" s="9"/>
      <c r="AD91" s="9"/>
      <c r="AE91" s="9">
        <v>322</v>
      </c>
      <c r="AF91" s="9"/>
      <c r="AG91" s="9">
        <f t="shared" si="3"/>
        <v>3</v>
      </c>
      <c r="AH91" s="62">
        <f t="shared" si="4"/>
        <v>288</v>
      </c>
      <c r="AI91" s="11" t="str">
        <f>IF(AH91&gt;='Aprovados Recursos do Fundo'!$AQ$1,"APROVADO","REPROVADO")</f>
        <v>APROVADO</v>
      </c>
    </row>
    <row r="92" spans="2:35" s="64" customFormat="1" ht="39.950000000000003" hidden="1" customHeight="1" x14ac:dyDescent="0.25">
      <c r="B92" s="5">
        <v>343</v>
      </c>
      <c r="C92" s="27" t="s">
        <v>1749</v>
      </c>
      <c r="D92" s="5" t="s">
        <v>33</v>
      </c>
      <c r="E92" s="5" t="s">
        <v>1750</v>
      </c>
      <c r="F92" s="7" t="s">
        <v>1751</v>
      </c>
      <c r="G92" s="7" t="s">
        <v>174</v>
      </c>
      <c r="H92" s="8">
        <v>87370</v>
      </c>
      <c r="I92" s="8"/>
      <c r="J92" s="8"/>
      <c r="K92" s="7" t="s">
        <v>1752</v>
      </c>
      <c r="L92" s="7" t="s">
        <v>154</v>
      </c>
      <c r="M92" s="7" t="s">
        <v>1753</v>
      </c>
      <c r="N92" s="9" t="s">
        <v>1754</v>
      </c>
      <c r="O92" s="10">
        <v>45321</v>
      </c>
      <c r="P92" s="7" t="s">
        <v>41</v>
      </c>
      <c r="Q92" s="7"/>
      <c r="R92" s="65"/>
      <c r="S92" s="7">
        <v>334</v>
      </c>
      <c r="T92" s="9">
        <v>195</v>
      </c>
      <c r="U92" s="9"/>
      <c r="V92" s="9"/>
      <c r="W92" s="9"/>
      <c r="X92" s="9"/>
      <c r="Y92" s="9"/>
      <c r="Z92" s="9"/>
      <c r="AA92" s="9"/>
      <c r="AB92" s="9"/>
      <c r="AC92" s="9"/>
      <c r="AD92" s="9">
        <v>335</v>
      </c>
      <c r="AE92" s="9"/>
      <c r="AF92" s="9"/>
      <c r="AG92" s="9">
        <f t="shared" si="3"/>
        <v>3</v>
      </c>
      <c r="AH92" s="62">
        <f t="shared" si="4"/>
        <v>288</v>
      </c>
      <c r="AI92" s="11" t="str">
        <f>IF(AH92&gt;='Aprovados Recursos do Fundo'!$AQ$1,"APROVADO","REPROVADO")</f>
        <v>APROVADO</v>
      </c>
    </row>
    <row r="93" spans="2:35" s="64" customFormat="1" ht="39.950000000000003" hidden="1" customHeight="1" x14ac:dyDescent="0.25">
      <c r="B93" s="5">
        <v>302</v>
      </c>
      <c r="C93" s="27" t="s">
        <v>1550</v>
      </c>
      <c r="D93" s="5" t="s">
        <v>33</v>
      </c>
      <c r="E93" s="5" t="s">
        <v>1551</v>
      </c>
      <c r="F93" s="7" t="s">
        <v>1552</v>
      </c>
      <c r="G93" s="7" t="s">
        <v>36</v>
      </c>
      <c r="H93" s="8">
        <v>28800</v>
      </c>
      <c r="I93" s="8"/>
      <c r="J93" s="8"/>
      <c r="K93" s="7" t="s">
        <v>1553</v>
      </c>
      <c r="L93" s="7" t="s">
        <v>64</v>
      </c>
      <c r="M93" s="7" t="s">
        <v>1554</v>
      </c>
      <c r="N93" s="9" t="s">
        <v>1555</v>
      </c>
      <c r="O93" s="10">
        <v>45321</v>
      </c>
      <c r="P93" s="7" t="s">
        <v>41</v>
      </c>
      <c r="Q93" s="7"/>
      <c r="R93" s="65"/>
      <c r="S93" s="7">
        <v>334</v>
      </c>
      <c r="T93" s="9">
        <v>275</v>
      </c>
      <c r="U93" s="9">
        <v>253</v>
      </c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>
        <f t="shared" si="3"/>
        <v>3</v>
      </c>
      <c r="AH93" s="62">
        <f t="shared" si="4"/>
        <v>287.33333333333331</v>
      </c>
      <c r="AI93" s="11" t="str">
        <f>IF(AH93&gt;='Aprovados Recursos do Fundo'!$AQ$1,"APROVADO","REPROVADO")</f>
        <v>APROVADO</v>
      </c>
    </row>
    <row r="94" spans="2:35" s="64" customFormat="1" ht="39.950000000000003" hidden="1" customHeight="1" x14ac:dyDescent="0.25">
      <c r="B94" s="5">
        <v>224</v>
      </c>
      <c r="C94" s="27" t="s">
        <v>1167</v>
      </c>
      <c r="D94" s="5" t="s">
        <v>33</v>
      </c>
      <c r="E94" s="5" t="s">
        <v>298</v>
      </c>
      <c r="F94" s="7" t="s">
        <v>304</v>
      </c>
      <c r="G94" s="7" t="s">
        <v>36</v>
      </c>
      <c r="H94" s="8">
        <v>500000</v>
      </c>
      <c r="I94" s="8"/>
      <c r="J94" s="8"/>
      <c r="K94" s="7" t="s">
        <v>290</v>
      </c>
      <c r="L94" s="7" t="s">
        <v>154</v>
      </c>
      <c r="M94" s="7" t="s">
        <v>301</v>
      </c>
      <c r="N94" s="37" t="s">
        <v>1166</v>
      </c>
      <c r="O94" s="10">
        <v>45320</v>
      </c>
      <c r="P94" s="7" t="s">
        <v>41</v>
      </c>
      <c r="Q94" s="7" t="s">
        <v>305</v>
      </c>
      <c r="R94" s="65"/>
      <c r="S94" s="7">
        <v>335</v>
      </c>
      <c r="T94" s="9">
        <v>253</v>
      </c>
      <c r="U94" s="9">
        <v>273</v>
      </c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>
        <f t="shared" si="3"/>
        <v>3</v>
      </c>
      <c r="AH94" s="62">
        <f t="shared" si="4"/>
        <v>287</v>
      </c>
      <c r="AI94" s="11" t="str">
        <f>IF(AH94&gt;=$AI$1,"APROVADO","REPROVADO")</f>
        <v>APROVADO</v>
      </c>
    </row>
    <row r="95" spans="2:35" s="64" customFormat="1" ht="39.950000000000003" hidden="1" customHeight="1" x14ac:dyDescent="0.25">
      <c r="B95" s="5">
        <v>437</v>
      </c>
      <c r="C95" s="6" t="s">
        <v>2145</v>
      </c>
      <c r="D95" s="5" t="s">
        <v>33</v>
      </c>
      <c r="E95" s="58" t="s">
        <v>2146</v>
      </c>
      <c r="F95" s="7" t="s">
        <v>2147</v>
      </c>
      <c r="G95" s="7" t="s">
        <v>107</v>
      </c>
      <c r="H95" s="8">
        <v>424690</v>
      </c>
      <c r="I95" s="8"/>
      <c r="J95" s="8"/>
      <c r="K95" s="7" t="s">
        <v>73</v>
      </c>
      <c r="L95" s="5" t="s">
        <v>74</v>
      </c>
      <c r="M95" s="7" t="s">
        <v>2148</v>
      </c>
      <c r="N95" s="9" t="s">
        <v>2149</v>
      </c>
      <c r="O95" s="10">
        <v>45322</v>
      </c>
      <c r="P95" s="7" t="s">
        <v>67</v>
      </c>
      <c r="Q95" s="9"/>
      <c r="R95" s="65"/>
      <c r="S95" s="7">
        <v>279</v>
      </c>
      <c r="T95" s="9"/>
      <c r="U95" s="9"/>
      <c r="V95" s="9"/>
      <c r="W95" s="9"/>
      <c r="X95" s="9">
        <v>283</v>
      </c>
      <c r="Y95" s="9">
        <v>299</v>
      </c>
      <c r="Z95" s="9"/>
      <c r="AA95" s="9"/>
      <c r="AB95" s="9"/>
      <c r="AC95" s="9"/>
      <c r="AD95" s="9"/>
      <c r="AE95" s="9"/>
      <c r="AF95" s="9"/>
      <c r="AG95" s="9">
        <f t="shared" si="3"/>
        <v>3</v>
      </c>
      <c r="AH95" s="62">
        <f t="shared" si="4"/>
        <v>287</v>
      </c>
      <c r="AI95" s="11" t="str">
        <f>IF(AH95&gt;=$AI$1,"APROVADO","REPROVADO")</f>
        <v>APROVADO</v>
      </c>
    </row>
    <row r="96" spans="2:35" s="64" customFormat="1" ht="39.950000000000003" hidden="1" customHeight="1" x14ac:dyDescent="0.25">
      <c r="B96" s="5">
        <v>585</v>
      </c>
      <c r="C96" s="27" t="s">
        <v>2791</v>
      </c>
      <c r="D96" s="5" t="s">
        <v>33</v>
      </c>
      <c r="E96" s="5" t="s">
        <v>2792</v>
      </c>
      <c r="F96" s="7" t="s">
        <v>2793</v>
      </c>
      <c r="G96" s="5" t="s">
        <v>62</v>
      </c>
      <c r="H96" s="8">
        <v>130000</v>
      </c>
      <c r="I96" s="8"/>
      <c r="J96" s="8"/>
      <c r="K96" s="7" t="s">
        <v>2794</v>
      </c>
      <c r="L96" s="7" t="s">
        <v>391</v>
      </c>
      <c r="M96" s="7" t="s">
        <v>2795</v>
      </c>
      <c r="N96" s="9" t="s">
        <v>2796</v>
      </c>
      <c r="O96" s="10">
        <v>45322</v>
      </c>
      <c r="P96" s="7" t="s">
        <v>41</v>
      </c>
      <c r="Q96" s="9"/>
      <c r="R96" s="9"/>
      <c r="S96" s="7">
        <v>337</v>
      </c>
      <c r="T96" s="9">
        <v>263</v>
      </c>
      <c r="U96" s="9"/>
      <c r="V96" s="9">
        <v>261</v>
      </c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>
        <f t="shared" si="3"/>
        <v>3</v>
      </c>
      <c r="AH96" s="62">
        <f t="shared" si="4"/>
        <v>287</v>
      </c>
      <c r="AI96" s="11" t="str">
        <f>IF(AH96&gt;='Aprovados Recursos do Fundo'!$AQ$1,"APROVADO","REPROVADO")</f>
        <v>APROVADO</v>
      </c>
    </row>
    <row r="97" spans="2:35" s="64" customFormat="1" ht="39.950000000000003" hidden="1" customHeight="1" x14ac:dyDescent="0.25">
      <c r="B97" s="5">
        <v>101</v>
      </c>
      <c r="C97" s="6" t="s">
        <v>573</v>
      </c>
      <c r="D97" s="5" t="s">
        <v>33</v>
      </c>
      <c r="E97" s="5" t="s">
        <v>574</v>
      </c>
      <c r="F97" s="7" t="s">
        <v>575</v>
      </c>
      <c r="G97" s="7" t="s">
        <v>174</v>
      </c>
      <c r="H97" s="8">
        <v>11210</v>
      </c>
      <c r="I97" s="8"/>
      <c r="J97" s="8"/>
      <c r="K97" s="7" t="s">
        <v>425</v>
      </c>
      <c r="L97" s="7" t="s">
        <v>348</v>
      </c>
      <c r="M97" s="7" t="s">
        <v>576</v>
      </c>
      <c r="N97" s="9" t="s">
        <v>577</v>
      </c>
      <c r="O97" s="10">
        <v>45307</v>
      </c>
      <c r="P97" s="7" t="s">
        <v>67</v>
      </c>
      <c r="Q97" s="7" t="s">
        <v>578</v>
      </c>
      <c r="R97" s="7" t="s">
        <v>579</v>
      </c>
      <c r="S97" s="9"/>
      <c r="T97" s="9">
        <v>280</v>
      </c>
      <c r="U97" s="9"/>
      <c r="V97" s="9"/>
      <c r="W97" s="9"/>
      <c r="X97" s="9"/>
      <c r="Y97" s="9"/>
      <c r="Z97" s="9">
        <v>240</v>
      </c>
      <c r="AA97" s="9">
        <v>340</v>
      </c>
      <c r="AB97" s="9"/>
      <c r="AC97" s="9"/>
      <c r="AD97" s="9"/>
      <c r="AE97" s="9"/>
      <c r="AF97" s="9"/>
      <c r="AG97" s="9">
        <f t="shared" si="3"/>
        <v>3</v>
      </c>
      <c r="AH97" s="62">
        <f t="shared" si="4"/>
        <v>286.66666666666669</v>
      </c>
      <c r="AI97" s="11" t="str">
        <f>IF(AH97&gt;='Aprovados Recursos do Fundo'!$AQ$1,"APROVADO","REPROVADO")</f>
        <v>APROVADO</v>
      </c>
    </row>
    <row r="98" spans="2:35" s="64" customFormat="1" ht="39.950000000000003" hidden="1" customHeight="1" x14ac:dyDescent="0.25">
      <c r="B98" s="5">
        <v>332</v>
      </c>
      <c r="C98" s="6" t="s">
        <v>1695</v>
      </c>
      <c r="D98" s="5" t="s">
        <v>33</v>
      </c>
      <c r="E98" s="5" t="s">
        <v>1696</v>
      </c>
      <c r="F98" s="7" t="s">
        <v>1697</v>
      </c>
      <c r="G98" s="7" t="s">
        <v>36</v>
      </c>
      <c r="H98" s="8">
        <v>101300</v>
      </c>
      <c r="I98" s="8"/>
      <c r="J98" s="8"/>
      <c r="K98" s="7" t="s">
        <v>1698</v>
      </c>
      <c r="L98" s="7" t="s">
        <v>95</v>
      </c>
      <c r="M98" s="7" t="s">
        <v>1699</v>
      </c>
      <c r="N98" s="9" t="s">
        <v>1700</v>
      </c>
      <c r="O98" s="10">
        <v>45321</v>
      </c>
      <c r="P98" s="7" t="s">
        <v>67</v>
      </c>
      <c r="Q98" s="7"/>
      <c r="R98" s="65"/>
      <c r="S98" s="7">
        <v>296</v>
      </c>
      <c r="T98" s="9"/>
      <c r="U98" s="9"/>
      <c r="V98" s="9"/>
      <c r="W98" s="9"/>
      <c r="X98" s="9">
        <v>260</v>
      </c>
      <c r="Y98" s="9">
        <v>304</v>
      </c>
      <c r="Z98" s="9"/>
      <c r="AA98" s="9"/>
      <c r="AB98" s="9"/>
      <c r="AC98" s="9"/>
      <c r="AD98" s="9"/>
      <c r="AE98" s="9"/>
      <c r="AF98" s="9"/>
      <c r="AG98" s="9">
        <f t="shared" si="3"/>
        <v>3</v>
      </c>
      <c r="AH98" s="62">
        <f t="shared" si="4"/>
        <v>286.66666666666669</v>
      </c>
      <c r="AI98" s="11" t="str">
        <f>IF(AH98&gt;='Aprovados Recursos do Fundo'!$AQ$1,"APROVADO","REPROVADO")</f>
        <v>APROVADO</v>
      </c>
    </row>
    <row r="99" spans="2:35" s="64" customFormat="1" ht="39.950000000000003" hidden="1" customHeight="1" x14ac:dyDescent="0.25">
      <c r="B99" s="5">
        <v>22</v>
      </c>
      <c r="C99" s="6" t="s">
        <v>178</v>
      </c>
      <c r="D99" s="5" t="s">
        <v>33</v>
      </c>
      <c r="E99" s="5" t="s">
        <v>172</v>
      </c>
      <c r="F99" s="5" t="s">
        <v>179</v>
      </c>
      <c r="G99" s="7" t="s">
        <v>36</v>
      </c>
      <c r="H99" s="15">
        <v>50000</v>
      </c>
      <c r="I99" s="15"/>
      <c r="J99" s="15"/>
      <c r="K99" s="7" t="s">
        <v>180</v>
      </c>
      <c r="L99" s="7" t="s">
        <v>181</v>
      </c>
      <c r="M99" s="7" t="s">
        <v>182</v>
      </c>
      <c r="N99" s="9" t="s">
        <v>183</v>
      </c>
      <c r="O99" s="10">
        <v>45302</v>
      </c>
      <c r="P99" s="7" t="s">
        <v>67</v>
      </c>
      <c r="Q99" s="7" t="s">
        <v>89</v>
      </c>
      <c r="R99" s="7" t="s">
        <v>184</v>
      </c>
      <c r="S99" s="9">
        <v>340</v>
      </c>
      <c r="T99" s="9">
        <v>178</v>
      </c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>
        <v>340</v>
      </c>
      <c r="AG99" s="9">
        <f t="shared" si="3"/>
        <v>3</v>
      </c>
      <c r="AH99" s="62">
        <f t="shared" si="4"/>
        <v>286</v>
      </c>
      <c r="AI99" s="11" t="str">
        <f>IF(AH99&gt;='Aprovados Recursos do Fundo'!$AQ$1,"APROVADO","REPROVADO")</f>
        <v>APROVADO</v>
      </c>
    </row>
    <row r="100" spans="2:35" s="64" customFormat="1" ht="39.950000000000003" hidden="1" customHeight="1" x14ac:dyDescent="0.25">
      <c r="B100" s="5">
        <v>514</v>
      </c>
      <c r="C100" s="6" t="s">
        <v>2515</v>
      </c>
      <c r="D100" s="5" t="s">
        <v>33</v>
      </c>
      <c r="E100" s="5" t="s">
        <v>2516</v>
      </c>
      <c r="F100" s="7" t="s">
        <v>2517</v>
      </c>
      <c r="G100" s="5" t="s">
        <v>62</v>
      </c>
      <c r="H100" s="8">
        <v>749855.9</v>
      </c>
      <c r="I100" s="8"/>
      <c r="J100" s="8"/>
      <c r="K100" s="7" t="s">
        <v>73</v>
      </c>
      <c r="L100" s="5" t="s">
        <v>74</v>
      </c>
      <c r="M100" s="7" t="s">
        <v>2518</v>
      </c>
      <c r="N100" s="9" t="s">
        <v>2519</v>
      </c>
      <c r="O100" s="10">
        <v>45322</v>
      </c>
      <c r="P100" s="7" t="s">
        <v>67</v>
      </c>
      <c r="Q100" s="7" t="s">
        <v>68</v>
      </c>
      <c r="R100" s="7" t="s">
        <v>2520</v>
      </c>
      <c r="S100" s="7">
        <v>240</v>
      </c>
      <c r="T100" s="9"/>
      <c r="U100" s="9"/>
      <c r="V100" s="9"/>
      <c r="W100" s="9"/>
      <c r="X100" s="9"/>
      <c r="Y100" s="9">
        <v>277</v>
      </c>
      <c r="Z100" s="9"/>
      <c r="AA100" s="9">
        <v>340</v>
      </c>
      <c r="AB100" s="9"/>
      <c r="AC100" s="9"/>
      <c r="AD100" s="9"/>
      <c r="AE100" s="9"/>
      <c r="AF100" s="9"/>
      <c r="AG100" s="9">
        <f t="shared" si="3"/>
        <v>3</v>
      </c>
      <c r="AH100" s="62">
        <f t="shared" si="4"/>
        <v>285.66666666666669</v>
      </c>
      <c r="AI100" s="11" t="str">
        <f>IF(AH100&gt;='Aprovados Recursos do Fundo'!$AQ$1,"APROVADO","REPROVADO")</f>
        <v>APROVADO</v>
      </c>
    </row>
    <row r="101" spans="2:35" s="64" customFormat="1" ht="39.950000000000003" hidden="1" customHeight="1" x14ac:dyDescent="0.25">
      <c r="B101" s="5">
        <v>300</v>
      </c>
      <c r="C101" s="6" t="s">
        <v>1539</v>
      </c>
      <c r="D101" s="5" t="s">
        <v>33</v>
      </c>
      <c r="E101" s="5" t="s">
        <v>1540</v>
      </c>
      <c r="F101" s="7" t="s">
        <v>1541</v>
      </c>
      <c r="G101" s="7" t="s">
        <v>36</v>
      </c>
      <c r="H101" s="8">
        <v>593611.06000000006</v>
      </c>
      <c r="I101" s="8"/>
      <c r="J101" s="8"/>
      <c r="K101" s="7" t="s">
        <v>73</v>
      </c>
      <c r="L101" s="5" t="s">
        <v>74</v>
      </c>
      <c r="M101" s="7" t="s">
        <v>1542</v>
      </c>
      <c r="N101" s="31" t="s">
        <v>1543</v>
      </c>
      <c r="O101" s="10">
        <v>45321</v>
      </c>
      <c r="P101" s="7" t="s">
        <v>67</v>
      </c>
      <c r="Q101" s="7"/>
      <c r="R101" s="65"/>
      <c r="S101" s="7">
        <v>302</v>
      </c>
      <c r="T101" s="9">
        <v>248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>
        <v>306</v>
      </c>
      <c r="AG101" s="9">
        <f t="shared" si="3"/>
        <v>3</v>
      </c>
      <c r="AH101" s="62">
        <f t="shared" si="4"/>
        <v>285.33333333333331</v>
      </c>
      <c r="AI101" s="11" t="str">
        <f>IF(AH101&gt;='Aprovados Recursos do Fundo'!$AQ$1,"APROVADO","REPROVADO")</f>
        <v>APROVADO</v>
      </c>
    </row>
    <row r="102" spans="2:35" s="64" customFormat="1" ht="39.950000000000003" hidden="1" customHeight="1" x14ac:dyDescent="0.25">
      <c r="B102" s="5">
        <v>109</v>
      </c>
      <c r="C102" s="6" t="s">
        <v>613</v>
      </c>
      <c r="D102" s="5" t="s">
        <v>33</v>
      </c>
      <c r="E102" s="5" t="s">
        <v>614</v>
      </c>
      <c r="F102" s="7" t="s">
        <v>615</v>
      </c>
      <c r="G102" s="7" t="s">
        <v>300</v>
      </c>
      <c r="H102" s="8">
        <v>1074000</v>
      </c>
      <c r="I102" s="8"/>
      <c r="J102" s="8"/>
      <c r="K102" s="7" t="s">
        <v>596</v>
      </c>
      <c r="L102" s="7" t="s">
        <v>597</v>
      </c>
      <c r="M102" s="7" t="s">
        <v>616</v>
      </c>
      <c r="N102" s="9" t="s">
        <v>617</v>
      </c>
      <c r="O102" s="10">
        <v>45307</v>
      </c>
      <c r="P102" s="7" t="s">
        <v>67</v>
      </c>
      <c r="Q102" s="7" t="s">
        <v>98</v>
      </c>
      <c r="R102" s="7"/>
      <c r="S102" s="9">
        <v>247</v>
      </c>
      <c r="T102" s="9">
        <v>266</v>
      </c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>
        <v>340</v>
      </c>
      <c r="AG102" s="9">
        <f t="shared" si="3"/>
        <v>3</v>
      </c>
      <c r="AH102" s="62">
        <f t="shared" si="4"/>
        <v>284.33333333333331</v>
      </c>
      <c r="AI102" s="11" t="str">
        <f>IF(AH102&gt;='Aprovados Recursos do Fundo'!$AQ$1,"APROVADO","REPROVADO")</f>
        <v>APROVADO</v>
      </c>
    </row>
    <row r="103" spans="2:35" s="64" customFormat="1" ht="39.950000000000003" hidden="1" customHeight="1" x14ac:dyDescent="0.25">
      <c r="B103" s="5">
        <v>117</v>
      </c>
      <c r="C103" s="27" t="s">
        <v>643</v>
      </c>
      <c r="D103" s="5" t="s">
        <v>33</v>
      </c>
      <c r="E103" s="5" t="s">
        <v>637</v>
      </c>
      <c r="F103" s="7" t="s">
        <v>644</v>
      </c>
      <c r="G103" s="7" t="s">
        <v>107</v>
      </c>
      <c r="H103" s="8">
        <v>428436</v>
      </c>
      <c r="I103" s="8"/>
      <c r="J103" s="8"/>
      <c r="K103" s="7" t="s">
        <v>73</v>
      </c>
      <c r="L103" s="7" t="s">
        <v>74</v>
      </c>
      <c r="M103" s="7" t="s">
        <v>639</v>
      </c>
      <c r="N103" s="9" t="s">
        <v>640</v>
      </c>
      <c r="O103" s="10">
        <v>45307</v>
      </c>
      <c r="P103" s="7" t="s">
        <v>41</v>
      </c>
      <c r="Q103" s="7"/>
      <c r="R103" s="7"/>
      <c r="S103" s="9">
        <v>313</v>
      </c>
      <c r="T103" s="9">
        <v>267</v>
      </c>
      <c r="U103" s="9">
        <v>273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>
        <f t="shared" si="3"/>
        <v>3</v>
      </c>
      <c r="AH103" s="62">
        <f t="shared" si="4"/>
        <v>284.33333333333331</v>
      </c>
      <c r="AI103" s="11" t="str">
        <f>IF(AH103&gt;='Aprovados Recursos do Fundo'!$AQ$1,"APROVADO","REPROVADO")</f>
        <v>APROVADO</v>
      </c>
    </row>
    <row r="104" spans="2:35" s="64" customFormat="1" ht="39.950000000000003" hidden="1" customHeight="1" x14ac:dyDescent="0.25">
      <c r="B104" s="5">
        <v>433</v>
      </c>
      <c r="C104" s="6" t="s">
        <v>2131</v>
      </c>
      <c r="D104" s="5" t="s">
        <v>51</v>
      </c>
      <c r="E104" s="5" t="s">
        <v>594</v>
      </c>
      <c r="F104" s="7" t="s">
        <v>2132</v>
      </c>
      <c r="G104" s="7" t="s">
        <v>36</v>
      </c>
      <c r="H104" s="41">
        <v>1764030</v>
      </c>
      <c r="I104" s="41"/>
      <c r="J104" s="41"/>
      <c r="K104" s="9" t="s">
        <v>596</v>
      </c>
      <c r="L104" s="11" t="s">
        <v>597</v>
      </c>
      <c r="M104" s="9" t="s">
        <v>2133</v>
      </c>
      <c r="N104" s="67" t="s">
        <v>2134</v>
      </c>
      <c r="O104" s="34">
        <v>45322</v>
      </c>
      <c r="P104" s="9" t="s">
        <v>57</v>
      </c>
      <c r="Q104" s="9"/>
      <c r="R104" s="65"/>
      <c r="S104" s="9">
        <v>253</v>
      </c>
      <c r="T104" s="9"/>
      <c r="U104" s="9">
        <v>265</v>
      </c>
      <c r="V104" s="9"/>
      <c r="W104" s="9"/>
      <c r="X104" s="9"/>
      <c r="Y104" s="9"/>
      <c r="Z104" s="9">
        <v>335</v>
      </c>
      <c r="AA104" s="9"/>
      <c r="AB104" s="9"/>
      <c r="AC104" s="9"/>
      <c r="AD104" s="9"/>
      <c r="AE104" s="65"/>
      <c r="AF104" s="65"/>
      <c r="AG104" s="9">
        <f t="shared" si="3"/>
        <v>3</v>
      </c>
      <c r="AH104" s="62">
        <f t="shared" si="4"/>
        <v>284.33333333333331</v>
      </c>
      <c r="AI104" s="11" t="str">
        <f>IF(AH104&gt;='Aprovados Recursos do Fundo'!$AQ$1,"APROVADO","REPROVADO")</f>
        <v>APROVADO</v>
      </c>
    </row>
    <row r="105" spans="2:35" s="64" customFormat="1" ht="39.950000000000003" hidden="1" customHeight="1" x14ac:dyDescent="0.25">
      <c r="B105" s="5">
        <v>65</v>
      </c>
      <c r="C105" s="6" t="s">
        <v>387</v>
      </c>
      <c r="D105" s="5" t="s">
        <v>33</v>
      </c>
      <c r="E105" s="5" t="s">
        <v>388</v>
      </c>
      <c r="F105" s="7" t="s">
        <v>389</v>
      </c>
      <c r="G105" s="7" t="s">
        <v>107</v>
      </c>
      <c r="H105" s="8">
        <v>208890</v>
      </c>
      <c r="I105" s="8"/>
      <c r="J105" s="8"/>
      <c r="K105" s="7" t="s">
        <v>390</v>
      </c>
      <c r="L105" s="7" t="s">
        <v>391</v>
      </c>
      <c r="M105" s="7" t="s">
        <v>392</v>
      </c>
      <c r="N105" s="9" t="s">
        <v>393</v>
      </c>
      <c r="O105" s="10">
        <v>45306</v>
      </c>
      <c r="P105" s="7" t="s">
        <v>41</v>
      </c>
      <c r="Q105" s="7"/>
      <c r="R105" s="7"/>
      <c r="S105" s="9">
        <v>299</v>
      </c>
      <c r="T105" s="9">
        <v>272</v>
      </c>
      <c r="U105" s="9">
        <v>281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>
        <f t="shared" si="3"/>
        <v>3</v>
      </c>
      <c r="AH105" s="62">
        <f t="shared" si="4"/>
        <v>284</v>
      </c>
      <c r="AI105" s="11" t="str">
        <f>IF(AH105&gt;='Aprovados Recursos do Fundo'!$AQ$1,"APROVADO","REPROVADO")</f>
        <v>APROVADO</v>
      </c>
    </row>
    <row r="106" spans="2:35" s="64" customFormat="1" ht="39.950000000000003" hidden="1" customHeight="1" x14ac:dyDescent="0.25">
      <c r="B106" s="5">
        <v>66</v>
      </c>
      <c r="C106" s="6" t="s">
        <v>394</v>
      </c>
      <c r="D106" s="5" t="s">
        <v>33</v>
      </c>
      <c r="E106" s="5" t="s">
        <v>395</v>
      </c>
      <c r="F106" s="7" t="s">
        <v>396</v>
      </c>
      <c r="G106" s="7" t="s">
        <v>107</v>
      </c>
      <c r="H106" s="8">
        <v>49800</v>
      </c>
      <c r="I106" s="8"/>
      <c r="J106" s="8"/>
      <c r="K106" s="7" t="s">
        <v>397</v>
      </c>
      <c r="L106" s="7" t="s">
        <v>38</v>
      </c>
      <c r="M106" s="7" t="s">
        <v>398</v>
      </c>
      <c r="N106" s="9" t="s">
        <v>399</v>
      </c>
      <c r="O106" s="10">
        <v>45306</v>
      </c>
      <c r="P106" s="7" t="s">
        <v>67</v>
      </c>
      <c r="Q106" s="7" t="s">
        <v>98</v>
      </c>
      <c r="R106" s="7"/>
      <c r="S106" s="9"/>
      <c r="T106" s="9">
        <v>191</v>
      </c>
      <c r="U106" s="9"/>
      <c r="V106" s="9"/>
      <c r="W106" s="9"/>
      <c r="X106" s="9"/>
      <c r="Y106" s="9"/>
      <c r="Z106" s="9">
        <v>321</v>
      </c>
      <c r="AA106" s="9">
        <v>340</v>
      </c>
      <c r="AB106" s="9"/>
      <c r="AC106" s="9"/>
      <c r="AD106" s="9"/>
      <c r="AE106" s="9"/>
      <c r="AF106" s="9"/>
      <c r="AG106" s="9">
        <f t="shared" si="3"/>
        <v>3</v>
      </c>
      <c r="AH106" s="62">
        <f t="shared" si="4"/>
        <v>284</v>
      </c>
      <c r="AI106" s="11" t="str">
        <f>IF(AH106&gt;='Aprovados Recursos do Fundo'!$AQ$1,"APROVADO","REPROVADO")</f>
        <v>APROVADO</v>
      </c>
    </row>
    <row r="107" spans="2:35" s="64" customFormat="1" ht="39.950000000000003" hidden="1" customHeight="1" x14ac:dyDescent="0.25">
      <c r="B107" s="5">
        <v>353</v>
      </c>
      <c r="C107" s="27" t="s">
        <v>1790</v>
      </c>
      <c r="D107" s="5" t="s">
        <v>33</v>
      </c>
      <c r="E107" s="58" t="s">
        <v>1786</v>
      </c>
      <c r="F107" s="7" t="s">
        <v>1791</v>
      </c>
      <c r="G107" s="5" t="s">
        <v>62</v>
      </c>
      <c r="H107" s="8">
        <v>779206</v>
      </c>
      <c r="I107" s="8"/>
      <c r="J107" s="8"/>
      <c r="K107" s="7" t="s">
        <v>73</v>
      </c>
      <c r="L107" s="7" t="s">
        <v>74</v>
      </c>
      <c r="M107" s="7" t="s">
        <v>1788</v>
      </c>
      <c r="N107" s="9" t="s">
        <v>1789</v>
      </c>
      <c r="O107" s="10">
        <v>45321</v>
      </c>
      <c r="P107" s="7" t="s">
        <v>41</v>
      </c>
      <c r="Q107" s="7"/>
      <c r="R107" s="65"/>
      <c r="S107" s="7">
        <v>340</v>
      </c>
      <c r="T107" s="9">
        <v>216</v>
      </c>
      <c r="U107" s="9"/>
      <c r="V107" s="9"/>
      <c r="W107" s="9"/>
      <c r="X107" s="9"/>
      <c r="Y107" s="9"/>
      <c r="Z107" s="9"/>
      <c r="AA107" s="9"/>
      <c r="AB107" s="9"/>
      <c r="AC107" s="9"/>
      <c r="AD107" s="9">
        <v>294</v>
      </c>
      <c r="AE107" s="9"/>
      <c r="AF107" s="9"/>
      <c r="AG107" s="9">
        <f t="shared" si="3"/>
        <v>3</v>
      </c>
      <c r="AH107" s="62">
        <f t="shared" si="4"/>
        <v>283.33333333333331</v>
      </c>
      <c r="AI107" s="11" t="str">
        <f>IF(AH107&gt;=$AI$1,"APROVADO","REPROVADO")</f>
        <v>APROVADO</v>
      </c>
    </row>
    <row r="108" spans="2:35" s="64" customFormat="1" ht="39.950000000000003" hidden="1" customHeight="1" x14ac:dyDescent="0.25">
      <c r="B108" s="5">
        <v>220</v>
      </c>
      <c r="C108" s="22" t="s">
        <v>1151</v>
      </c>
      <c r="D108" s="5" t="s">
        <v>51</v>
      </c>
      <c r="E108" s="9" t="s">
        <v>1152</v>
      </c>
      <c r="F108" s="11" t="s">
        <v>1153</v>
      </c>
      <c r="G108" s="11" t="s">
        <v>1154</v>
      </c>
      <c r="H108" s="41">
        <v>489440</v>
      </c>
      <c r="I108" s="41"/>
      <c r="J108" s="41"/>
      <c r="K108" s="9" t="s">
        <v>253</v>
      </c>
      <c r="L108" s="11" t="s">
        <v>254</v>
      </c>
      <c r="M108" s="9" t="s">
        <v>1155</v>
      </c>
      <c r="N108" s="9" t="s">
        <v>1156</v>
      </c>
      <c r="O108" s="34">
        <v>45320</v>
      </c>
      <c r="P108" s="7" t="s">
        <v>41</v>
      </c>
      <c r="Q108" s="7" t="s">
        <v>845</v>
      </c>
      <c r="R108" s="65" t="s">
        <v>1157</v>
      </c>
      <c r="S108" s="9">
        <v>318</v>
      </c>
      <c r="T108" s="9"/>
      <c r="U108" s="9">
        <v>250</v>
      </c>
      <c r="V108" s="9"/>
      <c r="W108" s="9"/>
      <c r="X108" s="9"/>
      <c r="Y108" s="9"/>
      <c r="Z108" s="9"/>
      <c r="AA108" s="9"/>
      <c r="AB108" s="9">
        <v>282</v>
      </c>
      <c r="AC108" s="9"/>
      <c r="AD108" s="9"/>
      <c r="AE108" s="65"/>
      <c r="AF108" s="65"/>
      <c r="AG108" s="9">
        <f t="shared" si="3"/>
        <v>3</v>
      </c>
      <c r="AH108" s="62">
        <f t="shared" si="4"/>
        <v>283.33333333333331</v>
      </c>
      <c r="AI108" s="11" t="str">
        <f>IF(AH108&gt;='Aprovados Recursos do Fundo'!$AQ$1,"APROVADO","REPROVADO")</f>
        <v>APROVADO</v>
      </c>
    </row>
    <row r="109" spans="2:35" s="64" customFormat="1" ht="39.950000000000003" hidden="1" customHeight="1" x14ac:dyDescent="0.25">
      <c r="B109" s="5">
        <v>400</v>
      </c>
      <c r="C109" s="27" t="s">
        <v>1992</v>
      </c>
      <c r="D109" s="5" t="s">
        <v>33</v>
      </c>
      <c r="E109" s="5" t="s">
        <v>1993</v>
      </c>
      <c r="F109" s="7" t="s">
        <v>1994</v>
      </c>
      <c r="G109" s="7" t="s">
        <v>174</v>
      </c>
      <c r="H109" s="8">
        <v>206291.5</v>
      </c>
      <c r="I109" s="8"/>
      <c r="J109" s="8"/>
      <c r="K109" s="7" t="s">
        <v>1995</v>
      </c>
      <c r="L109" s="7" t="s">
        <v>1414</v>
      </c>
      <c r="M109" s="7" t="s">
        <v>1996</v>
      </c>
      <c r="N109" s="9" t="s">
        <v>1997</v>
      </c>
      <c r="O109" s="10">
        <v>45322</v>
      </c>
      <c r="P109" s="7" t="s">
        <v>41</v>
      </c>
      <c r="Q109" s="7"/>
      <c r="R109" s="65"/>
      <c r="S109" s="7">
        <v>340</v>
      </c>
      <c r="T109" s="9">
        <v>189</v>
      </c>
      <c r="U109" s="9"/>
      <c r="V109" s="9"/>
      <c r="W109" s="9"/>
      <c r="X109" s="9"/>
      <c r="Y109" s="9"/>
      <c r="Z109" s="9"/>
      <c r="AA109" s="9"/>
      <c r="AB109" s="9"/>
      <c r="AC109" s="9"/>
      <c r="AD109" s="9">
        <v>321</v>
      </c>
      <c r="AE109" s="9"/>
      <c r="AF109" s="9"/>
      <c r="AG109" s="9">
        <f t="shared" si="3"/>
        <v>3</v>
      </c>
      <c r="AH109" s="62">
        <f t="shared" si="4"/>
        <v>283.33333333333331</v>
      </c>
      <c r="AI109" s="11" t="str">
        <f>IF(AH109&gt;='Aprovados Recursos do Fundo'!$AQ$1,"APROVADO","REPROVADO")</f>
        <v>APROVADO</v>
      </c>
    </row>
    <row r="110" spans="2:35" s="64" customFormat="1" ht="39.950000000000003" hidden="1" customHeight="1" x14ac:dyDescent="0.25">
      <c r="B110" s="5">
        <v>553</v>
      </c>
      <c r="C110" s="6" t="s">
        <v>2669</v>
      </c>
      <c r="D110" s="5" t="s">
        <v>33</v>
      </c>
      <c r="E110" s="58" t="s">
        <v>2667</v>
      </c>
      <c r="F110" s="5" t="s">
        <v>2670</v>
      </c>
      <c r="G110" s="7" t="s">
        <v>107</v>
      </c>
      <c r="H110" s="8">
        <v>417192</v>
      </c>
      <c r="I110" s="8"/>
      <c r="J110" s="8"/>
      <c r="K110" s="7" t="s">
        <v>73</v>
      </c>
      <c r="L110" s="7" t="s">
        <v>74</v>
      </c>
      <c r="M110" s="7" t="s">
        <v>2662</v>
      </c>
      <c r="N110" s="9" t="s">
        <v>2663</v>
      </c>
      <c r="O110" s="10">
        <v>45322</v>
      </c>
      <c r="P110" s="5" t="s">
        <v>67</v>
      </c>
      <c r="Q110" s="7" t="s">
        <v>68</v>
      </c>
      <c r="R110" s="7"/>
      <c r="S110" s="5">
        <v>271</v>
      </c>
      <c r="T110" s="9"/>
      <c r="U110" s="9"/>
      <c r="V110" s="9"/>
      <c r="W110" s="9"/>
      <c r="X110" s="9"/>
      <c r="Y110" s="9"/>
      <c r="Z110" s="9">
        <v>290</v>
      </c>
      <c r="AA110" s="9">
        <v>288</v>
      </c>
      <c r="AB110" s="9"/>
      <c r="AC110" s="9"/>
      <c r="AD110" s="9"/>
      <c r="AE110" s="9"/>
      <c r="AF110" s="9"/>
      <c r="AG110" s="9">
        <f t="shared" si="3"/>
        <v>3</v>
      </c>
      <c r="AH110" s="62">
        <f t="shared" si="4"/>
        <v>283</v>
      </c>
      <c r="AI110" s="11" t="str">
        <f>IF(AH110&gt;=$AI$1,"APROVADO","REPROVADO")</f>
        <v>APROVADO</v>
      </c>
    </row>
    <row r="111" spans="2:35" s="64" customFormat="1" ht="39.950000000000003" hidden="1" customHeight="1" x14ac:dyDescent="0.25">
      <c r="B111" s="5">
        <v>554</v>
      </c>
      <c r="C111" s="6" t="s">
        <v>2671</v>
      </c>
      <c r="D111" s="5" t="s">
        <v>33</v>
      </c>
      <c r="E111" s="58" t="s">
        <v>2667</v>
      </c>
      <c r="F111" s="7" t="s">
        <v>2672</v>
      </c>
      <c r="G111" s="7" t="s">
        <v>107</v>
      </c>
      <c r="H111" s="8">
        <v>481120</v>
      </c>
      <c r="I111" s="8"/>
      <c r="J111" s="8"/>
      <c r="K111" s="7" t="s">
        <v>73</v>
      </c>
      <c r="L111" s="7" t="s">
        <v>74</v>
      </c>
      <c r="M111" s="7" t="s">
        <v>2662</v>
      </c>
      <c r="N111" s="9" t="s">
        <v>2663</v>
      </c>
      <c r="O111" s="10">
        <v>45322</v>
      </c>
      <c r="P111" s="7" t="s">
        <v>67</v>
      </c>
      <c r="Q111" s="7" t="s">
        <v>68</v>
      </c>
      <c r="R111" s="7"/>
      <c r="S111" s="7">
        <v>260</v>
      </c>
      <c r="T111" s="9"/>
      <c r="U111" s="9"/>
      <c r="V111" s="9"/>
      <c r="W111" s="9"/>
      <c r="X111" s="9">
        <v>310</v>
      </c>
      <c r="Y111" s="9">
        <v>279</v>
      </c>
      <c r="Z111" s="9"/>
      <c r="AA111" s="9"/>
      <c r="AB111" s="9"/>
      <c r="AC111" s="9"/>
      <c r="AD111" s="9"/>
      <c r="AE111" s="9"/>
      <c r="AF111" s="9"/>
      <c r="AG111" s="9">
        <f t="shared" si="3"/>
        <v>3</v>
      </c>
      <c r="AH111" s="62">
        <f t="shared" si="4"/>
        <v>283</v>
      </c>
      <c r="AI111" s="11" t="str">
        <f>IF(AH111&gt;=$AI$1,"APROVADO","REPROVADO")</f>
        <v>APROVADO</v>
      </c>
    </row>
    <row r="112" spans="2:35" s="64" customFormat="1" ht="39.950000000000003" hidden="1" customHeight="1" x14ac:dyDescent="0.25">
      <c r="B112" s="5">
        <v>557</v>
      </c>
      <c r="C112" s="6" t="s">
        <v>2679</v>
      </c>
      <c r="D112" s="5" t="s">
        <v>33</v>
      </c>
      <c r="E112" s="58" t="s">
        <v>2676</v>
      </c>
      <c r="F112" s="7" t="s">
        <v>2680</v>
      </c>
      <c r="G112" s="7" t="s">
        <v>107</v>
      </c>
      <c r="H112" s="8">
        <v>362728</v>
      </c>
      <c r="I112" s="8"/>
      <c r="J112" s="8"/>
      <c r="K112" s="7" t="s">
        <v>73</v>
      </c>
      <c r="L112" s="7" t="s">
        <v>74</v>
      </c>
      <c r="M112" s="7" t="s">
        <v>2662</v>
      </c>
      <c r="N112" s="9" t="s">
        <v>2678</v>
      </c>
      <c r="O112" s="10">
        <v>45322</v>
      </c>
      <c r="P112" s="7" t="s">
        <v>67</v>
      </c>
      <c r="Q112" s="7" t="s">
        <v>68</v>
      </c>
      <c r="R112" s="7"/>
      <c r="S112" s="7">
        <v>273</v>
      </c>
      <c r="T112" s="9"/>
      <c r="U112" s="9"/>
      <c r="V112" s="9"/>
      <c r="W112" s="9"/>
      <c r="X112" s="9"/>
      <c r="Y112" s="9"/>
      <c r="Z112" s="9">
        <v>288</v>
      </c>
      <c r="AA112" s="9">
        <v>287</v>
      </c>
      <c r="AB112" s="9"/>
      <c r="AC112" s="9"/>
      <c r="AD112" s="9"/>
      <c r="AE112" s="9"/>
      <c r="AF112" s="9"/>
      <c r="AG112" s="9">
        <f t="shared" si="3"/>
        <v>3</v>
      </c>
      <c r="AH112" s="62">
        <f t="shared" si="4"/>
        <v>282.66666666666669</v>
      </c>
      <c r="AI112" s="11" t="str">
        <f>IF(AH112&gt;=$AI$1,"APROVADO","REPROVADO")</f>
        <v>APROVADO</v>
      </c>
    </row>
    <row r="113" spans="2:35" s="64" customFormat="1" ht="39.950000000000003" hidden="1" customHeight="1" x14ac:dyDescent="0.25">
      <c r="B113" s="5">
        <v>18</v>
      </c>
      <c r="C113" s="6" t="s">
        <v>150</v>
      </c>
      <c r="D113" s="5" t="s">
        <v>33</v>
      </c>
      <c r="E113" s="5" t="s">
        <v>151</v>
      </c>
      <c r="F113" s="5" t="s">
        <v>152</v>
      </c>
      <c r="G113" s="5" t="s">
        <v>36</v>
      </c>
      <c r="H113" s="15">
        <v>67100</v>
      </c>
      <c r="I113" s="15"/>
      <c r="J113" s="15"/>
      <c r="K113" s="5" t="s">
        <v>153</v>
      </c>
      <c r="L113" s="5" t="s">
        <v>154</v>
      </c>
      <c r="M113" s="5" t="s">
        <v>155</v>
      </c>
      <c r="N113" s="9" t="s">
        <v>156</v>
      </c>
      <c r="O113" s="10">
        <v>45302</v>
      </c>
      <c r="P113" s="7" t="s">
        <v>67</v>
      </c>
      <c r="Q113" s="7" t="s">
        <v>157</v>
      </c>
      <c r="R113" s="7"/>
      <c r="S113" s="9"/>
      <c r="T113" s="9">
        <v>199</v>
      </c>
      <c r="U113" s="9"/>
      <c r="V113" s="9"/>
      <c r="W113" s="9"/>
      <c r="X113" s="9"/>
      <c r="Y113" s="9"/>
      <c r="Z113" s="9">
        <v>326</v>
      </c>
      <c r="AA113" s="9">
        <v>323</v>
      </c>
      <c r="AB113" s="9"/>
      <c r="AC113" s="9"/>
      <c r="AD113" s="9"/>
      <c r="AE113" s="9"/>
      <c r="AF113" s="9"/>
      <c r="AG113" s="9">
        <f t="shared" si="3"/>
        <v>3</v>
      </c>
      <c r="AH113" s="62">
        <f t="shared" si="4"/>
        <v>282.66666666666669</v>
      </c>
      <c r="AI113" s="11" t="str">
        <f>IF(AH113&gt;='Aprovados Recursos do Fundo'!$AQ$1,"APROVADO","REPROVADO")</f>
        <v>APROVADO</v>
      </c>
    </row>
    <row r="114" spans="2:35" s="64" customFormat="1" ht="39.950000000000003" hidden="1" customHeight="1" x14ac:dyDescent="0.25">
      <c r="B114" s="5">
        <v>77</v>
      </c>
      <c r="C114" s="27" t="s">
        <v>456</v>
      </c>
      <c r="D114" s="5" t="s">
        <v>33</v>
      </c>
      <c r="E114" s="5" t="s">
        <v>457</v>
      </c>
      <c r="F114" s="7" t="s">
        <v>458</v>
      </c>
      <c r="G114" s="7" t="s">
        <v>36</v>
      </c>
      <c r="H114" s="8">
        <v>240000</v>
      </c>
      <c r="I114" s="8"/>
      <c r="J114" s="8"/>
      <c r="K114" s="7" t="s">
        <v>452</v>
      </c>
      <c r="L114" s="7" t="s">
        <v>453</v>
      </c>
      <c r="M114" s="7" t="s">
        <v>459</v>
      </c>
      <c r="N114" s="9" t="s">
        <v>460</v>
      </c>
      <c r="O114" s="10">
        <v>45307</v>
      </c>
      <c r="P114" s="7" t="s">
        <v>41</v>
      </c>
      <c r="Q114" s="7"/>
      <c r="R114" s="7"/>
      <c r="S114" s="9">
        <v>325</v>
      </c>
      <c r="T114" s="9"/>
      <c r="U114" s="9">
        <v>260</v>
      </c>
      <c r="V114" s="9">
        <v>263</v>
      </c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>
        <f t="shared" si="3"/>
        <v>3</v>
      </c>
      <c r="AH114" s="62">
        <f t="shared" si="4"/>
        <v>282.66666666666669</v>
      </c>
      <c r="AI114" s="11" t="str">
        <f>IF(AH114&gt;='Aprovados Recursos do Fundo'!$AQ$1,"APROVADO","REPROVADO")</f>
        <v>APROVADO</v>
      </c>
    </row>
    <row r="115" spans="2:35" s="64" customFormat="1" ht="39.950000000000003" hidden="1" customHeight="1" x14ac:dyDescent="0.25">
      <c r="B115" s="5">
        <v>609</v>
      </c>
      <c r="C115" s="6" t="s">
        <v>2888</v>
      </c>
      <c r="D115" s="5" t="s">
        <v>33</v>
      </c>
      <c r="E115" s="5" t="s">
        <v>2889</v>
      </c>
      <c r="F115" s="5" t="s">
        <v>2890</v>
      </c>
      <c r="G115" s="7" t="s">
        <v>336</v>
      </c>
      <c r="H115" s="17">
        <v>399300</v>
      </c>
      <c r="I115" s="17"/>
      <c r="J115" s="17"/>
      <c r="K115" s="7" t="s">
        <v>73</v>
      </c>
      <c r="L115" s="5" t="s">
        <v>74</v>
      </c>
      <c r="M115" s="5" t="s">
        <v>2891</v>
      </c>
      <c r="N115" s="52" t="s">
        <v>2892</v>
      </c>
      <c r="O115" s="10">
        <v>45322</v>
      </c>
      <c r="P115" s="5" t="s">
        <v>67</v>
      </c>
      <c r="Q115" s="7" t="s">
        <v>89</v>
      </c>
      <c r="R115" s="7" t="s">
        <v>90</v>
      </c>
      <c r="S115" s="5">
        <v>286</v>
      </c>
      <c r="T115" s="9"/>
      <c r="U115" s="9"/>
      <c r="V115" s="9"/>
      <c r="W115" s="9"/>
      <c r="X115" s="9">
        <v>289</v>
      </c>
      <c r="Y115" s="9">
        <v>273</v>
      </c>
      <c r="Z115" s="9"/>
      <c r="AA115" s="9"/>
      <c r="AB115" s="9"/>
      <c r="AC115" s="9"/>
      <c r="AD115" s="9"/>
      <c r="AE115" s="9"/>
      <c r="AF115" s="9"/>
      <c r="AG115" s="9">
        <f t="shared" si="3"/>
        <v>3</v>
      </c>
      <c r="AH115" s="62">
        <f t="shared" si="4"/>
        <v>282.66666666666669</v>
      </c>
      <c r="AI115" s="11" t="str">
        <f>IF(AH115&gt;='Aprovados Recursos do Fundo'!$AQ$1,"APROVADO","REPROVADO")</f>
        <v>APROVADO</v>
      </c>
    </row>
    <row r="116" spans="2:35" s="64" customFormat="1" ht="39.950000000000003" hidden="1" customHeight="1" x14ac:dyDescent="0.25">
      <c r="B116" s="5">
        <v>544</v>
      </c>
      <c r="C116" s="6" t="s">
        <v>2639</v>
      </c>
      <c r="D116" s="5" t="s">
        <v>33</v>
      </c>
      <c r="E116" s="5" t="s">
        <v>2640</v>
      </c>
      <c r="F116" s="5" t="s">
        <v>2641</v>
      </c>
      <c r="G116" s="7" t="s">
        <v>107</v>
      </c>
      <c r="H116" s="8">
        <v>606000</v>
      </c>
      <c r="I116" s="8"/>
      <c r="J116" s="8"/>
      <c r="K116" s="7" t="s">
        <v>73</v>
      </c>
      <c r="L116" s="5" t="s">
        <v>74</v>
      </c>
      <c r="M116" s="5" t="s">
        <v>2642</v>
      </c>
      <c r="N116" s="31" t="s">
        <v>2643</v>
      </c>
      <c r="O116" s="10">
        <v>45322</v>
      </c>
      <c r="P116" s="5" t="s">
        <v>67</v>
      </c>
      <c r="Q116" s="7" t="s">
        <v>89</v>
      </c>
      <c r="R116" s="7" t="s">
        <v>2644</v>
      </c>
      <c r="S116" s="5">
        <v>240</v>
      </c>
      <c r="T116" s="9"/>
      <c r="U116" s="9"/>
      <c r="V116" s="9"/>
      <c r="W116" s="9"/>
      <c r="X116" s="9"/>
      <c r="Y116" s="9"/>
      <c r="Z116" s="9">
        <v>303</v>
      </c>
      <c r="AA116" s="9">
        <v>304</v>
      </c>
      <c r="AB116" s="9"/>
      <c r="AC116" s="9"/>
      <c r="AD116" s="9"/>
      <c r="AE116" s="9"/>
      <c r="AF116" s="9"/>
      <c r="AG116" s="9">
        <f t="shared" si="3"/>
        <v>3</v>
      </c>
      <c r="AH116" s="62">
        <f t="shared" si="4"/>
        <v>282.33333333333331</v>
      </c>
      <c r="AI116" s="11" t="str">
        <f>IF(AH116&gt;=$AI$1,"APROVADO","REPROVADO")</f>
        <v>APROVADO</v>
      </c>
    </row>
    <row r="117" spans="2:35" s="64" customFormat="1" ht="39.950000000000003" hidden="1" customHeight="1" x14ac:dyDescent="0.25">
      <c r="B117" s="5">
        <v>307</v>
      </c>
      <c r="C117" s="22" t="s">
        <v>1579</v>
      </c>
      <c r="D117" s="5" t="s">
        <v>51</v>
      </c>
      <c r="E117" s="9" t="s">
        <v>1580</v>
      </c>
      <c r="F117" s="11" t="s">
        <v>1581</v>
      </c>
      <c r="G117" s="11" t="s">
        <v>72</v>
      </c>
      <c r="H117" s="41">
        <v>20000</v>
      </c>
      <c r="I117" s="41"/>
      <c r="J117" s="41"/>
      <c r="K117" s="9" t="s">
        <v>1582</v>
      </c>
      <c r="L117" s="11" t="s">
        <v>1414</v>
      </c>
      <c r="M117" s="9" t="s">
        <v>1583</v>
      </c>
      <c r="N117" s="67" t="s">
        <v>1584</v>
      </c>
      <c r="O117" s="34">
        <v>45321</v>
      </c>
      <c r="P117" s="9" t="s">
        <v>57</v>
      </c>
      <c r="Q117" s="65"/>
      <c r="R117" s="65"/>
      <c r="S117" s="9">
        <v>299</v>
      </c>
      <c r="T117" s="9"/>
      <c r="U117" s="9"/>
      <c r="V117" s="9"/>
      <c r="W117" s="9"/>
      <c r="X117" s="9">
        <v>294</v>
      </c>
      <c r="Y117" s="9">
        <v>254</v>
      </c>
      <c r="Z117" s="9"/>
      <c r="AA117" s="9"/>
      <c r="AB117" s="9"/>
      <c r="AC117" s="9"/>
      <c r="AD117" s="9"/>
      <c r="AE117" s="65"/>
      <c r="AF117" s="65"/>
      <c r="AG117" s="9">
        <f t="shared" si="3"/>
        <v>3</v>
      </c>
      <c r="AH117" s="62">
        <f t="shared" si="4"/>
        <v>282.33333333333331</v>
      </c>
      <c r="AI117" s="11" t="str">
        <f>IF(AH117&gt;='Aprovados Recursos do Fundo'!$AQ$1,"APROVADO","REPROVADO")</f>
        <v>APROVADO</v>
      </c>
    </row>
    <row r="118" spans="2:35" s="64" customFormat="1" ht="39.950000000000003" hidden="1" customHeight="1" x14ac:dyDescent="0.25">
      <c r="B118" s="5">
        <v>317</v>
      </c>
      <c r="C118" s="22" t="s">
        <v>1632</v>
      </c>
      <c r="D118" s="5" t="s">
        <v>51</v>
      </c>
      <c r="E118" s="9" t="s">
        <v>1628</v>
      </c>
      <c r="F118" s="11" t="s">
        <v>1633</v>
      </c>
      <c r="G118" s="11" t="s">
        <v>36</v>
      </c>
      <c r="H118" s="41">
        <v>432000</v>
      </c>
      <c r="I118" s="41"/>
      <c r="J118" s="41"/>
      <c r="K118" s="9" t="s">
        <v>175</v>
      </c>
      <c r="L118" s="11" t="s">
        <v>123</v>
      </c>
      <c r="M118" s="11" t="s">
        <v>1630</v>
      </c>
      <c r="N118" s="21" t="s">
        <v>1631</v>
      </c>
      <c r="O118" s="34">
        <v>45321</v>
      </c>
      <c r="P118" s="9" t="s">
        <v>57</v>
      </c>
      <c r="Q118" s="65"/>
      <c r="R118" s="65"/>
      <c r="S118" s="9">
        <v>323</v>
      </c>
      <c r="T118" s="9"/>
      <c r="U118" s="9"/>
      <c r="V118" s="9"/>
      <c r="W118" s="9"/>
      <c r="X118" s="9"/>
      <c r="Y118" s="9"/>
      <c r="Z118" s="9"/>
      <c r="AA118" s="9">
        <v>292</v>
      </c>
      <c r="AB118" s="9"/>
      <c r="AC118" s="9"/>
      <c r="AD118" s="9">
        <v>232</v>
      </c>
      <c r="AE118" s="65"/>
      <c r="AF118" s="65"/>
      <c r="AG118" s="9">
        <f t="shared" si="3"/>
        <v>3</v>
      </c>
      <c r="AH118" s="62">
        <f t="shared" si="4"/>
        <v>282.33333333333331</v>
      </c>
      <c r="AI118" s="11" t="str">
        <f>IF(AH118&gt;='Aprovados Recursos do Fundo'!$AQ$1,"APROVADO","REPROVADO")</f>
        <v>APROVADO</v>
      </c>
    </row>
    <row r="119" spans="2:35" s="64" customFormat="1" ht="39.950000000000003" hidden="1" customHeight="1" x14ac:dyDescent="0.25">
      <c r="B119" s="5">
        <v>545</v>
      </c>
      <c r="C119" s="6" t="s">
        <v>2645</v>
      </c>
      <c r="D119" s="5" t="s">
        <v>33</v>
      </c>
      <c r="E119" s="5" t="s">
        <v>2640</v>
      </c>
      <c r="F119" s="5" t="s">
        <v>2646</v>
      </c>
      <c r="G119" s="5" t="s">
        <v>107</v>
      </c>
      <c r="H119" s="17">
        <v>1308000</v>
      </c>
      <c r="I119" s="17"/>
      <c r="J119" s="17"/>
      <c r="K119" s="7" t="s">
        <v>73</v>
      </c>
      <c r="L119" s="5" t="s">
        <v>74</v>
      </c>
      <c r="M119" s="5" t="s">
        <v>2642</v>
      </c>
      <c r="N119" s="9" t="s">
        <v>2643</v>
      </c>
      <c r="O119" s="10">
        <v>45322</v>
      </c>
      <c r="P119" s="5" t="s">
        <v>67</v>
      </c>
      <c r="Q119" s="7" t="s">
        <v>89</v>
      </c>
      <c r="R119" s="7" t="s">
        <v>2644</v>
      </c>
      <c r="S119" s="5">
        <v>236</v>
      </c>
      <c r="T119" s="9"/>
      <c r="U119" s="9"/>
      <c r="V119" s="9"/>
      <c r="W119" s="9"/>
      <c r="X119" s="9"/>
      <c r="Y119" s="9"/>
      <c r="Z119" s="9">
        <v>308</v>
      </c>
      <c r="AA119" s="9">
        <v>303</v>
      </c>
      <c r="AB119" s="9"/>
      <c r="AC119" s="9"/>
      <c r="AD119" s="9"/>
      <c r="AE119" s="9"/>
      <c r="AF119" s="9"/>
      <c r="AG119" s="9">
        <f t="shared" si="3"/>
        <v>3</v>
      </c>
      <c r="AH119" s="62">
        <f t="shared" si="4"/>
        <v>282.33333333333331</v>
      </c>
      <c r="AI119" s="11" t="str">
        <f>IF(AH119&gt;='Aprovados Recursos do Fundo'!$AQ$1,"APROVADO","REPROVADO")</f>
        <v>APROVADO</v>
      </c>
    </row>
    <row r="120" spans="2:35" s="64" customFormat="1" ht="39.950000000000003" hidden="1" customHeight="1" x14ac:dyDescent="0.25">
      <c r="B120" s="5">
        <v>51</v>
      </c>
      <c r="C120" s="6" t="s">
        <v>322</v>
      </c>
      <c r="D120" s="5" t="s">
        <v>33</v>
      </c>
      <c r="E120" s="5" t="s">
        <v>323</v>
      </c>
      <c r="F120" s="7" t="s">
        <v>324</v>
      </c>
      <c r="G120" s="7" t="s">
        <v>36</v>
      </c>
      <c r="H120" s="8">
        <v>345133.32</v>
      </c>
      <c r="I120" s="8"/>
      <c r="J120" s="8"/>
      <c r="K120" s="7" t="s">
        <v>325</v>
      </c>
      <c r="L120" s="7" t="s">
        <v>64</v>
      </c>
      <c r="M120" s="7" t="s">
        <v>326</v>
      </c>
      <c r="N120" s="9" t="s">
        <v>327</v>
      </c>
      <c r="O120" s="10">
        <v>45303</v>
      </c>
      <c r="P120" s="7" t="s">
        <v>67</v>
      </c>
      <c r="Q120" s="7" t="s">
        <v>98</v>
      </c>
      <c r="R120" s="7"/>
      <c r="S120" s="9">
        <v>315</v>
      </c>
      <c r="T120" s="9">
        <v>242</v>
      </c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>
        <v>289</v>
      </c>
      <c r="AG120" s="9">
        <f t="shared" si="3"/>
        <v>3</v>
      </c>
      <c r="AH120" s="62">
        <f t="shared" si="4"/>
        <v>282</v>
      </c>
      <c r="AI120" s="11" t="str">
        <f>IF(AH120&gt;='Aprovados Recursos do Fundo'!$AQ$1,"APROVADO","REPROVADO")</f>
        <v>APROVADO</v>
      </c>
    </row>
    <row r="121" spans="2:35" s="64" customFormat="1" ht="39.950000000000003" hidden="1" customHeight="1" x14ac:dyDescent="0.25">
      <c r="B121" s="5">
        <v>235</v>
      </c>
      <c r="C121" s="6" t="s">
        <v>1211</v>
      </c>
      <c r="D121" s="5" t="s">
        <v>33</v>
      </c>
      <c r="E121" s="5" t="s">
        <v>1212</v>
      </c>
      <c r="F121" s="5" t="s">
        <v>1213</v>
      </c>
      <c r="G121" s="7" t="s">
        <v>36</v>
      </c>
      <c r="H121" s="17">
        <v>115695.5</v>
      </c>
      <c r="I121" s="17"/>
      <c r="J121" s="17"/>
      <c r="K121" s="7" t="s">
        <v>1214</v>
      </c>
      <c r="L121" s="5" t="s">
        <v>181</v>
      </c>
      <c r="M121" s="5" t="s">
        <v>1215</v>
      </c>
      <c r="N121" s="9" t="s">
        <v>1216</v>
      </c>
      <c r="O121" s="10">
        <v>45320</v>
      </c>
      <c r="P121" s="5" t="s">
        <v>67</v>
      </c>
      <c r="Q121" s="7" t="s">
        <v>68</v>
      </c>
      <c r="R121" s="65"/>
      <c r="S121" s="5">
        <v>340</v>
      </c>
      <c r="T121" s="9">
        <v>244</v>
      </c>
      <c r="U121" s="9">
        <v>260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>
        <f t="shared" si="3"/>
        <v>3</v>
      </c>
      <c r="AH121" s="62">
        <f t="shared" si="4"/>
        <v>281.33333333333331</v>
      </c>
      <c r="AI121" s="11" t="str">
        <f>IF(AH121&gt;='Aprovados Recursos do Fundo'!$AQ$1,"APROVADO","REPROVADO")</f>
        <v>APROVADO</v>
      </c>
    </row>
    <row r="122" spans="2:35" s="64" customFormat="1" ht="39.950000000000003" hidden="1" customHeight="1" x14ac:dyDescent="0.25">
      <c r="B122" s="5">
        <v>258</v>
      </c>
      <c r="C122" s="22" t="s">
        <v>1333</v>
      </c>
      <c r="D122" s="5" t="s">
        <v>51</v>
      </c>
      <c r="E122" s="9" t="s">
        <v>1334</v>
      </c>
      <c r="F122" s="9" t="s">
        <v>1335</v>
      </c>
      <c r="G122" s="11" t="s">
        <v>36</v>
      </c>
      <c r="H122" s="41">
        <v>131738.06</v>
      </c>
      <c r="I122" s="41"/>
      <c r="J122" s="41"/>
      <c r="K122" s="9" t="s">
        <v>1336</v>
      </c>
      <c r="L122" s="11" t="s">
        <v>123</v>
      </c>
      <c r="M122" s="11" t="s">
        <v>1337</v>
      </c>
      <c r="N122" s="11" t="s">
        <v>1338</v>
      </c>
      <c r="O122" s="34">
        <v>45320</v>
      </c>
      <c r="P122" s="9" t="s">
        <v>57</v>
      </c>
      <c r="Q122" s="11"/>
      <c r="R122" s="65"/>
      <c r="S122" s="9">
        <v>291</v>
      </c>
      <c r="T122" s="9"/>
      <c r="U122" s="9"/>
      <c r="V122" s="9"/>
      <c r="W122" s="9"/>
      <c r="X122" s="9">
        <v>283</v>
      </c>
      <c r="Y122" s="9">
        <v>270</v>
      </c>
      <c r="Z122" s="9"/>
      <c r="AA122" s="9"/>
      <c r="AB122" s="9"/>
      <c r="AC122" s="9"/>
      <c r="AD122" s="9"/>
      <c r="AE122" s="65"/>
      <c r="AF122" s="65"/>
      <c r="AG122" s="9">
        <f t="shared" si="3"/>
        <v>3</v>
      </c>
      <c r="AH122" s="62">
        <f t="shared" si="4"/>
        <v>281.33333333333331</v>
      </c>
      <c r="AI122" s="11" t="str">
        <f>IF(AH122&gt;='Aprovados Recursos do Fundo'!$AQ$1,"APROVADO","REPROVADO")</f>
        <v>APROVADO</v>
      </c>
    </row>
    <row r="123" spans="2:35" s="64" customFormat="1" ht="39.950000000000003" hidden="1" customHeight="1" x14ac:dyDescent="0.25">
      <c r="B123" s="5">
        <v>311</v>
      </c>
      <c r="C123" s="6" t="s">
        <v>1600</v>
      </c>
      <c r="D123" s="5" t="s">
        <v>33</v>
      </c>
      <c r="E123" s="5" t="s">
        <v>1601</v>
      </c>
      <c r="F123" s="7" t="s">
        <v>1602</v>
      </c>
      <c r="G123" s="7" t="s">
        <v>107</v>
      </c>
      <c r="H123" s="8">
        <v>256600</v>
      </c>
      <c r="I123" s="8"/>
      <c r="J123" s="8"/>
      <c r="K123" s="7" t="s">
        <v>859</v>
      </c>
      <c r="L123" s="7" t="s">
        <v>181</v>
      </c>
      <c r="M123" s="7" t="s">
        <v>1603</v>
      </c>
      <c r="N123" s="9" t="s">
        <v>1604</v>
      </c>
      <c r="O123" s="10">
        <v>45321</v>
      </c>
      <c r="P123" s="7" t="s">
        <v>67</v>
      </c>
      <c r="Q123" s="7"/>
      <c r="R123" s="65"/>
      <c r="S123" s="7">
        <v>286</v>
      </c>
      <c r="T123" s="9"/>
      <c r="U123" s="9"/>
      <c r="V123" s="9"/>
      <c r="W123" s="9"/>
      <c r="X123" s="9">
        <v>265</v>
      </c>
      <c r="Y123" s="9">
        <v>292</v>
      </c>
      <c r="Z123" s="9"/>
      <c r="AA123" s="9"/>
      <c r="AB123" s="9"/>
      <c r="AC123" s="9"/>
      <c r="AD123" s="9"/>
      <c r="AE123" s="9"/>
      <c r="AF123" s="9"/>
      <c r="AG123" s="9">
        <f t="shared" si="3"/>
        <v>3</v>
      </c>
      <c r="AH123" s="62">
        <f t="shared" si="4"/>
        <v>281</v>
      </c>
      <c r="AI123" s="11" t="str">
        <f>IF(AH123&gt;='Aprovados Recursos do Fundo'!$AQ$1,"APROVADO","REPROVADO")</f>
        <v>APROVADO</v>
      </c>
    </row>
    <row r="124" spans="2:35" s="64" customFormat="1" ht="39.950000000000003" hidden="1" customHeight="1" x14ac:dyDescent="0.25">
      <c r="B124" s="5">
        <v>377</v>
      </c>
      <c r="C124" s="6" t="s">
        <v>1899</v>
      </c>
      <c r="D124" s="5" t="s">
        <v>51</v>
      </c>
      <c r="E124" s="5" t="s">
        <v>1900</v>
      </c>
      <c r="F124" s="7" t="s">
        <v>1901</v>
      </c>
      <c r="G124" s="7" t="s">
        <v>107</v>
      </c>
      <c r="H124" s="41">
        <v>66000</v>
      </c>
      <c r="I124" s="41"/>
      <c r="J124" s="41"/>
      <c r="K124" s="9" t="s">
        <v>1902</v>
      </c>
      <c r="L124" s="11" t="s">
        <v>189</v>
      </c>
      <c r="M124" s="9" t="s">
        <v>1903</v>
      </c>
      <c r="N124" s="67" t="s">
        <v>1904</v>
      </c>
      <c r="O124" s="34">
        <v>45322</v>
      </c>
      <c r="P124" s="9" t="s">
        <v>57</v>
      </c>
      <c r="Q124" s="9"/>
      <c r="R124" s="65"/>
      <c r="S124" s="9">
        <v>300</v>
      </c>
      <c r="T124" s="9"/>
      <c r="U124" s="9"/>
      <c r="V124" s="9"/>
      <c r="W124" s="9"/>
      <c r="X124" s="9">
        <v>251</v>
      </c>
      <c r="Y124" s="9">
        <v>291</v>
      </c>
      <c r="Z124" s="9"/>
      <c r="AA124" s="9"/>
      <c r="AB124" s="9"/>
      <c r="AC124" s="9"/>
      <c r="AD124" s="9"/>
      <c r="AE124" s="65"/>
      <c r="AF124" s="65"/>
      <c r="AG124" s="9">
        <f t="shared" si="3"/>
        <v>3</v>
      </c>
      <c r="AH124" s="62">
        <f t="shared" si="4"/>
        <v>280.66666666666669</v>
      </c>
      <c r="AI124" s="11" t="str">
        <f>IF(AH124&gt;='Aprovados Recursos do Fundo'!$AQ$1,"APROVADO","REPROVADO")</f>
        <v>APROVADO</v>
      </c>
    </row>
    <row r="125" spans="2:35" s="64" customFormat="1" ht="39.950000000000003" hidden="1" customHeight="1" x14ac:dyDescent="0.25">
      <c r="B125" s="5">
        <v>303</v>
      </c>
      <c r="C125" s="27" t="s">
        <v>1556</v>
      </c>
      <c r="D125" s="5" t="s">
        <v>33</v>
      </c>
      <c r="E125" s="5" t="s">
        <v>172</v>
      </c>
      <c r="F125" s="7" t="s">
        <v>1557</v>
      </c>
      <c r="G125" s="7" t="s">
        <v>36</v>
      </c>
      <c r="H125" s="8">
        <v>69500</v>
      </c>
      <c r="I125" s="8"/>
      <c r="J125" s="8"/>
      <c r="K125" s="7" t="s">
        <v>1558</v>
      </c>
      <c r="L125" s="7" t="s">
        <v>445</v>
      </c>
      <c r="M125" s="7" t="s">
        <v>1559</v>
      </c>
      <c r="N125" s="9" t="s">
        <v>1560</v>
      </c>
      <c r="O125" s="10">
        <v>45321</v>
      </c>
      <c r="P125" s="7" t="s">
        <v>41</v>
      </c>
      <c r="Q125" s="7"/>
      <c r="R125" s="65"/>
      <c r="S125" s="7">
        <v>340</v>
      </c>
      <c r="T125" s="9">
        <v>169</v>
      </c>
      <c r="U125" s="9"/>
      <c r="V125" s="9"/>
      <c r="W125" s="9"/>
      <c r="X125" s="9"/>
      <c r="Y125" s="9"/>
      <c r="Z125" s="9"/>
      <c r="AA125" s="9"/>
      <c r="AB125" s="9"/>
      <c r="AC125" s="9"/>
      <c r="AD125" s="9">
        <v>331</v>
      </c>
      <c r="AE125" s="9"/>
      <c r="AF125" s="9"/>
      <c r="AG125" s="9">
        <f t="shared" si="3"/>
        <v>3</v>
      </c>
      <c r="AH125" s="62">
        <f t="shared" si="4"/>
        <v>280</v>
      </c>
      <c r="AI125" s="11" t="str">
        <f>IF(AH125&gt;='Aprovados Recursos do Fundo'!$AQ$1,"APROVADO","REPROVADO")</f>
        <v>APROVADO</v>
      </c>
    </row>
    <row r="126" spans="2:35" s="64" customFormat="1" ht="39.950000000000003" hidden="1" customHeight="1" x14ac:dyDescent="0.25">
      <c r="B126" s="5">
        <v>79</v>
      </c>
      <c r="C126" s="6" t="s">
        <v>467</v>
      </c>
      <c r="D126" s="5" t="s">
        <v>33</v>
      </c>
      <c r="E126" s="58" t="s">
        <v>462</v>
      </c>
      <c r="F126" s="7" t="s">
        <v>468</v>
      </c>
      <c r="G126" s="7" t="s">
        <v>107</v>
      </c>
      <c r="H126" s="8">
        <v>396760.14</v>
      </c>
      <c r="I126" s="8"/>
      <c r="J126" s="8"/>
      <c r="K126" s="7" t="s">
        <v>469</v>
      </c>
      <c r="L126" s="7" t="s">
        <v>95</v>
      </c>
      <c r="M126" s="7" t="s">
        <v>464</v>
      </c>
      <c r="N126" s="9" t="s">
        <v>465</v>
      </c>
      <c r="O126" s="10">
        <v>45307</v>
      </c>
      <c r="P126" s="7" t="s">
        <v>67</v>
      </c>
      <c r="Q126" s="7" t="s">
        <v>466</v>
      </c>
      <c r="R126" s="7"/>
      <c r="S126" s="9">
        <v>308</v>
      </c>
      <c r="T126" s="9">
        <v>256</v>
      </c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>
        <v>273</v>
      </c>
      <c r="AG126" s="9">
        <f t="shared" si="3"/>
        <v>3</v>
      </c>
      <c r="AH126" s="62">
        <f t="shared" si="4"/>
        <v>279</v>
      </c>
      <c r="AI126" s="11" t="str">
        <f>IF(AH126&gt;=$AI$1,"APROVADO","REPROVADO")</f>
        <v>APROVADO</v>
      </c>
    </row>
    <row r="127" spans="2:35" s="64" customFormat="1" ht="39.950000000000003" hidden="1" customHeight="1" x14ac:dyDescent="0.25">
      <c r="B127" s="5">
        <v>288</v>
      </c>
      <c r="C127" s="6" t="s">
        <v>1478</v>
      </c>
      <c r="D127" s="5" t="s">
        <v>33</v>
      </c>
      <c r="E127" s="5" t="s">
        <v>1467</v>
      </c>
      <c r="F127" s="5" t="s">
        <v>1479</v>
      </c>
      <c r="G127" s="7" t="s">
        <v>36</v>
      </c>
      <c r="H127" s="8">
        <v>266999.78000000003</v>
      </c>
      <c r="I127" s="8"/>
      <c r="J127" s="8"/>
      <c r="K127" s="7" t="s">
        <v>1469</v>
      </c>
      <c r="L127" s="7" t="s">
        <v>597</v>
      </c>
      <c r="M127" s="7" t="s">
        <v>1480</v>
      </c>
      <c r="N127" s="9" t="s">
        <v>1471</v>
      </c>
      <c r="O127" s="10">
        <v>45321</v>
      </c>
      <c r="P127" s="5" t="s">
        <v>67</v>
      </c>
      <c r="Q127" s="7"/>
      <c r="R127" s="65"/>
      <c r="S127" s="5">
        <v>322</v>
      </c>
      <c r="T127" s="9">
        <v>203</v>
      </c>
      <c r="U127" s="9"/>
      <c r="V127" s="9"/>
      <c r="W127" s="9"/>
      <c r="X127" s="9">
        <v>312</v>
      </c>
      <c r="Y127" s="9"/>
      <c r="Z127" s="9"/>
      <c r="AA127" s="9"/>
      <c r="AB127" s="9"/>
      <c r="AC127" s="9"/>
      <c r="AD127" s="9"/>
      <c r="AE127" s="9"/>
      <c r="AF127" s="9"/>
      <c r="AG127" s="9">
        <f t="shared" si="3"/>
        <v>3</v>
      </c>
      <c r="AH127" s="62">
        <f t="shared" si="4"/>
        <v>279</v>
      </c>
      <c r="AI127" s="11" t="str">
        <f>IF(AH127&gt;=$AI$1,"APROVADO","REPROVADO")</f>
        <v>APROVADO</v>
      </c>
    </row>
    <row r="128" spans="2:35" s="64" customFormat="1" ht="39.950000000000003" hidden="1" customHeight="1" x14ac:dyDescent="0.25">
      <c r="B128" s="5">
        <v>200</v>
      </c>
      <c r="C128" s="27" t="s">
        <v>1060</v>
      </c>
      <c r="D128" s="5" t="s">
        <v>33</v>
      </c>
      <c r="E128" s="5" t="s">
        <v>1061</v>
      </c>
      <c r="F128" s="7" t="s">
        <v>1062</v>
      </c>
      <c r="G128" s="7" t="s">
        <v>107</v>
      </c>
      <c r="H128" s="8">
        <v>54058</v>
      </c>
      <c r="I128" s="8"/>
      <c r="J128" s="8"/>
      <c r="K128" s="7" t="s">
        <v>63</v>
      </c>
      <c r="L128" s="7" t="s">
        <v>64</v>
      </c>
      <c r="M128" s="7" t="s">
        <v>1063</v>
      </c>
      <c r="N128" s="9" t="s">
        <v>1064</v>
      </c>
      <c r="O128" s="10">
        <v>45320</v>
      </c>
      <c r="P128" s="7" t="s">
        <v>41</v>
      </c>
      <c r="Q128" s="7"/>
      <c r="R128" s="65"/>
      <c r="S128" s="7">
        <v>326</v>
      </c>
      <c r="T128" s="9">
        <v>173</v>
      </c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>
        <v>338</v>
      </c>
      <c r="AF128" s="9"/>
      <c r="AG128" s="9">
        <f t="shared" si="3"/>
        <v>3</v>
      </c>
      <c r="AH128" s="62">
        <f t="shared" si="4"/>
        <v>279</v>
      </c>
      <c r="AI128" s="11" t="str">
        <f>IF(AH128&gt;='Aprovados Recursos do Fundo'!$AQ$1,"APROVADO","REPROVADO")</f>
        <v>APROVADO</v>
      </c>
    </row>
    <row r="129" spans="2:35" s="64" customFormat="1" ht="39.950000000000003" hidden="1" customHeight="1" x14ac:dyDescent="0.25">
      <c r="B129" s="5">
        <v>403</v>
      </c>
      <c r="C129" s="27" t="s">
        <v>2005</v>
      </c>
      <c r="D129" s="5" t="s">
        <v>51</v>
      </c>
      <c r="E129" s="5" t="s">
        <v>2006</v>
      </c>
      <c r="F129" s="7" t="s">
        <v>2007</v>
      </c>
      <c r="G129" s="7" t="s">
        <v>107</v>
      </c>
      <c r="H129" s="41">
        <v>200000</v>
      </c>
      <c r="I129" s="41"/>
      <c r="J129" s="41"/>
      <c r="K129" s="9" t="s">
        <v>2008</v>
      </c>
      <c r="L129" s="11" t="s">
        <v>141</v>
      </c>
      <c r="M129" s="9" t="s">
        <v>2009</v>
      </c>
      <c r="N129" s="67" t="s">
        <v>2010</v>
      </c>
      <c r="O129" s="34">
        <v>45322</v>
      </c>
      <c r="P129" s="9" t="s">
        <v>41</v>
      </c>
      <c r="Q129" s="9"/>
      <c r="R129" s="65"/>
      <c r="S129" s="9">
        <v>322</v>
      </c>
      <c r="T129" s="9">
        <v>175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>
        <v>340</v>
      </c>
      <c r="AF129" s="65"/>
      <c r="AG129" s="9">
        <f t="shared" si="3"/>
        <v>3</v>
      </c>
      <c r="AH129" s="62">
        <f t="shared" si="4"/>
        <v>279</v>
      </c>
      <c r="AI129" s="11" t="str">
        <f>IF(AH129&gt;='Aprovados Recursos do Fundo'!$AQ$1,"APROVADO","REPROVADO")</f>
        <v>APROVADO</v>
      </c>
    </row>
    <row r="130" spans="2:35" s="64" customFormat="1" ht="39.950000000000003" hidden="1" customHeight="1" x14ac:dyDescent="0.25">
      <c r="B130" s="5">
        <v>87</v>
      </c>
      <c r="C130" s="6" t="s">
        <v>500</v>
      </c>
      <c r="D130" s="5" t="s">
        <v>33</v>
      </c>
      <c r="E130" s="5" t="s">
        <v>501</v>
      </c>
      <c r="F130" s="7" t="s">
        <v>502</v>
      </c>
      <c r="G130" s="7" t="s">
        <v>36</v>
      </c>
      <c r="H130" s="8">
        <v>48136.800000000003</v>
      </c>
      <c r="I130" s="8"/>
      <c r="J130" s="8"/>
      <c r="K130" s="7" t="s">
        <v>503</v>
      </c>
      <c r="L130" s="7" t="s">
        <v>154</v>
      </c>
      <c r="M130" s="7" t="s">
        <v>504</v>
      </c>
      <c r="N130" s="9" t="s">
        <v>505</v>
      </c>
      <c r="O130" s="10">
        <v>45307</v>
      </c>
      <c r="P130" s="7" t="s">
        <v>67</v>
      </c>
      <c r="Q130" s="7" t="s">
        <v>89</v>
      </c>
      <c r="R130" s="7" t="s">
        <v>506</v>
      </c>
      <c r="S130" s="9">
        <v>305</v>
      </c>
      <c r="T130" s="9">
        <v>191</v>
      </c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>
        <v>340</v>
      </c>
      <c r="AG130" s="9">
        <f t="shared" si="3"/>
        <v>3</v>
      </c>
      <c r="AH130" s="62">
        <f t="shared" si="4"/>
        <v>278.66666666666669</v>
      </c>
      <c r="AI130" s="11" t="str">
        <f>IF(AH130&gt;='Aprovados Recursos do Fundo'!$AQ$1,"APROVADO","REPROVADO")</f>
        <v>APROVADO</v>
      </c>
    </row>
    <row r="131" spans="2:35" s="64" customFormat="1" ht="39.950000000000003" hidden="1" customHeight="1" x14ac:dyDescent="0.25">
      <c r="B131" s="5">
        <v>17</v>
      </c>
      <c r="C131" s="6" t="s">
        <v>144</v>
      </c>
      <c r="D131" s="5" t="s">
        <v>33</v>
      </c>
      <c r="E131" s="5" t="s">
        <v>145</v>
      </c>
      <c r="F131" s="5" t="s">
        <v>146</v>
      </c>
      <c r="G131" s="5" t="s">
        <v>36</v>
      </c>
      <c r="H131" s="15">
        <v>91857.47</v>
      </c>
      <c r="I131" s="15"/>
      <c r="J131" s="15"/>
      <c r="K131" s="5" t="s">
        <v>147</v>
      </c>
      <c r="L131" s="5" t="s">
        <v>95</v>
      </c>
      <c r="M131" s="5" t="s">
        <v>148</v>
      </c>
      <c r="N131" s="9" t="s">
        <v>149</v>
      </c>
      <c r="O131" s="10">
        <v>45301</v>
      </c>
      <c r="P131" s="7" t="s">
        <v>41</v>
      </c>
      <c r="Q131" s="7"/>
      <c r="R131" s="7"/>
      <c r="S131" s="9">
        <v>340</v>
      </c>
      <c r="T131" s="9"/>
      <c r="U131" s="9">
        <v>253</v>
      </c>
      <c r="V131" s="9">
        <v>242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>
        <f t="shared" si="3"/>
        <v>3</v>
      </c>
      <c r="AH131" s="62">
        <f t="shared" si="4"/>
        <v>278.33333333333331</v>
      </c>
      <c r="AI131" s="11" t="str">
        <f>IF(AH131&gt;='Aprovados Recursos do Fundo'!$AQ$1,"APROVADO","REPROVADO")</f>
        <v>APROVADO</v>
      </c>
    </row>
    <row r="132" spans="2:35" s="64" customFormat="1" ht="39.950000000000003" hidden="1" customHeight="1" x14ac:dyDescent="0.25">
      <c r="B132" s="5">
        <v>100</v>
      </c>
      <c r="C132" s="6" t="s">
        <v>571</v>
      </c>
      <c r="D132" s="5" t="s">
        <v>33</v>
      </c>
      <c r="E132" s="5" t="s">
        <v>565</v>
      </c>
      <c r="F132" s="7" t="s">
        <v>572</v>
      </c>
      <c r="G132" s="7" t="s">
        <v>300</v>
      </c>
      <c r="H132" s="8">
        <v>1400000</v>
      </c>
      <c r="I132" s="8"/>
      <c r="J132" s="8"/>
      <c r="K132" s="7" t="s">
        <v>73</v>
      </c>
      <c r="L132" s="7" t="s">
        <v>74</v>
      </c>
      <c r="M132" s="7" t="s">
        <v>567</v>
      </c>
      <c r="N132" s="9" t="s">
        <v>568</v>
      </c>
      <c r="O132" s="10">
        <v>45307</v>
      </c>
      <c r="P132" s="7" t="s">
        <v>67</v>
      </c>
      <c r="Q132" s="7" t="s">
        <v>375</v>
      </c>
      <c r="R132" s="7"/>
      <c r="S132" s="9">
        <v>306</v>
      </c>
      <c r="T132" s="9">
        <v>189</v>
      </c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>
        <v>340</v>
      </c>
      <c r="AG132" s="9">
        <f t="shared" si="3"/>
        <v>3</v>
      </c>
      <c r="AH132" s="62">
        <f t="shared" si="4"/>
        <v>278.33333333333331</v>
      </c>
      <c r="AI132" s="11" t="str">
        <f>IF(AH132&gt;='Aprovados Recursos do Fundo'!$AQ$1,"APROVADO","REPROVADO")</f>
        <v>APROVADO</v>
      </c>
    </row>
    <row r="133" spans="2:35" s="64" customFormat="1" ht="39.950000000000003" hidden="1" customHeight="1" x14ac:dyDescent="0.25">
      <c r="B133" s="5">
        <v>261</v>
      </c>
      <c r="C133" s="6" t="s">
        <v>1351</v>
      </c>
      <c r="D133" s="5" t="s">
        <v>33</v>
      </c>
      <c r="E133" s="5" t="s">
        <v>1352</v>
      </c>
      <c r="F133" s="5" t="s">
        <v>1353</v>
      </c>
      <c r="G133" s="7" t="s">
        <v>36</v>
      </c>
      <c r="H133" s="8">
        <v>253000</v>
      </c>
      <c r="I133" s="8"/>
      <c r="J133" s="8"/>
      <c r="K133" s="7" t="s">
        <v>1354</v>
      </c>
      <c r="L133" s="7" t="s">
        <v>95</v>
      </c>
      <c r="M133" s="7" t="s">
        <v>1355</v>
      </c>
      <c r="N133" s="9" t="s">
        <v>1356</v>
      </c>
      <c r="O133" s="10">
        <v>45320</v>
      </c>
      <c r="P133" s="5" t="s">
        <v>67</v>
      </c>
      <c r="Q133" s="7" t="s">
        <v>1357</v>
      </c>
      <c r="R133" s="65"/>
      <c r="S133" s="5">
        <v>291</v>
      </c>
      <c r="T133" s="9">
        <v>281</v>
      </c>
      <c r="U133" s="9">
        <v>263</v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>
        <f t="shared" ref="AG133:AG196" si="5">COUNT(S133:AF133)</f>
        <v>3</v>
      </c>
      <c r="AH133" s="62">
        <f t="shared" ref="AH133:AH196" si="6">AVERAGE(S133:AF133)</f>
        <v>278.33333333333331</v>
      </c>
      <c r="AI133" s="11" t="str">
        <f>IF(AH133&gt;='Aprovados Recursos do Fundo'!$AQ$1,"APROVADO","REPROVADO")</f>
        <v>APROVADO</v>
      </c>
    </row>
    <row r="134" spans="2:35" s="64" customFormat="1" ht="39.950000000000003" hidden="1" customHeight="1" x14ac:dyDescent="0.25">
      <c r="B134" s="5">
        <v>439</v>
      </c>
      <c r="C134" s="6" t="s">
        <v>2152</v>
      </c>
      <c r="D134" s="5" t="s">
        <v>33</v>
      </c>
      <c r="E134" s="58" t="s">
        <v>2146</v>
      </c>
      <c r="F134" s="7" t="s">
        <v>2153</v>
      </c>
      <c r="G134" s="7" t="s">
        <v>107</v>
      </c>
      <c r="H134" s="8">
        <v>358226</v>
      </c>
      <c r="I134" s="8"/>
      <c r="J134" s="8"/>
      <c r="K134" s="7" t="s">
        <v>73</v>
      </c>
      <c r="L134" s="5" t="s">
        <v>74</v>
      </c>
      <c r="M134" s="7" t="s">
        <v>2148</v>
      </c>
      <c r="N134" s="9" t="s">
        <v>2149</v>
      </c>
      <c r="O134" s="10">
        <v>45322</v>
      </c>
      <c r="P134" s="7" t="s">
        <v>67</v>
      </c>
      <c r="Q134" s="9"/>
      <c r="R134" s="65"/>
      <c r="S134" s="7">
        <v>279</v>
      </c>
      <c r="T134" s="9"/>
      <c r="U134" s="9"/>
      <c r="V134" s="9"/>
      <c r="W134" s="9"/>
      <c r="X134" s="9">
        <v>269</v>
      </c>
      <c r="Y134" s="9">
        <v>286</v>
      </c>
      <c r="Z134" s="9"/>
      <c r="AA134" s="9"/>
      <c r="AB134" s="9"/>
      <c r="AC134" s="9"/>
      <c r="AD134" s="9"/>
      <c r="AE134" s="9"/>
      <c r="AF134" s="9"/>
      <c r="AG134" s="9">
        <f t="shared" si="5"/>
        <v>3</v>
      </c>
      <c r="AH134" s="62">
        <f t="shared" si="6"/>
        <v>278</v>
      </c>
      <c r="AI134" s="11" t="str">
        <f>IF(AH134&gt;=$AI$1,"APROVADO","REPROVADO")</f>
        <v>APROVADO</v>
      </c>
    </row>
    <row r="135" spans="2:35" s="64" customFormat="1" ht="39.950000000000003" hidden="1" customHeight="1" x14ac:dyDescent="0.25">
      <c r="B135" s="5">
        <v>9</v>
      </c>
      <c r="C135" s="6" t="s">
        <v>99</v>
      </c>
      <c r="D135" s="5" t="s">
        <v>33</v>
      </c>
      <c r="E135" s="5" t="s">
        <v>92</v>
      </c>
      <c r="F135" s="18" t="s">
        <v>100</v>
      </c>
      <c r="G135" s="5" t="s">
        <v>36</v>
      </c>
      <c r="H135" s="15">
        <v>1288900</v>
      </c>
      <c r="I135" s="15"/>
      <c r="J135" s="15"/>
      <c r="K135" s="7" t="s">
        <v>94</v>
      </c>
      <c r="L135" s="5" t="s">
        <v>95</v>
      </c>
      <c r="M135" s="5" t="s">
        <v>96</v>
      </c>
      <c r="N135" s="5" t="s">
        <v>97</v>
      </c>
      <c r="O135" s="10">
        <v>45296</v>
      </c>
      <c r="P135" s="7" t="s">
        <v>67</v>
      </c>
      <c r="Q135" s="7" t="s">
        <v>98</v>
      </c>
      <c r="R135" s="7"/>
      <c r="S135" s="9"/>
      <c r="T135" s="9">
        <v>164</v>
      </c>
      <c r="U135" s="9"/>
      <c r="V135" s="9"/>
      <c r="W135" s="9"/>
      <c r="X135" s="9"/>
      <c r="Y135" s="9"/>
      <c r="Z135" s="9">
        <v>330</v>
      </c>
      <c r="AA135" s="9">
        <v>340</v>
      </c>
      <c r="AB135" s="9"/>
      <c r="AC135" s="9"/>
      <c r="AD135" s="9"/>
      <c r="AE135" s="9"/>
      <c r="AF135" s="9"/>
      <c r="AG135" s="9">
        <f t="shared" si="5"/>
        <v>3</v>
      </c>
      <c r="AH135" s="62">
        <f t="shared" si="6"/>
        <v>278</v>
      </c>
      <c r="AI135" s="11" t="str">
        <f>IF(AH135&gt;='Aprovados Recursos do Fundo'!$AQ$1,"APROVADO","REPROVADO")</f>
        <v>APROVADO</v>
      </c>
    </row>
    <row r="136" spans="2:35" s="64" customFormat="1" ht="39.950000000000003" hidden="1" customHeight="1" x14ac:dyDescent="0.25">
      <c r="B136" s="5">
        <v>207</v>
      </c>
      <c r="C136" s="27" t="s">
        <v>1089</v>
      </c>
      <c r="D136" s="5" t="s">
        <v>33</v>
      </c>
      <c r="E136" s="5" t="s">
        <v>1090</v>
      </c>
      <c r="F136" s="5" t="s">
        <v>1091</v>
      </c>
      <c r="G136" s="7" t="s">
        <v>36</v>
      </c>
      <c r="H136" s="8">
        <v>192000</v>
      </c>
      <c r="I136" s="8"/>
      <c r="J136" s="8"/>
      <c r="K136" s="7" t="s">
        <v>728</v>
      </c>
      <c r="L136" s="7" t="s">
        <v>123</v>
      </c>
      <c r="M136" s="7" t="s">
        <v>1092</v>
      </c>
      <c r="N136" s="9" t="s">
        <v>1093</v>
      </c>
      <c r="O136" s="10">
        <v>45320</v>
      </c>
      <c r="P136" s="5" t="s">
        <v>41</v>
      </c>
      <c r="Q136" s="7"/>
      <c r="R136" s="65"/>
      <c r="S136" s="5">
        <v>340</v>
      </c>
      <c r="T136" s="9">
        <v>180</v>
      </c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>
        <v>314</v>
      </c>
      <c r="AF136" s="9"/>
      <c r="AG136" s="9">
        <f t="shared" si="5"/>
        <v>3</v>
      </c>
      <c r="AH136" s="62">
        <f t="shared" si="6"/>
        <v>278</v>
      </c>
      <c r="AI136" s="11" t="str">
        <f>IF(AH136&gt;='Aprovados Recursos do Fundo'!$AQ$1,"APROVADO","REPROVADO")</f>
        <v>APROVADO</v>
      </c>
    </row>
    <row r="137" spans="2:35" s="64" customFormat="1" ht="39.950000000000003" hidden="1" customHeight="1" x14ac:dyDescent="0.25">
      <c r="B137" s="5">
        <v>305</v>
      </c>
      <c r="C137" s="22" t="s">
        <v>1567</v>
      </c>
      <c r="D137" s="5" t="s">
        <v>51</v>
      </c>
      <c r="E137" s="9" t="s">
        <v>1568</v>
      </c>
      <c r="F137" s="9" t="s">
        <v>1569</v>
      </c>
      <c r="G137" s="11" t="s">
        <v>36</v>
      </c>
      <c r="H137" s="41">
        <v>125300</v>
      </c>
      <c r="I137" s="41"/>
      <c r="J137" s="41"/>
      <c r="K137" s="9" t="s">
        <v>1570</v>
      </c>
      <c r="L137" s="11" t="s">
        <v>154</v>
      </c>
      <c r="M137" s="9" t="s">
        <v>1571</v>
      </c>
      <c r="N137" s="67" t="s">
        <v>1572</v>
      </c>
      <c r="O137" s="34">
        <v>45321</v>
      </c>
      <c r="P137" s="9" t="s">
        <v>41</v>
      </c>
      <c r="Q137" s="9"/>
      <c r="R137" s="65"/>
      <c r="S137" s="9">
        <v>310</v>
      </c>
      <c r="T137" s="9">
        <v>200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>
        <v>324</v>
      </c>
      <c r="AF137" s="9"/>
      <c r="AG137" s="9">
        <f t="shared" si="5"/>
        <v>3</v>
      </c>
      <c r="AH137" s="62">
        <f t="shared" si="6"/>
        <v>278</v>
      </c>
      <c r="AI137" s="11" t="str">
        <f>IF(AH137&gt;='Aprovados Recursos do Fundo'!$AQ$1,"APROVADO","REPROVADO")</f>
        <v>APROVADO</v>
      </c>
    </row>
    <row r="138" spans="2:35" s="64" customFormat="1" ht="39.950000000000003" hidden="1" customHeight="1" x14ac:dyDescent="0.25">
      <c r="B138" s="5">
        <v>47</v>
      </c>
      <c r="C138" s="6" t="s">
        <v>303</v>
      </c>
      <c r="D138" s="5" t="s">
        <v>33</v>
      </c>
      <c r="E138" s="5" t="s">
        <v>298</v>
      </c>
      <c r="F138" s="7" t="s">
        <v>304</v>
      </c>
      <c r="G138" s="7" t="s">
        <v>36</v>
      </c>
      <c r="H138" s="8">
        <v>500000</v>
      </c>
      <c r="I138" s="8"/>
      <c r="J138" s="8"/>
      <c r="K138" s="7" t="s">
        <v>290</v>
      </c>
      <c r="L138" s="7" t="s">
        <v>154</v>
      </c>
      <c r="M138" s="7" t="s">
        <v>301</v>
      </c>
      <c r="N138" s="9" t="s">
        <v>302</v>
      </c>
      <c r="O138" s="10">
        <v>45303</v>
      </c>
      <c r="P138" s="7" t="s">
        <v>41</v>
      </c>
      <c r="Q138" s="7" t="s">
        <v>305</v>
      </c>
      <c r="R138" s="65"/>
      <c r="S138" s="9">
        <v>340</v>
      </c>
      <c r="T138" s="9">
        <v>159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>
        <v>333</v>
      </c>
      <c r="AF138" s="9"/>
      <c r="AG138" s="9">
        <f t="shared" si="5"/>
        <v>3</v>
      </c>
      <c r="AH138" s="62">
        <f t="shared" si="6"/>
        <v>277.33333333333331</v>
      </c>
      <c r="AI138" s="11" t="str">
        <f>IF(AH138&gt;=$AI$1,"APROVADO","REPROVADO")</f>
        <v>APROVADO</v>
      </c>
    </row>
    <row r="139" spans="2:35" s="64" customFormat="1" ht="39.950000000000003" hidden="1" customHeight="1" x14ac:dyDescent="0.25">
      <c r="B139" s="5">
        <v>5</v>
      </c>
      <c r="C139" s="6" t="s">
        <v>69</v>
      </c>
      <c r="D139" s="5" t="s">
        <v>33</v>
      </c>
      <c r="E139" s="5" t="s">
        <v>70</v>
      </c>
      <c r="F139" s="5" t="s">
        <v>71</v>
      </c>
      <c r="G139" s="5" t="s">
        <v>72</v>
      </c>
      <c r="H139" s="15">
        <v>341605</v>
      </c>
      <c r="I139" s="15"/>
      <c r="J139" s="15"/>
      <c r="K139" s="5" t="s">
        <v>73</v>
      </c>
      <c r="L139" s="5" t="s">
        <v>74</v>
      </c>
      <c r="M139" s="5" t="s">
        <v>75</v>
      </c>
      <c r="N139" s="9" t="s">
        <v>76</v>
      </c>
      <c r="O139" s="10">
        <v>45288</v>
      </c>
      <c r="P139" s="7" t="s">
        <v>41</v>
      </c>
      <c r="Q139" s="9"/>
      <c r="R139" s="7"/>
      <c r="S139" s="9">
        <v>272</v>
      </c>
      <c r="T139" s="9"/>
      <c r="U139" s="9">
        <v>269</v>
      </c>
      <c r="V139" s="9">
        <v>290</v>
      </c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>
        <f t="shared" si="5"/>
        <v>3</v>
      </c>
      <c r="AH139" s="62">
        <f t="shared" si="6"/>
        <v>277</v>
      </c>
      <c r="AI139" s="11" t="str">
        <f>IF(AH139&gt;='Aprovados Recursos do Fundo'!$AQ$1,"APROVADO","REPROVADO")</f>
        <v>APROVADO</v>
      </c>
    </row>
    <row r="140" spans="2:35" s="64" customFormat="1" ht="39.950000000000003" hidden="1" customHeight="1" x14ac:dyDescent="0.25">
      <c r="B140" s="5">
        <v>589</v>
      </c>
      <c r="C140" s="6" t="s">
        <v>2806</v>
      </c>
      <c r="D140" s="5" t="s">
        <v>33</v>
      </c>
      <c r="E140" s="58" t="s">
        <v>2807</v>
      </c>
      <c r="F140" s="5" t="s">
        <v>2808</v>
      </c>
      <c r="G140" s="7" t="s">
        <v>107</v>
      </c>
      <c r="H140" s="8">
        <v>468232.2</v>
      </c>
      <c r="I140" s="8"/>
      <c r="J140" s="8"/>
      <c r="K140" s="7" t="s">
        <v>73</v>
      </c>
      <c r="L140" s="5" t="s">
        <v>74</v>
      </c>
      <c r="M140" s="7" t="s">
        <v>2809</v>
      </c>
      <c r="N140" s="9" t="s">
        <v>2810</v>
      </c>
      <c r="O140" s="10">
        <v>45322</v>
      </c>
      <c r="P140" s="5" t="s">
        <v>67</v>
      </c>
      <c r="Q140" s="7" t="s">
        <v>68</v>
      </c>
      <c r="R140" s="9"/>
      <c r="S140" s="5">
        <v>271</v>
      </c>
      <c r="T140" s="9"/>
      <c r="U140" s="9"/>
      <c r="V140" s="9"/>
      <c r="W140" s="9"/>
      <c r="X140" s="9"/>
      <c r="Y140" s="9">
        <v>288</v>
      </c>
      <c r="Z140" s="9">
        <v>271</v>
      </c>
      <c r="AA140" s="9"/>
      <c r="AB140" s="9"/>
      <c r="AC140" s="9"/>
      <c r="AD140" s="9"/>
      <c r="AE140" s="9"/>
      <c r="AF140" s="9"/>
      <c r="AG140" s="9">
        <f t="shared" si="5"/>
        <v>3</v>
      </c>
      <c r="AH140" s="62">
        <f t="shared" si="6"/>
        <v>276.66666666666669</v>
      </c>
      <c r="AI140" s="11" t="str">
        <f>IF(AH140&gt;=$AI$1,"APROVADO","REPROVADO")</f>
        <v>APROVADO</v>
      </c>
    </row>
    <row r="141" spans="2:35" s="64" customFormat="1" ht="39.950000000000003" hidden="1" customHeight="1" x14ac:dyDescent="0.25">
      <c r="B141" s="5">
        <v>1</v>
      </c>
      <c r="C141" s="6" t="s">
        <v>32</v>
      </c>
      <c r="D141" s="5" t="s">
        <v>33</v>
      </c>
      <c r="E141" s="5" t="s">
        <v>34</v>
      </c>
      <c r="F141" s="7" t="s">
        <v>35</v>
      </c>
      <c r="G141" s="7" t="s">
        <v>36</v>
      </c>
      <c r="H141" s="8">
        <v>370460.32</v>
      </c>
      <c r="I141" s="8"/>
      <c r="J141" s="8"/>
      <c r="K141" s="7" t="s">
        <v>37</v>
      </c>
      <c r="L141" s="7" t="s">
        <v>38</v>
      </c>
      <c r="M141" s="7" t="s">
        <v>39</v>
      </c>
      <c r="N141" s="9" t="s">
        <v>40</v>
      </c>
      <c r="O141" s="10">
        <v>45279</v>
      </c>
      <c r="P141" s="7" t="s">
        <v>41</v>
      </c>
      <c r="Q141" s="9"/>
      <c r="R141" s="9"/>
      <c r="S141" s="9">
        <v>318</v>
      </c>
      <c r="T141" s="9"/>
      <c r="U141" s="9">
        <v>265</v>
      </c>
      <c r="V141" s="9">
        <v>247</v>
      </c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>
        <f t="shared" si="5"/>
        <v>3</v>
      </c>
      <c r="AH141" s="62">
        <f t="shared" si="6"/>
        <v>276.66666666666669</v>
      </c>
      <c r="AI141" s="11" t="str">
        <f>IF(AH141&gt;='Aprovados Recursos do Fundo'!$AQ$1,"APROVADO","REPROVADO")</f>
        <v>APROVADO</v>
      </c>
    </row>
    <row r="142" spans="2:35" s="64" customFormat="1" ht="39.950000000000003" hidden="1" customHeight="1" x14ac:dyDescent="0.25">
      <c r="B142" s="5">
        <v>130</v>
      </c>
      <c r="C142" s="27" t="s">
        <v>704</v>
      </c>
      <c r="D142" s="5" t="s">
        <v>33</v>
      </c>
      <c r="E142" s="5" t="s">
        <v>699</v>
      </c>
      <c r="F142" s="7" t="s">
        <v>705</v>
      </c>
      <c r="G142" s="7" t="s">
        <v>36</v>
      </c>
      <c r="H142" s="8">
        <v>91188.36</v>
      </c>
      <c r="I142" s="8"/>
      <c r="J142" s="8"/>
      <c r="K142" s="7" t="s">
        <v>701</v>
      </c>
      <c r="L142" s="7" t="s">
        <v>95</v>
      </c>
      <c r="M142" s="7" t="s">
        <v>702</v>
      </c>
      <c r="N142" s="9" t="s">
        <v>703</v>
      </c>
      <c r="O142" s="10">
        <v>45308</v>
      </c>
      <c r="P142" s="7" t="s">
        <v>41</v>
      </c>
      <c r="Q142" s="7"/>
      <c r="R142" s="7"/>
      <c r="S142" s="9">
        <v>340</v>
      </c>
      <c r="T142" s="9">
        <v>240</v>
      </c>
      <c r="U142" s="9"/>
      <c r="V142" s="9"/>
      <c r="W142" s="9">
        <v>249</v>
      </c>
      <c r="X142" s="9"/>
      <c r="Y142" s="9"/>
      <c r="Z142" s="9"/>
      <c r="AA142" s="9"/>
      <c r="AB142" s="9"/>
      <c r="AC142" s="9"/>
      <c r="AD142" s="9"/>
      <c r="AE142" s="9"/>
      <c r="AF142" s="9"/>
      <c r="AG142" s="9">
        <f t="shared" si="5"/>
        <v>3</v>
      </c>
      <c r="AH142" s="62">
        <f t="shared" si="6"/>
        <v>276.33333333333331</v>
      </c>
      <c r="AI142" s="11" t="str">
        <f>IF(AH142&gt;='Aprovados Recursos do Fundo'!$AQ$1,"APROVADO","REPROVADO")</f>
        <v>APROVADO</v>
      </c>
    </row>
    <row r="143" spans="2:35" s="64" customFormat="1" ht="39.950000000000003" hidden="1" customHeight="1" x14ac:dyDescent="0.25">
      <c r="B143" s="5">
        <v>233</v>
      </c>
      <c r="C143" s="6" t="s">
        <v>1204</v>
      </c>
      <c r="D143" s="5" t="s">
        <v>33</v>
      </c>
      <c r="E143" s="5" t="s">
        <v>1205</v>
      </c>
      <c r="F143" s="7" t="s">
        <v>1206</v>
      </c>
      <c r="G143" s="7" t="s">
        <v>107</v>
      </c>
      <c r="H143" s="8">
        <v>1146800</v>
      </c>
      <c r="I143" s="8"/>
      <c r="J143" s="8"/>
      <c r="K143" s="7" t="s">
        <v>73</v>
      </c>
      <c r="L143" s="5" t="s">
        <v>74</v>
      </c>
      <c r="M143" s="7" t="s">
        <v>1207</v>
      </c>
      <c r="N143" s="9" t="s">
        <v>1208</v>
      </c>
      <c r="O143" s="10">
        <v>45320</v>
      </c>
      <c r="P143" s="7" t="s">
        <v>67</v>
      </c>
      <c r="Q143" s="7"/>
      <c r="R143" s="65"/>
      <c r="S143" s="7"/>
      <c r="T143" s="9">
        <v>149</v>
      </c>
      <c r="U143" s="9"/>
      <c r="V143" s="9"/>
      <c r="W143" s="9"/>
      <c r="X143" s="9"/>
      <c r="Y143" s="9"/>
      <c r="Z143" s="9">
        <v>340</v>
      </c>
      <c r="AA143" s="9">
        <v>340</v>
      </c>
      <c r="AB143" s="9"/>
      <c r="AC143" s="9"/>
      <c r="AD143" s="9"/>
      <c r="AE143" s="9"/>
      <c r="AF143" s="9"/>
      <c r="AG143" s="9">
        <f t="shared" si="5"/>
        <v>3</v>
      </c>
      <c r="AH143" s="62">
        <f t="shared" si="6"/>
        <v>276.33333333333331</v>
      </c>
      <c r="AI143" s="11" t="str">
        <f>IF(AH143&gt;='Aprovados Recursos do Fundo'!$AQ$1,"APROVADO","REPROVADO")</f>
        <v>APROVADO</v>
      </c>
    </row>
    <row r="144" spans="2:35" s="64" customFormat="1" ht="39.950000000000003" hidden="1" customHeight="1" x14ac:dyDescent="0.25">
      <c r="B144" s="5">
        <v>222</v>
      </c>
      <c r="C144" s="6" t="s">
        <v>1161</v>
      </c>
      <c r="D144" s="5" t="s">
        <v>33</v>
      </c>
      <c r="E144" s="58" t="s">
        <v>1037</v>
      </c>
      <c r="F144" s="7" t="s">
        <v>1162</v>
      </c>
      <c r="G144" s="7" t="s">
        <v>107</v>
      </c>
      <c r="H144" s="8">
        <v>100000</v>
      </c>
      <c r="I144" s="8"/>
      <c r="J144" s="8"/>
      <c r="K144" s="7" t="s">
        <v>290</v>
      </c>
      <c r="L144" s="7" t="s">
        <v>154</v>
      </c>
      <c r="M144" s="7" t="s">
        <v>1039</v>
      </c>
      <c r="N144" s="9" t="s">
        <v>1040</v>
      </c>
      <c r="O144" s="10">
        <v>45320</v>
      </c>
      <c r="P144" s="9" t="s">
        <v>41</v>
      </c>
      <c r="Q144" s="7"/>
      <c r="R144" s="65"/>
      <c r="S144" s="7">
        <v>289</v>
      </c>
      <c r="T144" s="9"/>
      <c r="U144" s="9"/>
      <c r="V144" s="9"/>
      <c r="W144" s="9"/>
      <c r="X144" s="9"/>
      <c r="Y144" s="9"/>
      <c r="Z144" s="9"/>
      <c r="AA144" s="9"/>
      <c r="AB144" s="9">
        <v>323</v>
      </c>
      <c r="AC144" s="9">
        <v>216</v>
      </c>
      <c r="AD144" s="9"/>
      <c r="AE144" s="9"/>
      <c r="AF144" s="9"/>
      <c r="AG144" s="9">
        <f t="shared" si="5"/>
        <v>3</v>
      </c>
      <c r="AH144" s="62">
        <f t="shared" si="6"/>
        <v>276</v>
      </c>
      <c r="AI144" s="11" t="str">
        <f>IF(AH144&gt;=$AI$1,"APROVADO","REPROVADO")</f>
        <v>APROVADO</v>
      </c>
    </row>
    <row r="145" spans="2:35" s="64" customFormat="1" ht="39.950000000000003" hidden="1" customHeight="1" x14ac:dyDescent="0.25">
      <c r="B145" s="5">
        <v>72</v>
      </c>
      <c r="C145" s="27" t="s">
        <v>422</v>
      </c>
      <c r="D145" s="5" t="s">
        <v>33</v>
      </c>
      <c r="E145" s="5" t="s">
        <v>423</v>
      </c>
      <c r="F145" s="7" t="s">
        <v>424</v>
      </c>
      <c r="G145" s="7" t="s">
        <v>36</v>
      </c>
      <c r="H145" s="8">
        <v>360000</v>
      </c>
      <c r="I145" s="8"/>
      <c r="J145" s="8"/>
      <c r="K145" s="7" t="s">
        <v>425</v>
      </c>
      <c r="L145" s="7" t="s">
        <v>348</v>
      </c>
      <c r="M145" s="7" t="s">
        <v>426</v>
      </c>
      <c r="N145" s="9" t="s">
        <v>427</v>
      </c>
      <c r="O145" s="10">
        <v>45306</v>
      </c>
      <c r="P145" s="7" t="s">
        <v>41</v>
      </c>
      <c r="Q145" s="7"/>
      <c r="R145" s="7"/>
      <c r="S145" s="9">
        <v>324</v>
      </c>
      <c r="T145" s="9"/>
      <c r="U145" s="9">
        <v>274</v>
      </c>
      <c r="V145" s="9">
        <v>230</v>
      </c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>
        <f t="shared" si="5"/>
        <v>3</v>
      </c>
      <c r="AH145" s="62">
        <f t="shared" si="6"/>
        <v>276</v>
      </c>
      <c r="AI145" s="11" t="str">
        <f>IF(AH145&gt;='Aprovados Recursos do Fundo'!$AQ$1,"APROVADO","REPROVADO")</f>
        <v>APROVADO</v>
      </c>
    </row>
    <row r="146" spans="2:35" s="64" customFormat="1" ht="39.950000000000003" hidden="1" customHeight="1" x14ac:dyDescent="0.25">
      <c r="B146" s="5">
        <v>104</v>
      </c>
      <c r="C146" s="6" t="s">
        <v>588</v>
      </c>
      <c r="D146" s="5" t="s">
        <v>33</v>
      </c>
      <c r="E146" s="5" t="s">
        <v>589</v>
      </c>
      <c r="F146" s="7" t="s">
        <v>590</v>
      </c>
      <c r="G146" s="7" t="s">
        <v>107</v>
      </c>
      <c r="H146" s="8">
        <v>332860</v>
      </c>
      <c r="I146" s="8"/>
      <c r="J146" s="8"/>
      <c r="K146" s="7" t="s">
        <v>390</v>
      </c>
      <c r="L146" s="7" t="s">
        <v>391</v>
      </c>
      <c r="M146" s="7" t="s">
        <v>591</v>
      </c>
      <c r="N146" s="9" t="s">
        <v>592</v>
      </c>
      <c r="O146" s="10">
        <v>45307</v>
      </c>
      <c r="P146" s="7" t="s">
        <v>67</v>
      </c>
      <c r="Q146" s="7" t="s">
        <v>68</v>
      </c>
      <c r="R146" s="7"/>
      <c r="S146" s="9">
        <v>263</v>
      </c>
      <c r="T146" s="9"/>
      <c r="U146" s="9"/>
      <c r="V146" s="9"/>
      <c r="W146" s="9"/>
      <c r="X146" s="9">
        <v>296</v>
      </c>
      <c r="Y146" s="9"/>
      <c r="Z146" s="9"/>
      <c r="AA146" s="9"/>
      <c r="AB146" s="9"/>
      <c r="AC146" s="9"/>
      <c r="AD146" s="9"/>
      <c r="AE146" s="9">
        <v>269</v>
      </c>
      <c r="AF146" s="9"/>
      <c r="AG146" s="9">
        <f t="shared" si="5"/>
        <v>3</v>
      </c>
      <c r="AH146" s="62">
        <f t="shared" si="6"/>
        <v>276</v>
      </c>
      <c r="AI146" s="11" t="str">
        <f>IF(AH146&gt;='Aprovados Recursos do Fundo'!$AQ$1,"APROVADO","REPROVADO")</f>
        <v>APROVADO</v>
      </c>
    </row>
    <row r="147" spans="2:35" s="64" customFormat="1" ht="39.950000000000003" hidden="1" customHeight="1" x14ac:dyDescent="0.25">
      <c r="B147" s="5">
        <v>227</v>
      </c>
      <c r="C147" s="27" t="s">
        <v>1176</v>
      </c>
      <c r="D147" s="5" t="s">
        <v>33</v>
      </c>
      <c r="E147" s="5" t="s">
        <v>1169</v>
      </c>
      <c r="F147" s="7" t="s">
        <v>1177</v>
      </c>
      <c r="G147" s="7" t="s">
        <v>174</v>
      </c>
      <c r="H147" s="8">
        <v>2600000</v>
      </c>
      <c r="I147" s="8"/>
      <c r="J147" s="8"/>
      <c r="K147" s="7" t="s">
        <v>1171</v>
      </c>
      <c r="L147" s="7" t="s">
        <v>95</v>
      </c>
      <c r="M147" s="7" t="s">
        <v>1172</v>
      </c>
      <c r="N147" s="9" t="s">
        <v>1173</v>
      </c>
      <c r="O147" s="10">
        <v>45320</v>
      </c>
      <c r="P147" s="7" t="s">
        <v>41</v>
      </c>
      <c r="Q147" s="7"/>
      <c r="R147" s="65"/>
      <c r="S147" s="7">
        <v>318</v>
      </c>
      <c r="T147" s="9">
        <v>265</v>
      </c>
      <c r="U147" s="9">
        <v>245</v>
      </c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>
        <f t="shared" si="5"/>
        <v>3</v>
      </c>
      <c r="AH147" s="62">
        <f t="shared" si="6"/>
        <v>276</v>
      </c>
      <c r="AI147" s="11" t="str">
        <f>IF(AH147&gt;='Aprovados Recursos do Fundo'!$AQ$1,"APROVADO","REPROVADO")</f>
        <v>APROVADO</v>
      </c>
    </row>
    <row r="148" spans="2:35" s="64" customFormat="1" ht="39.950000000000003" hidden="1" customHeight="1" x14ac:dyDescent="0.25">
      <c r="B148" s="5">
        <v>231</v>
      </c>
      <c r="C148" s="27" t="s">
        <v>1191</v>
      </c>
      <c r="D148" s="5" t="s">
        <v>33</v>
      </c>
      <c r="E148" s="5" t="s">
        <v>1192</v>
      </c>
      <c r="F148" s="7" t="s">
        <v>1193</v>
      </c>
      <c r="G148" s="7" t="s">
        <v>36</v>
      </c>
      <c r="H148" s="8">
        <v>77700</v>
      </c>
      <c r="I148" s="8"/>
      <c r="J148" s="8"/>
      <c r="K148" s="7" t="s">
        <v>1194</v>
      </c>
      <c r="L148" s="7" t="s">
        <v>1195</v>
      </c>
      <c r="M148" s="7" t="s">
        <v>1196</v>
      </c>
      <c r="N148" s="9" t="s">
        <v>1197</v>
      </c>
      <c r="O148" s="10">
        <v>45320</v>
      </c>
      <c r="P148" s="7" t="s">
        <v>41</v>
      </c>
      <c r="Q148" s="7"/>
      <c r="R148" s="65"/>
      <c r="S148" s="7">
        <v>335</v>
      </c>
      <c r="T148" s="9">
        <v>212</v>
      </c>
      <c r="U148" s="9">
        <v>281</v>
      </c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>
        <f t="shared" si="5"/>
        <v>3</v>
      </c>
      <c r="AH148" s="62">
        <f t="shared" si="6"/>
        <v>276</v>
      </c>
      <c r="AI148" s="11" t="str">
        <f>IF(AH148&gt;='Aprovados Recursos do Fundo'!$AQ$1,"APROVADO","REPROVADO")</f>
        <v>APROVADO</v>
      </c>
    </row>
    <row r="149" spans="2:35" s="64" customFormat="1" ht="39.950000000000003" hidden="1" customHeight="1" x14ac:dyDescent="0.25">
      <c r="B149" s="5">
        <v>515</v>
      </c>
      <c r="C149" s="6" t="s">
        <v>2521</v>
      </c>
      <c r="D149" s="5" t="s">
        <v>33</v>
      </c>
      <c r="E149" s="5" t="s">
        <v>2522</v>
      </c>
      <c r="F149" s="7" t="s">
        <v>2523</v>
      </c>
      <c r="G149" s="7" t="s">
        <v>300</v>
      </c>
      <c r="H149" s="8">
        <v>614048.15</v>
      </c>
      <c r="I149" s="8"/>
      <c r="J149" s="8"/>
      <c r="K149" s="7" t="s">
        <v>1475</v>
      </c>
      <c r="L149" s="7" t="s">
        <v>64</v>
      </c>
      <c r="M149" s="7" t="s">
        <v>2524</v>
      </c>
      <c r="N149" s="9" t="s">
        <v>2525</v>
      </c>
      <c r="O149" s="10">
        <v>45322</v>
      </c>
      <c r="P149" s="7" t="s">
        <v>67</v>
      </c>
      <c r="Q149" s="7" t="s">
        <v>68</v>
      </c>
      <c r="R149" s="7"/>
      <c r="S149" s="7">
        <v>286</v>
      </c>
      <c r="T149" s="9"/>
      <c r="U149" s="9">
        <v>271</v>
      </c>
      <c r="V149" s="9"/>
      <c r="W149" s="9"/>
      <c r="X149" s="9"/>
      <c r="Y149" s="9"/>
      <c r="Z149" s="9"/>
      <c r="AA149" s="9">
        <v>271</v>
      </c>
      <c r="AB149" s="9"/>
      <c r="AC149" s="9"/>
      <c r="AD149" s="9"/>
      <c r="AE149" s="9"/>
      <c r="AF149" s="9"/>
      <c r="AG149" s="9">
        <f t="shared" si="5"/>
        <v>3</v>
      </c>
      <c r="AH149" s="62">
        <f t="shared" si="6"/>
        <v>276</v>
      </c>
      <c r="AI149" s="11" t="str">
        <f>IF(AH149&gt;='Aprovados Recursos do Fundo'!$AQ$1,"APROVADO","REPROVADO")</f>
        <v>APROVADO</v>
      </c>
    </row>
    <row r="150" spans="2:35" s="64" customFormat="1" ht="39.950000000000003" hidden="1" customHeight="1" x14ac:dyDescent="0.25">
      <c r="B150" s="5">
        <v>36</v>
      </c>
      <c r="C150" s="6" t="s">
        <v>257</v>
      </c>
      <c r="D150" s="5" t="s">
        <v>33</v>
      </c>
      <c r="E150" s="58" t="s">
        <v>258</v>
      </c>
      <c r="F150" s="7" t="s">
        <v>259</v>
      </c>
      <c r="G150" s="7" t="s">
        <v>260</v>
      </c>
      <c r="H150" s="8">
        <v>53388</v>
      </c>
      <c r="I150" s="8"/>
      <c r="J150" s="8"/>
      <c r="K150" s="7" t="s">
        <v>261</v>
      </c>
      <c r="L150" s="7" t="s">
        <v>141</v>
      </c>
      <c r="M150" s="7" t="s">
        <v>262</v>
      </c>
      <c r="N150" s="9" t="s">
        <v>263</v>
      </c>
      <c r="O150" s="10">
        <v>45303</v>
      </c>
      <c r="P150" s="7" t="s">
        <v>41</v>
      </c>
      <c r="Q150" s="65"/>
      <c r="R150" s="65"/>
      <c r="S150" s="9">
        <v>297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>
        <v>243</v>
      </c>
      <c r="AE150" s="9">
        <v>287</v>
      </c>
      <c r="AF150" s="9"/>
      <c r="AG150" s="9">
        <f t="shared" si="5"/>
        <v>3</v>
      </c>
      <c r="AH150" s="62">
        <f t="shared" si="6"/>
        <v>275.66666666666669</v>
      </c>
      <c r="AI150" s="11" t="str">
        <f>IF(AH150&gt;=$AI$1,"APROVADO","REPROVADO")</f>
        <v>APROVADO</v>
      </c>
    </row>
    <row r="151" spans="2:35" s="64" customFormat="1" ht="39.950000000000003" hidden="1" customHeight="1" x14ac:dyDescent="0.25">
      <c r="B151" s="5">
        <v>556</v>
      </c>
      <c r="C151" s="6" t="s">
        <v>2675</v>
      </c>
      <c r="D151" s="5" t="s">
        <v>33</v>
      </c>
      <c r="E151" s="58" t="s">
        <v>2676</v>
      </c>
      <c r="F151" s="7" t="s">
        <v>2677</v>
      </c>
      <c r="G151" s="7" t="s">
        <v>107</v>
      </c>
      <c r="H151" s="8">
        <v>377000</v>
      </c>
      <c r="I151" s="8"/>
      <c r="J151" s="8"/>
      <c r="K151" s="7" t="s">
        <v>73</v>
      </c>
      <c r="L151" s="7" t="s">
        <v>74</v>
      </c>
      <c r="M151" s="7" t="s">
        <v>2662</v>
      </c>
      <c r="N151" s="9" t="s">
        <v>2678</v>
      </c>
      <c r="O151" s="10">
        <v>45322</v>
      </c>
      <c r="P151" s="7" t="s">
        <v>67</v>
      </c>
      <c r="Q151" s="7" t="s">
        <v>68</v>
      </c>
      <c r="R151" s="7"/>
      <c r="S151" s="7">
        <v>272</v>
      </c>
      <c r="T151" s="9"/>
      <c r="U151" s="9"/>
      <c r="V151" s="9"/>
      <c r="W151" s="9"/>
      <c r="X151" s="9">
        <v>287</v>
      </c>
      <c r="Y151" s="9">
        <v>268</v>
      </c>
      <c r="Z151" s="9"/>
      <c r="AA151" s="9"/>
      <c r="AB151" s="9"/>
      <c r="AC151" s="9"/>
      <c r="AD151" s="9"/>
      <c r="AE151" s="9"/>
      <c r="AF151" s="9"/>
      <c r="AG151" s="9">
        <f t="shared" si="5"/>
        <v>3</v>
      </c>
      <c r="AH151" s="62">
        <f t="shared" si="6"/>
        <v>275.66666666666669</v>
      </c>
      <c r="AI151" s="11" t="str">
        <f>IF(AH151&gt;=$AI$1,"APROVADO","REPROVADO")</f>
        <v>APROVADO</v>
      </c>
    </row>
    <row r="152" spans="2:35" s="64" customFormat="1" ht="39.950000000000003" hidden="1" customHeight="1" x14ac:dyDescent="0.25">
      <c r="B152" s="5">
        <v>241</v>
      </c>
      <c r="C152" s="27" t="s">
        <v>1238</v>
      </c>
      <c r="D152" s="5" t="s">
        <v>33</v>
      </c>
      <c r="E152" s="5" t="s">
        <v>1239</v>
      </c>
      <c r="F152" s="7" t="s">
        <v>1240</v>
      </c>
      <c r="G152" s="7" t="s">
        <v>36</v>
      </c>
      <c r="H152" s="8">
        <v>99856.65</v>
      </c>
      <c r="I152" s="8"/>
      <c r="J152" s="8"/>
      <c r="K152" s="7" t="s">
        <v>1241</v>
      </c>
      <c r="L152" s="7" t="s">
        <v>154</v>
      </c>
      <c r="M152" s="7" t="s">
        <v>1242</v>
      </c>
      <c r="N152" s="9" t="s">
        <v>1243</v>
      </c>
      <c r="O152" s="10">
        <v>45320</v>
      </c>
      <c r="P152" s="7" t="s">
        <v>41</v>
      </c>
      <c r="Q152" s="7"/>
      <c r="R152" s="65"/>
      <c r="S152" s="7">
        <v>335</v>
      </c>
      <c r="T152" s="9">
        <v>220</v>
      </c>
      <c r="U152" s="9"/>
      <c r="V152" s="9"/>
      <c r="W152" s="9"/>
      <c r="X152" s="9"/>
      <c r="Y152" s="9"/>
      <c r="Z152" s="9"/>
      <c r="AA152" s="9"/>
      <c r="AB152" s="9"/>
      <c r="AC152" s="9"/>
      <c r="AD152" s="9">
        <v>272</v>
      </c>
      <c r="AE152" s="9"/>
      <c r="AF152" s="9"/>
      <c r="AG152" s="9">
        <f t="shared" si="5"/>
        <v>3</v>
      </c>
      <c r="AH152" s="62">
        <f t="shared" si="6"/>
        <v>275.66666666666669</v>
      </c>
      <c r="AI152" s="11" t="str">
        <f>IF(AH152&gt;='Aprovados Recursos do Fundo'!$AQ$1,"APROVADO","REPROVADO")</f>
        <v>APROVADO</v>
      </c>
    </row>
    <row r="153" spans="2:35" s="64" customFormat="1" ht="39.950000000000003" hidden="1" customHeight="1" x14ac:dyDescent="0.25">
      <c r="B153" s="5">
        <v>182</v>
      </c>
      <c r="C153" s="6" t="s">
        <v>973</v>
      </c>
      <c r="D153" s="5" t="s">
        <v>33</v>
      </c>
      <c r="E153" s="5" t="s">
        <v>974</v>
      </c>
      <c r="F153" s="5" t="s">
        <v>975</v>
      </c>
      <c r="G153" s="7" t="s">
        <v>45</v>
      </c>
      <c r="H153" s="8">
        <v>117517.32</v>
      </c>
      <c r="I153" s="8"/>
      <c r="J153" s="8"/>
      <c r="K153" s="7" t="s">
        <v>976</v>
      </c>
      <c r="L153" s="7" t="s">
        <v>445</v>
      </c>
      <c r="M153" s="7" t="s">
        <v>977</v>
      </c>
      <c r="N153" s="37" t="s">
        <v>978</v>
      </c>
      <c r="O153" s="10">
        <v>45315</v>
      </c>
      <c r="P153" s="5" t="s">
        <v>67</v>
      </c>
      <c r="Q153" s="7" t="s">
        <v>89</v>
      </c>
      <c r="R153" s="7" t="s">
        <v>979</v>
      </c>
      <c r="S153" s="5">
        <v>340</v>
      </c>
      <c r="T153" s="9">
        <v>148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>
        <v>338</v>
      </c>
      <c r="AF153" s="9"/>
      <c r="AG153" s="9">
        <f t="shared" si="5"/>
        <v>3</v>
      </c>
      <c r="AH153" s="62">
        <f t="shared" si="6"/>
        <v>275.33333333333331</v>
      </c>
      <c r="AI153" s="11" t="str">
        <f>IF(AH153&gt;='Aprovados Recursos do Fundo'!$AQ$1,"APROVADO","REPROVADO")</f>
        <v>APROVADO</v>
      </c>
    </row>
    <row r="154" spans="2:35" s="64" customFormat="1" ht="39.950000000000003" hidden="1" customHeight="1" x14ac:dyDescent="0.25">
      <c r="B154" s="5">
        <v>517</v>
      </c>
      <c r="C154" s="6" t="s">
        <v>2532</v>
      </c>
      <c r="D154" s="5" t="s">
        <v>33</v>
      </c>
      <c r="E154" s="5" t="s">
        <v>2516</v>
      </c>
      <c r="F154" s="7" t="s">
        <v>2533</v>
      </c>
      <c r="G154" s="5" t="s">
        <v>62</v>
      </c>
      <c r="H154" s="8">
        <v>720339</v>
      </c>
      <c r="I154" s="8"/>
      <c r="J154" s="8"/>
      <c r="K154" s="7" t="s">
        <v>73</v>
      </c>
      <c r="L154" s="5" t="s">
        <v>74</v>
      </c>
      <c r="M154" s="7" t="s">
        <v>2518</v>
      </c>
      <c r="N154" s="9" t="s">
        <v>2519</v>
      </c>
      <c r="O154" s="10">
        <v>45322</v>
      </c>
      <c r="P154" s="7" t="s">
        <v>67</v>
      </c>
      <c r="Q154" s="7" t="s">
        <v>68</v>
      </c>
      <c r="R154" s="7" t="s">
        <v>2520</v>
      </c>
      <c r="S154" s="7">
        <v>226</v>
      </c>
      <c r="T154" s="9"/>
      <c r="U154" s="9"/>
      <c r="V154" s="9"/>
      <c r="W154" s="9"/>
      <c r="X154" s="9"/>
      <c r="Y154" s="9">
        <v>278</v>
      </c>
      <c r="Z154" s="9"/>
      <c r="AA154" s="9">
        <v>320</v>
      </c>
      <c r="AB154" s="9"/>
      <c r="AC154" s="9"/>
      <c r="AD154" s="9"/>
      <c r="AE154" s="9"/>
      <c r="AF154" s="9"/>
      <c r="AG154" s="9">
        <f t="shared" si="5"/>
        <v>3</v>
      </c>
      <c r="AH154" s="62">
        <f t="shared" si="6"/>
        <v>274.66666666666669</v>
      </c>
      <c r="AI154" s="11" t="str">
        <f>IF(AH154&gt;=$AI$1,"APROVADO","REPROVADO")</f>
        <v>APROVADO</v>
      </c>
    </row>
    <row r="155" spans="2:35" s="64" customFormat="1" ht="39.950000000000003" hidden="1" customHeight="1" x14ac:dyDescent="0.25">
      <c r="B155" s="5">
        <v>484</v>
      </c>
      <c r="C155" s="22" t="s">
        <v>2362</v>
      </c>
      <c r="D155" s="5" t="s">
        <v>51</v>
      </c>
      <c r="E155" s="9" t="s">
        <v>2357</v>
      </c>
      <c r="F155" s="9" t="s">
        <v>2363</v>
      </c>
      <c r="G155" s="11" t="s">
        <v>107</v>
      </c>
      <c r="H155" s="41">
        <v>120000</v>
      </c>
      <c r="I155" s="41"/>
      <c r="J155" s="41"/>
      <c r="K155" s="9" t="s">
        <v>2359</v>
      </c>
      <c r="L155" s="11" t="s">
        <v>47</v>
      </c>
      <c r="M155" s="11" t="s">
        <v>2364</v>
      </c>
      <c r="N155" s="67" t="s">
        <v>2361</v>
      </c>
      <c r="O155" s="34">
        <v>45322</v>
      </c>
      <c r="P155" s="9" t="s">
        <v>57</v>
      </c>
      <c r="Q155" s="65"/>
      <c r="R155" s="65"/>
      <c r="S155" s="9">
        <v>283</v>
      </c>
      <c r="T155" s="9"/>
      <c r="U155" s="9"/>
      <c r="V155" s="9"/>
      <c r="W155" s="9"/>
      <c r="X155" s="9">
        <v>295</v>
      </c>
      <c r="Y155" s="9">
        <v>246</v>
      </c>
      <c r="Z155" s="9"/>
      <c r="AA155" s="9"/>
      <c r="AB155" s="9"/>
      <c r="AC155" s="9"/>
      <c r="AD155" s="9"/>
      <c r="AE155" s="65"/>
      <c r="AF155" s="65"/>
      <c r="AG155" s="9">
        <f t="shared" si="5"/>
        <v>3</v>
      </c>
      <c r="AH155" s="62">
        <f t="shared" si="6"/>
        <v>274.66666666666669</v>
      </c>
      <c r="AI155" s="11" t="str">
        <f>IF(AH155&gt;='Aprovados Recursos do Fundo'!$AQ$1,"APROVADO","REPROVADO")</f>
        <v>APROVADO</v>
      </c>
    </row>
    <row r="156" spans="2:35" s="64" customFormat="1" ht="39.950000000000003" hidden="1" customHeight="1" x14ac:dyDescent="0.25">
      <c r="B156" s="5">
        <v>321</v>
      </c>
      <c r="C156" s="27" t="s">
        <v>1650</v>
      </c>
      <c r="D156" s="5" t="s">
        <v>33</v>
      </c>
      <c r="E156" s="5" t="s">
        <v>1651</v>
      </c>
      <c r="F156" s="7" t="s">
        <v>1652</v>
      </c>
      <c r="G156" s="7" t="s">
        <v>36</v>
      </c>
      <c r="H156" s="8">
        <v>260167.01</v>
      </c>
      <c r="I156" s="8"/>
      <c r="J156" s="8"/>
      <c r="K156" s="7" t="s">
        <v>240</v>
      </c>
      <c r="L156" s="5" t="s">
        <v>241</v>
      </c>
      <c r="M156" s="7" t="s">
        <v>1653</v>
      </c>
      <c r="N156" s="9" t="s">
        <v>1654</v>
      </c>
      <c r="O156" s="10">
        <v>45321</v>
      </c>
      <c r="P156" s="7" t="s">
        <v>41</v>
      </c>
      <c r="Q156" s="7"/>
      <c r="R156" s="65"/>
      <c r="S156" s="7">
        <v>315</v>
      </c>
      <c r="T156" s="9">
        <v>180</v>
      </c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>
        <v>328</v>
      </c>
      <c r="AF156" s="9"/>
      <c r="AG156" s="9">
        <f t="shared" si="5"/>
        <v>3</v>
      </c>
      <c r="AH156" s="62">
        <f t="shared" si="6"/>
        <v>274.33333333333331</v>
      </c>
      <c r="AI156" s="11" t="str">
        <f>IF(AH156&gt;='Aprovados Recursos do Fundo'!$AQ$1,"APROVADO","REPROVADO")</f>
        <v>APROVADO</v>
      </c>
    </row>
    <row r="157" spans="2:35" s="64" customFormat="1" ht="39.950000000000003" hidden="1" customHeight="1" x14ac:dyDescent="0.25">
      <c r="B157" s="5">
        <v>398</v>
      </c>
      <c r="C157" s="22" t="s">
        <v>1984</v>
      </c>
      <c r="D157" s="5" t="s">
        <v>51</v>
      </c>
      <c r="E157" s="9" t="s">
        <v>1985</v>
      </c>
      <c r="F157" s="9" t="s">
        <v>1986</v>
      </c>
      <c r="G157" s="11" t="s">
        <v>36</v>
      </c>
      <c r="H157" s="41">
        <v>162450</v>
      </c>
      <c r="I157" s="41"/>
      <c r="J157" s="41"/>
      <c r="K157" s="9" t="s">
        <v>1987</v>
      </c>
      <c r="L157" s="11" t="s">
        <v>189</v>
      </c>
      <c r="M157" s="9" t="s">
        <v>1988</v>
      </c>
      <c r="N157" s="67" t="s">
        <v>1989</v>
      </c>
      <c r="O157" s="34">
        <v>45322</v>
      </c>
      <c r="P157" s="9" t="s">
        <v>57</v>
      </c>
      <c r="Q157" s="9"/>
      <c r="R157" s="65"/>
      <c r="S157" s="9">
        <v>260</v>
      </c>
      <c r="T157" s="9"/>
      <c r="U157" s="9"/>
      <c r="V157" s="9"/>
      <c r="W157" s="9"/>
      <c r="X157" s="9">
        <v>284</v>
      </c>
      <c r="Y157" s="9">
        <v>279</v>
      </c>
      <c r="Z157" s="9"/>
      <c r="AA157" s="9"/>
      <c r="AB157" s="9"/>
      <c r="AC157" s="9"/>
      <c r="AD157" s="9"/>
      <c r="AE157" s="65"/>
      <c r="AF157" s="65"/>
      <c r="AG157" s="9">
        <f t="shared" si="5"/>
        <v>3</v>
      </c>
      <c r="AH157" s="62">
        <f t="shared" si="6"/>
        <v>274.33333333333331</v>
      </c>
      <c r="AI157" s="11" t="str">
        <f>IF(AH157&gt;='Aprovados Recursos do Fundo'!$AQ$1,"APROVADO","REPROVADO")</f>
        <v>APROVADO</v>
      </c>
    </row>
    <row r="158" spans="2:35" s="64" customFormat="1" ht="39.950000000000003" hidden="1" customHeight="1" x14ac:dyDescent="0.25">
      <c r="B158" s="5">
        <v>551</v>
      </c>
      <c r="C158" s="6" t="s">
        <v>2664</v>
      </c>
      <c r="D158" s="5" t="s">
        <v>33</v>
      </c>
      <c r="E158" s="58" t="s">
        <v>2660</v>
      </c>
      <c r="F158" s="7" t="s">
        <v>2665</v>
      </c>
      <c r="G158" s="7" t="s">
        <v>107</v>
      </c>
      <c r="H158" s="8">
        <v>353442</v>
      </c>
      <c r="I158" s="8"/>
      <c r="J158" s="8"/>
      <c r="K158" s="7" t="s">
        <v>73</v>
      </c>
      <c r="L158" s="5" t="s">
        <v>74</v>
      </c>
      <c r="M158" s="7" t="s">
        <v>2662</v>
      </c>
      <c r="N158" s="9" t="s">
        <v>2663</v>
      </c>
      <c r="O158" s="10">
        <v>45322</v>
      </c>
      <c r="P158" s="7" t="s">
        <v>67</v>
      </c>
      <c r="Q158" s="7" t="s">
        <v>68</v>
      </c>
      <c r="R158" s="7"/>
      <c r="S158" s="7">
        <v>255</v>
      </c>
      <c r="T158" s="9"/>
      <c r="U158" s="9"/>
      <c r="V158" s="9"/>
      <c r="W158" s="9"/>
      <c r="X158" s="9"/>
      <c r="Y158" s="9"/>
      <c r="Z158" s="9">
        <v>281</v>
      </c>
      <c r="AA158" s="9">
        <v>286</v>
      </c>
      <c r="AB158" s="9"/>
      <c r="AC158" s="9"/>
      <c r="AD158" s="9"/>
      <c r="AE158" s="9"/>
      <c r="AF158" s="9"/>
      <c r="AG158" s="9">
        <f t="shared" si="5"/>
        <v>3</v>
      </c>
      <c r="AH158" s="62">
        <f t="shared" si="6"/>
        <v>274</v>
      </c>
      <c r="AI158" s="11" t="str">
        <f>IF(AH158&gt;=$AI$1,"APROVADO","REPROVADO")</f>
        <v>APROVADO</v>
      </c>
    </row>
    <row r="159" spans="2:35" s="64" customFormat="1" ht="39.950000000000003" hidden="1" customHeight="1" x14ac:dyDescent="0.25">
      <c r="B159" s="5">
        <v>85</v>
      </c>
      <c r="C159" s="6" t="s">
        <v>489</v>
      </c>
      <c r="D159" s="5" t="s">
        <v>33</v>
      </c>
      <c r="E159" s="5" t="s">
        <v>490</v>
      </c>
      <c r="F159" s="5" t="s">
        <v>491</v>
      </c>
      <c r="G159" s="7" t="s">
        <v>36</v>
      </c>
      <c r="H159" s="8">
        <v>1111410.1299999999</v>
      </c>
      <c r="I159" s="8"/>
      <c r="J159" s="8"/>
      <c r="K159" s="7" t="s">
        <v>73</v>
      </c>
      <c r="L159" s="7" t="s">
        <v>74</v>
      </c>
      <c r="M159" s="7" t="s">
        <v>492</v>
      </c>
      <c r="N159" s="9" t="s">
        <v>493</v>
      </c>
      <c r="O159" s="10">
        <v>45307</v>
      </c>
      <c r="P159" s="5" t="s">
        <v>67</v>
      </c>
      <c r="Q159" s="7" t="s">
        <v>89</v>
      </c>
      <c r="R159" s="7" t="s">
        <v>68</v>
      </c>
      <c r="S159" s="9">
        <v>317</v>
      </c>
      <c r="T159" s="9"/>
      <c r="U159" s="9">
        <v>239</v>
      </c>
      <c r="V159" s="9">
        <v>266</v>
      </c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>
        <f t="shared" si="5"/>
        <v>3</v>
      </c>
      <c r="AH159" s="62">
        <f t="shared" si="6"/>
        <v>274</v>
      </c>
      <c r="AI159" s="11" t="str">
        <f>IF(AH159&gt;='Aprovados Recursos do Fundo'!$AQ$1,"APROVADO","REPROVADO")</f>
        <v>APROVADO</v>
      </c>
    </row>
    <row r="160" spans="2:35" s="64" customFormat="1" ht="39.950000000000003" hidden="1" customHeight="1" x14ac:dyDescent="0.25">
      <c r="B160" s="5">
        <v>115</v>
      </c>
      <c r="C160" s="6" t="s">
        <v>636</v>
      </c>
      <c r="D160" s="5" t="s">
        <v>33</v>
      </c>
      <c r="E160" s="5" t="s">
        <v>637</v>
      </c>
      <c r="F160" s="7" t="s">
        <v>638</v>
      </c>
      <c r="G160" s="7" t="s">
        <v>107</v>
      </c>
      <c r="H160" s="8">
        <v>627681.1</v>
      </c>
      <c r="I160" s="8"/>
      <c r="J160" s="8"/>
      <c r="K160" s="7" t="s">
        <v>73</v>
      </c>
      <c r="L160" s="7" t="s">
        <v>74</v>
      </c>
      <c r="M160" s="7" t="s">
        <v>639</v>
      </c>
      <c r="N160" s="9" t="s">
        <v>640</v>
      </c>
      <c r="O160" s="10">
        <v>45307</v>
      </c>
      <c r="P160" s="7" t="s">
        <v>67</v>
      </c>
      <c r="Q160" s="7" t="s">
        <v>68</v>
      </c>
      <c r="R160" s="7"/>
      <c r="S160" s="9">
        <v>306</v>
      </c>
      <c r="T160" s="9"/>
      <c r="U160" s="9"/>
      <c r="V160" s="9"/>
      <c r="W160" s="9"/>
      <c r="X160" s="9"/>
      <c r="Y160" s="9"/>
      <c r="Z160" s="9"/>
      <c r="AA160" s="9"/>
      <c r="AB160" s="9">
        <v>257</v>
      </c>
      <c r="AC160" s="9">
        <v>257</v>
      </c>
      <c r="AD160" s="9"/>
      <c r="AE160" s="9"/>
      <c r="AF160" s="9"/>
      <c r="AG160" s="9">
        <f t="shared" si="5"/>
        <v>3</v>
      </c>
      <c r="AH160" s="62">
        <f t="shared" si="6"/>
        <v>273.33333333333331</v>
      </c>
      <c r="AI160" s="11" t="str">
        <f>IF(AH160&gt;=$AI$1,"APROVADO","REPROVADO")</f>
        <v>APROVADO</v>
      </c>
    </row>
    <row r="161" spans="2:35" s="64" customFormat="1" ht="39.950000000000003" hidden="1" customHeight="1" x14ac:dyDescent="0.25">
      <c r="B161" s="5">
        <v>344</v>
      </c>
      <c r="C161" s="6" t="s">
        <v>1755</v>
      </c>
      <c r="D161" s="5" t="s">
        <v>33</v>
      </c>
      <c r="E161" s="5" t="s">
        <v>1750</v>
      </c>
      <c r="F161" s="5" t="s">
        <v>1756</v>
      </c>
      <c r="G161" s="7" t="s">
        <v>107</v>
      </c>
      <c r="H161" s="8">
        <v>367000</v>
      </c>
      <c r="I161" s="8"/>
      <c r="J161" s="8"/>
      <c r="K161" s="7" t="s">
        <v>1752</v>
      </c>
      <c r="L161" s="7" t="s">
        <v>154</v>
      </c>
      <c r="M161" s="7" t="s">
        <v>1753</v>
      </c>
      <c r="N161" s="9" t="s">
        <v>1754</v>
      </c>
      <c r="O161" s="10">
        <v>45321</v>
      </c>
      <c r="P161" s="5" t="s">
        <v>67</v>
      </c>
      <c r="Q161" s="7"/>
      <c r="R161" s="65"/>
      <c r="S161" s="5">
        <v>315</v>
      </c>
      <c r="T161" s="9">
        <v>180</v>
      </c>
      <c r="U161" s="9"/>
      <c r="V161" s="9"/>
      <c r="W161" s="9"/>
      <c r="X161" s="9">
        <v>325</v>
      </c>
      <c r="Y161" s="9"/>
      <c r="Z161" s="9"/>
      <c r="AA161" s="9"/>
      <c r="AB161" s="9"/>
      <c r="AC161" s="9"/>
      <c r="AD161" s="9"/>
      <c r="AE161" s="9"/>
      <c r="AF161" s="9"/>
      <c r="AG161" s="9">
        <f t="shared" si="5"/>
        <v>3</v>
      </c>
      <c r="AH161" s="62">
        <f t="shared" si="6"/>
        <v>273.33333333333331</v>
      </c>
      <c r="AI161" s="11" t="str">
        <f>IF(AH161&gt;=$AI$1,"APROVADO","REPROVADO")</f>
        <v>APROVADO</v>
      </c>
    </row>
    <row r="162" spans="2:35" s="64" customFormat="1" ht="39.950000000000003" hidden="1" customHeight="1" x14ac:dyDescent="0.25">
      <c r="B162" s="5">
        <v>391</v>
      </c>
      <c r="C162" s="6" t="s">
        <v>1963</v>
      </c>
      <c r="D162" s="5" t="s">
        <v>33</v>
      </c>
      <c r="E162" s="58" t="s">
        <v>1964</v>
      </c>
      <c r="F162" s="5" t="s">
        <v>1965</v>
      </c>
      <c r="G162" s="7" t="s">
        <v>36</v>
      </c>
      <c r="H162" s="17">
        <v>180000</v>
      </c>
      <c r="I162" s="17"/>
      <c r="J162" s="17"/>
      <c r="K162" s="7" t="s">
        <v>728</v>
      </c>
      <c r="L162" s="7" t="s">
        <v>123</v>
      </c>
      <c r="M162" s="5" t="s">
        <v>1966</v>
      </c>
      <c r="N162" s="31" t="s">
        <v>1967</v>
      </c>
      <c r="O162" s="10">
        <v>45322</v>
      </c>
      <c r="P162" s="5" t="s">
        <v>67</v>
      </c>
      <c r="Q162" s="7"/>
      <c r="R162" s="65"/>
      <c r="S162" s="5">
        <v>303</v>
      </c>
      <c r="T162" s="9">
        <v>210</v>
      </c>
      <c r="U162" s="9"/>
      <c r="V162" s="9"/>
      <c r="W162" s="9"/>
      <c r="X162" s="9">
        <v>307</v>
      </c>
      <c r="Y162" s="9"/>
      <c r="Z162" s="9"/>
      <c r="AA162" s="9"/>
      <c r="AB162" s="9"/>
      <c r="AC162" s="9"/>
      <c r="AD162" s="9"/>
      <c r="AE162" s="9"/>
      <c r="AF162" s="9"/>
      <c r="AG162" s="9">
        <f t="shared" si="5"/>
        <v>3</v>
      </c>
      <c r="AH162" s="62">
        <f t="shared" si="6"/>
        <v>273.33333333333331</v>
      </c>
      <c r="AI162" s="11" t="str">
        <f>IF(AH162&gt;=$AI$1,"APROVADO","REPROVADO")</f>
        <v>APROVADO</v>
      </c>
    </row>
    <row r="163" spans="2:35" s="64" customFormat="1" ht="39.950000000000003" hidden="1" customHeight="1" x14ac:dyDescent="0.25">
      <c r="B163" s="5">
        <v>94</v>
      </c>
      <c r="C163" s="6" t="s">
        <v>541</v>
      </c>
      <c r="D163" s="5" t="s">
        <v>33</v>
      </c>
      <c r="E163" s="5" t="s">
        <v>542</v>
      </c>
      <c r="F163" s="5" t="s">
        <v>543</v>
      </c>
      <c r="G163" s="7" t="s">
        <v>107</v>
      </c>
      <c r="H163" s="8">
        <v>60000</v>
      </c>
      <c r="I163" s="8"/>
      <c r="J163" s="8"/>
      <c r="K163" s="7" t="s">
        <v>538</v>
      </c>
      <c r="L163" s="7" t="s">
        <v>115</v>
      </c>
      <c r="M163" s="7" t="s">
        <v>544</v>
      </c>
      <c r="N163" s="9" t="s">
        <v>545</v>
      </c>
      <c r="O163" s="10">
        <v>45307</v>
      </c>
      <c r="P163" s="5" t="s">
        <v>67</v>
      </c>
      <c r="Q163" s="7" t="s">
        <v>89</v>
      </c>
      <c r="R163" s="7" t="s">
        <v>68</v>
      </c>
      <c r="S163" s="9">
        <v>310</v>
      </c>
      <c r="T163" s="9"/>
      <c r="U163" s="9">
        <v>248</v>
      </c>
      <c r="V163" s="9">
        <v>262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>
        <f t="shared" si="5"/>
        <v>3</v>
      </c>
      <c r="AH163" s="62">
        <f t="shared" si="6"/>
        <v>273.33333333333331</v>
      </c>
      <c r="AI163" s="11" t="str">
        <f>IF(AH163&gt;='Aprovados Recursos do Fundo'!$AQ$1,"APROVADO","REPROVADO")</f>
        <v>APROVADO</v>
      </c>
    </row>
    <row r="164" spans="2:35" s="64" customFormat="1" ht="39.950000000000003" hidden="1" customHeight="1" x14ac:dyDescent="0.25">
      <c r="B164" s="5">
        <v>359</v>
      </c>
      <c r="C164" s="22" t="s">
        <v>1818</v>
      </c>
      <c r="D164" s="5" t="s">
        <v>51</v>
      </c>
      <c r="E164" s="9" t="s">
        <v>1809</v>
      </c>
      <c r="F164" s="9" t="s">
        <v>1819</v>
      </c>
      <c r="G164" s="11" t="s">
        <v>107</v>
      </c>
      <c r="H164" s="41">
        <v>251480.5</v>
      </c>
      <c r="I164" s="41"/>
      <c r="J164" s="41"/>
      <c r="K164" s="9" t="s">
        <v>1214</v>
      </c>
      <c r="L164" s="11" t="s">
        <v>181</v>
      </c>
      <c r="M164" s="9" t="s">
        <v>1811</v>
      </c>
      <c r="N164" s="21" t="s">
        <v>1812</v>
      </c>
      <c r="O164" s="34">
        <v>45321</v>
      </c>
      <c r="P164" s="9" t="s">
        <v>57</v>
      </c>
      <c r="Q164" s="65"/>
      <c r="R164" s="65"/>
      <c r="S164" s="9">
        <v>257</v>
      </c>
      <c r="T164" s="9"/>
      <c r="U164" s="9"/>
      <c r="V164" s="9"/>
      <c r="W164" s="9"/>
      <c r="X164" s="9">
        <v>262</v>
      </c>
      <c r="Y164" s="9">
        <v>301</v>
      </c>
      <c r="Z164" s="9"/>
      <c r="AA164" s="9"/>
      <c r="AB164" s="9"/>
      <c r="AC164" s="9"/>
      <c r="AD164" s="9"/>
      <c r="AE164" s="65"/>
      <c r="AF164" s="65"/>
      <c r="AG164" s="9">
        <f t="shared" si="5"/>
        <v>3</v>
      </c>
      <c r="AH164" s="62">
        <f t="shared" si="6"/>
        <v>273.33333333333331</v>
      </c>
      <c r="AI164" s="11" t="str">
        <f>IF(AH164&gt;='Aprovados Recursos do Fundo'!$AQ$1,"APROVADO","REPROVADO")</f>
        <v>APROVADO</v>
      </c>
    </row>
    <row r="165" spans="2:35" s="64" customFormat="1" ht="39.950000000000003" hidden="1" customHeight="1" x14ac:dyDescent="0.25">
      <c r="B165" s="5">
        <v>234</v>
      </c>
      <c r="C165" s="6" t="s">
        <v>1209</v>
      </c>
      <c r="D165" s="5" t="s">
        <v>33</v>
      </c>
      <c r="E165" s="5" t="s">
        <v>1205</v>
      </c>
      <c r="F165" s="7" t="s">
        <v>1210</v>
      </c>
      <c r="G165" s="7" t="s">
        <v>336</v>
      </c>
      <c r="H165" s="8">
        <v>1476814</v>
      </c>
      <c r="I165" s="8"/>
      <c r="J165" s="8"/>
      <c r="K165" s="7" t="s">
        <v>73</v>
      </c>
      <c r="L165" s="5" t="s">
        <v>74</v>
      </c>
      <c r="M165" s="7" t="s">
        <v>1207</v>
      </c>
      <c r="N165" s="9" t="s">
        <v>1208</v>
      </c>
      <c r="O165" s="10">
        <v>45320</v>
      </c>
      <c r="P165" s="7" t="s">
        <v>67</v>
      </c>
      <c r="Q165" s="7"/>
      <c r="R165" s="65"/>
      <c r="S165" s="7">
        <v>330</v>
      </c>
      <c r="T165" s="9">
        <v>149</v>
      </c>
      <c r="U165" s="9"/>
      <c r="V165" s="9"/>
      <c r="W165" s="9"/>
      <c r="X165" s="9">
        <v>340</v>
      </c>
      <c r="Y165" s="9"/>
      <c r="Z165" s="9"/>
      <c r="AA165" s="9"/>
      <c r="AB165" s="9"/>
      <c r="AC165" s="9"/>
      <c r="AD165" s="9"/>
      <c r="AE165" s="9"/>
      <c r="AF165" s="9"/>
      <c r="AG165" s="9">
        <f t="shared" si="5"/>
        <v>3</v>
      </c>
      <c r="AH165" s="62">
        <f t="shared" si="6"/>
        <v>273</v>
      </c>
      <c r="AI165" s="11" t="str">
        <f>IF(AH165&gt;=$AI$1,"APROVADO","REPROVADO")</f>
        <v>APROVADO</v>
      </c>
    </row>
    <row r="166" spans="2:35" s="64" customFormat="1" ht="39.950000000000003" hidden="1" customHeight="1" x14ac:dyDescent="0.25">
      <c r="B166" s="5">
        <v>390</v>
      </c>
      <c r="C166" s="27" t="s">
        <v>1958</v>
      </c>
      <c r="D166" s="5" t="s">
        <v>33</v>
      </c>
      <c r="E166" s="58" t="s">
        <v>1959</v>
      </c>
      <c r="F166" s="7" t="s">
        <v>1960</v>
      </c>
      <c r="G166" s="7" t="s">
        <v>107</v>
      </c>
      <c r="H166" s="8">
        <v>1851640</v>
      </c>
      <c r="I166" s="8"/>
      <c r="J166" s="8"/>
      <c r="K166" s="7" t="s">
        <v>290</v>
      </c>
      <c r="L166" s="7" t="s">
        <v>154</v>
      </c>
      <c r="M166" s="7" t="s">
        <v>1961</v>
      </c>
      <c r="N166" s="9" t="s">
        <v>1962</v>
      </c>
      <c r="O166" s="10">
        <v>45322</v>
      </c>
      <c r="P166" s="7" t="s">
        <v>41</v>
      </c>
      <c r="Q166" s="7"/>
      <c r="R166" s="65"/>
      <c r="S166" s="7">
        <v>332</v>
      </c>
      <c r="T166" s="9">
        <v>239</v>
      </c>
      <c r="U166" s="9"/>
      <c r="V166" s="9">
        <v>247</v>
      </c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>
        <f t="shared" si="5"/>
        <v>3</v>
      </c>
      <c r="AH166" s="62">
        <f t="shared" si="6"/>
        <v>272.66666666666669</v>
      </c>
      <c r="AI166" s="11" t="str">
        <f>IF(AH166&gt;=$AI$1,"APROVADO","REPROVADO")</f>
        <v>APROVADO</v>
      </c>
    </row>
    <row r="167" spans="2:35" s="64" customFormat="1" ht="39.950000000000003" hidden="1" customHeight="1" x14ac:dyDescent="0.25">
      <c r="B167" s="5">
        <v>95</v>
      </c>
      <c r="C167" s="27" t="s">
        <v>546</v>
      </c>
      <c r="D167" s="5" t="s">
        <v>33</v>
      </c>
      <c r="E167" s="5" t="s">
        <v>547</v>
      </c>
      <c r="F167" s="7" t="s">
        <v>548</v>
      </c>
      <c r="G167" s="7" t="s">
        <v>36</v>
      </c>
      <c r="H167" s="8">
        <v>40000</v>
      </c>
      <c r="I167" s="8"/>
      <c r="J167" s="8"/>
      <c r="K167" s="7" t="s">
        <v>538</v>
      </c>
      <c r="L167" s="7" t="s">
        <v>115</v>
      </c>
      <c r="M167" s="7" t="s">
        <v>549</v>
      </c>
      <c r="N167" s="9" t="s">
        <v>550</v>
      </c>
      <c r="O167" s="10">
        <v>45307</v>
      </c>
      <c r="P167" s="7" t="s">
        <v>41</v>
      </c>
      <c r="Q167" s="7"/>
      <c r="R167" s="7"/>
      <c r="S167" s="9">
        <v>273</v>
      </c>
      <c r="T167" s="9">
        <v>275</v>
      </c>
      <c r="U167" s="9">
        <v>270</v>
      </c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>
        <f t="shared" si="5"/>
        <v>3</v>
      </c>
      <c r="AH167" s="62">
        <f t="shared" si="6"/>
        <v>272.66666666666669</v>
      </c>
      <c r="AI167" s="11" t="str">
        <f>IF(AH167&gt;='Aprovados Recursos do Fundo'!$AQ$1,"APROVADO","REPROVADO")</f>
        <v>APROVADO</v>
      </c>
    </row>
    <row r="168" spans="2:35" s="64" customFormat="1" ht="39.950000000000003" hidden="1" customHeight="1" x14ac:dyDescent="0.25">
      <c r="B168" s="5">
        <v>325</v>
      </c>
      <c r="C168" s="27" t="s">
        <v>1671</v>
      </c>
      <c r="D168" s="5" t="s">
        <v>33</v>
      </c>
      <c r="E168" s="58" t="s">
        <v>1667</v>
      </c>
      <c r="F168" s="7" t="s">
        <v>1672</v>
      </c>
      <c r="G168" s="7" t="s">
        <v>300</v>
      </c>
      <c r="H168" s="8">
        <v>72000</v>
      </c>
      <c r="I168" s="8"/>
      <c r="J168" s="8"/>
      <c r="K168" s="7" t="s">
        <v>538</v>
      </c>
      <c r="L168" s="7" t="s">
        <v>115</v>
      </c>
      <c r="M168" s="7" t="s">
        <v>1669</v>
      </c>
      <c r="N168" s="9" t="s">
        <v>1670</v>
      </c>
      <c r="O168" s="10">
        <v>45321</v>
      </c>
      <c r="P168" s="7" t="s">
        <v>41</v>
      </c>
      <c r="Q168" s="7"/>
      <c r="R168" s="65"/>
      <c r="S168" s="7">
        <v>320</v>
      </c>
      <c r="T168" s="9">
        <v>243</v>
      </c>
      <c r="U168" s="9"/>
      <c r="V168" s="9"/>
      <c r="W168" s="9"/>
      <c r="X168" s="9"/>
      <c r="Y168" s="9"/>
      <c r="Z168" s="9"/>
      <c r="AA168" s="9"/>
      <c r="AB168" s="9">
        <v>254</v>
      </c>
      <c r="AC168" s="9"/>
      <c r="AD168" s="9"/>
      <c r="AE168" s="9"/>
      <c r="AF168" s="9"/>
      <c r="AG168" s="9">
        <f t="shared" si="5"/>
        <v>3</v>
      </c>
      <c r="AH168" s="62">
        <f t="shared" si="6"/>
        <v>272.33333333333331</v>
      </c>
      <c r="AI168" s="11" t="str">
        <f>IF(AH168&gt;=$AI$1,"APROVADO","REPROVADO")</f>
        <v>APROVADO</v>
      </c>
    </row>
    <row r="169" spans="2:35" s="64" customFormat="1" ht="39.950000000000003" hidden="1" customHeight="1" x14ac:dyDescent="0.25">
      <c r="B169" s="5">
        <v>69</v>
      </c>
      <c r="C169" s="6" t="s">
        <v>410</v>
      </c>
      <c r="D169" s="5" t="s">
        <v>33</v>
      </c>
      <c r="E169" s="5" t="s">
        <v>411</v>
      </c>
      <c r="F169" s="7" t="s">
        <v>412</v>
      </c>
      <c r="G169" s="7" t="s">
        <v>36</v>
      </c>
      <c r="H169" s="8">
        <v>44934</v>
      </c>
      <c r="I169" s="8"/>
      <c r="J169" s="8"/>
      <c r="K169" s="7" t="s">
        <v>413</v>
      </c>
      <c r="L169" s="7" t="s">
        <v>47</v>
      </c>
      <c r="M169" s="7" t="s">
        <v>414</v>
      </c>
      <c r="N169" s="23" t="s">
        <v>415</v>
      </c>
      <c r="O169" s="10">
        <v>45306</v>
      </c>
      <c r="P169" s="7" t="s">
        <v>67</v>
      </c>
      <c r="Q169" s="7" t="s">
        <v>98</v>
      </c>
      <c r="R169" s="7" t="s">
        <v>416</v>
      </c>
      <c r="S169" s="9"/>
      <c r="T169" s="9">
        <v>212</v>
      </c>
      <c r="U169" s="9"/>
      <c r="V169" s="9"/>
      <c r="W169" s="9"/>
      <c r="X169" s="9"/>
      <c r="Y169" s="9"/>
      <c r="Z169" s="9">
        <v>307</v>
      </c>
      <c r="AA169" s="9">
        <v>298</v>
      </c>
      <c r="AB169" s="9"/>
      <c r="AC169" s="9"/>
      <c r="AD169" s="9"/>
      <c r="AE169" s="9"/>
      <c r="AF169" s="9"/>
      <c r="AG169" s="9">
        <f t="shared" si="5"/>
        <v>3</v>
      </c>
      <c r="AH169" s="62">
        <f t="shared" si="6"/>
        <v>272.33333333333331</v>
      </c>
      <c r="AI169" s="11" t="str">
        <f>IF(AH169&gt;='Aprovados Recursos do Fundo'!$AQ$1,"APROVADO","REPROVADO")</f>
        <v>APROVADO</v>
      </c>
    </row>
    <row r="170" spans="2:35" s="64" customFormat="1" ht="39.950000000000003" hidden="1" customHeight="1" x14ac:dyDescent="0.25">
      <c r="B170" s="5">
        <v>174</v>
      </c>
      <c r="C170" s="6" t="s">
        <v>918</v>
      </c>
      <c r="D170" s="5" t="s">
        <v>33</v>
      </c>
      <c r="E170" s="5" t="s">
        <v>919</v>
      </c>
      <c r="F170" s="7" t="s">
        <v>920</v>
      </c>
      <c r="G170" s="7" t="s">
        <v>107</v>
      </c>
      <c r="H170" s="8">
        <v>200000</v>
      </c>
      <c r="I170" s="8"/>
      <c r="J170" s="8"/>
      <c r="K170" s="7" t="s">
        <v>921</v>
      </c>
      <c r="L170" s="7" t="s">
        <v>162</v>
      </c>
      <c r="M170" s="7" t="s">
        <v>922</v>
      </c>
      <c r="N170" s="9" t="s">
        <v>923</v>
      </c>
      <c r="O170" s="10">
        <v>45554</v>
      </c>
      <c r="P170" s="7" t="s">
        <v>67</v>
      </c>
      <c r="Q170" s="7"/>
      <c r="R170" s="65"/>
      <c r="S170" s="9"/>
      <c r="T170" s="9">
        <v>228</v>
      </c>
      <c r="U170" s="9"/>
      <c r="V170" s="9"/>
      <c r="W170" s="9"/>
      <c r="X170" s="9"/>
      <c r="Y170" s="9"/>
      <c r="Z170" s="9">
        <v>297</v>
      </c>
      <c r="AA170" s="9">
        <v>292</v>
      </c>
      <c r="AB170" s="9"/>
      <c r="AC170" s="9"/>
      <c r="AD170" s="9"/>
      <c r="AE170" s="9"/>
      <c r="AF170" s="9"/>
      <c r="AG170" s="9">
        <f t="shared" si="5"/>
        <v>3</v>
      </c>
      <c r="AH170" s="62">
        <f t="shared" si="6"/>
        <v>272.33333333333331</v>
      </c>
      <c r="AI170" s="11" t="str">
        <f>IF(AH170&gt;='Aprovados Recursos do Fundo'!$AQ$1,"APROVADO","REPROVADO")</f>
        <v>APROVADO</v>
      </c>
    </row>
    <row r="171" spans="2:35" s="64" customFormat="1" ht="39.950000000000003" hidden="1" customHeight="1" x14ac:dyDescent="0.25">
      <c r="B171" s="5">
        <v>312</v>
      </c>
      <c r="C171" s="6" t="s">
        <v>1605</v>
      </c>
      <c r="D171" s="5" t="s">
        <v>33</v>
      </c>
      <c r="E171" s="5" t="s">
        <v>1606</v>
      </c>
      <c r="F171" s="5" t="s">
        <v>1607</v>
      </c>
      <c r="G171" s="7" t="s">
        <v>36</v>
      </c>
      <c r="H171" s="8">
        <v>436453.9</v>
      </c>
      <c r="I171" s="8"/>
      <c r="J171" s="8"/>
      <c r="K171" s="7" t="s">
        <v>859</v>
      </c>
      <c r="L171" s="7" t="s">
        <v>181</v>
      </c>
      <c r="M171" s="7" t="s">
        <v>1608</v>
      </c>
      <c r="N171" s="9" t="s">
        <v>1609</v>
      </c>
      <c r="O171" s="10">
        <v>45321</v>
      </c>
      <c r="P171" s="5" t="s">
        <v>67</v>
      </c>
      <c r="Q171" s="7"/>
      <c r="R171" s="65"/>
      <c r="S171" s="5">
        <v>340</v>
      </c>
      <c r="T171" s="9">
        <v>183</v>
      </c>
      <c r="U171" s="9"/>
      <c r="V171" s="9"/>
      <c r="W171" s="9"/>
      <c r="X171" s="9"/>
      <c r="Y171" s="9">
        <v>294</v>
      </c>
      <c r="Z171" s="9"/>
      <c r="AA171" s="9"/>
      <c r="AB171" s="9"/>
      <c r="AC171" s="9"/>
      <c r="AD171" s="9"/>
      <c r="AE171" s="9"/>
      <c r="AF171" s="9"/>
      <c r="AG171" s="9">
        <f t="shared" si="5"/>
        <v>3</v>
      </c>
      <c r="AH171" s="62">
        <f t="shared" si="6"/>
        <v>272.33333333333331</v>
      </c>
      <c r="AI171" s="11" t="str">
        <f>IF(AH171&gt;='Aprovados Recursos do Fundo'!$AQ$1,"APROVADO","REPROVADO")</f>
        <v>APROVADO</v>
      </c>
    </row>
    <row r="172" spans="2:35" s="64" customFormat="1" ht="39.950000000000003" hidden="1" customHeight="1" x14ac:dyDescent="0.25">
      <c r="B172" s="5">
        <v>10</v>
      </c>
      <c r="C172" s="6" t="s">
        <v>101</v>
      </c>
      <c r="D172" s="5" t="s">
        <v>33</v>
      </c>
      <c r="E172" s="5" t="s">
        <v>92</v>
      </c>
      <c r="F172" s="5" t="s">
        <v>102</v>
      </c>
      <c r="G172" s="5" t="s">
        <v>36</v>
      </c>
      <c r="H172" s="15">
        <v>1086393.5900000001</v>
      </c>
      <c r="I172" s="15"/>
      <c r="J172" s="15"/>
      <c r="K172" s="7" t="s">
        <v>94</v>
      </c>
      <c r="L172" s="5" t="s">
        <v>95</v>
      </c>
      <c r="M172" s="5" t="s">
        <v>96</v>
      </c>
      <c r="N172" s="5" t="s">
        <v>103</v>
      </c>
      <c r="O172" s="10">
        <v>45296</v>
      </c>
      <c r="P172" s="7" t="s">
        <v>67</v>
      </c>
      <c r="Q172" s="7" t="s">
        <v>98</v>
      </c>
      <c r="R172" s="7"/>
      <c r="S172" s="9"/>
      <c r="T172" s="9">
        <v>146</v>
      </c>
      <c r="U172" s="9"/>
      <c r="V172" s="9"/>
      <c r="W172" s="9"/>
      <c r="X172" s="9">
        <v>340</v>
      </c>
      <c r="Y172" s="9">
        <v>330</v>
      </c>
      <c r="Z172" s="9"/>
      <c r="AA172" s="9"/>
      <c r="AB172" s="9"/>
      <c r="AC172" s="9"/>
      <c r="AD172" s="9"/>
      <c r="AE172" s="9"/>
      <c r="AF172" s="9"/>
      <c r="AG172" s="9">
        <f t="shared" si="5"/>
        <v>3</v>
      </c>
      <c r="AH172" s="62">
        <f t="shared" si="6"/>
        <v>272</v>
      </c>
      <c r="AI172" s="11" t="str">
        <f>IF(AH172&gt;=$AI$1,"APROVADO","REPROVADO")</f>
        <v>APROVADO</v>
      </c>
    </row>
    <row r="173" spans="2:35" s="64" customFormat="1" ht="39.950000000000003" hidden="1" customHeight="1" x14ac:dyDescent="0.25">
      <c r="B173" s="5">
        <v>63</v>
      </c>
      <c r="C173" s="6" t="s">
        <v>376</v>
      </c>
      <c r="D173" s="5" t="s">
        <v>33</v>
      </c>
      <c r="E173" s="5" t="s">
        <v>172</v>
      </c>
      <c r="F173" s="7" t="s">
        <v>377</v>
      </c>
      <c r="G173" s="7" t="s">
        <v>36</v>
      </c>
      <c r="H173" s="8">
        <v>67450</v>
      </c>
      <c r="I173" s="8"/>
      <c r="J173" s="8"/>
      <c r="K173" s="7" t="s">
        <v>378</v>
      </c>
      <c r="L173" s="7" t="s">
        <v>115</v>
      </c>
      <c r="M173" s="7" t="s">
        <v>379</v>
      </c>
      <c r="N173" s="9" t="s">
        <v>380</v>
      </c>
      <c r="O173" s="10">
        <v>45306</v>
      </c>
      <c r="P173" s="7" t="s">
        <v>41</v>
      </c>
      <c r="Q173" s="7"/>
      <c r="R173" s="7"/>
      <c r="S173" s="9">
        <v>340</v>
      </c>
      <c r="T173" s="9">
        <v>239</v>
      </c>
      <c r="U173" s="9"/>
      <c r="V173" s="9">
        <v>237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>
        <f t="shared" si="5"/>
        <v>3</v>
      </c>
      <c r="AH173" s="62">
        <f t="shared" si="6"/>
        <v>272</v>
      </c>
      <c r="AI173" s="11" t="str">
        <f>IF(AH173&gt;='Aprovados Recursos do Fundo'!$AQ$1,"APROVADO","REPROVADO")</f>
        <v>APROVADO</v>
      </c>
    </row>
    <row r="174" spans="2:35" s="64" customFormat="1" ht="39.950000000000003" hidden="1" customHeight="1" x14ac:dyDescent="0.25">
      <c r="B174" s="5">
        <v>177</v>
      </c>
      <c r="C174" s="27" t="s">
        <v>935</v>
      </c>
      <c r="D174" s="5" t="s">
        <v>33</v>
      </c>
      <c r="E174" s="5" t="s">
        <v>936</v>
      </c>
      <c r="F174" s="7" t="s">
        <v>937</v>
      </c>
      <c r="G174" s="7" t="s">
        <v>36</v>
      </c>
      <c r="H174" s="8">
        <v>74967.12</v>
      </c>
      <c r="I174" s="8"/>
      <c r="J174" s="8"/>
      <c r="K174" s="7" t="s">
        <v>938</v>
      </c>
      <c r="L174" s="7" t="s">
        <v>115</v>
      </c>
      <c r="M174" s="7" t="s">
        <v>939</v>
      </c>
      <c r="N174" s="9" t="s">
        <v>940</v>
      </c>
      <c r="O174" s="10">
        <v>45314</v>
      </c>
      <c r="P174" s="7" t="s">
        <v>41</v>
      </c>
      <c r="Q174" s="7"/>
      <c r="R174" s="7"/>
      <c r="S174" s="9">
        <v>332</v>
      </c>
      <c r="T174" s="9">
        <v>153</v>
      </c>
      <c r="U174" s="9"/>
      <c r="V174" s="9"/>
      <c r="W174" s="9"/>
      <c r="X174" s="9"/>
      <c r="Y174" s="9"/>
      <c r="Z174" s="9"/>
      <c r="AA174" s="9"/>
      <c r="AB174" s="9"/>
      <c r="AC174" s="9"/>
      <c r="AD174" s="9">
        <v>330</v>
      </c>
      <c r="AE174" s="9"/>
      <c r="AF174" s="9"/>
      <c r="AG174" s="9">
        <f t="shared" si="5"/>
        <v>3</v>
      </c>
      <c r="AH174" s="62">
        <f t="shared" si="6"/>
        <v>271.66666666666669</v>
      </c>
      <c r="AI174" s="11" t="str">
        <f>IF(AH174&gt;='Aprovados Recursos do Fundo'!$AQ$1,"APROVADO","REPROVADO")</f>
        <v>APROVADO</v>
      </c>
    </row>
    <row r="175" spans="2:35" s="64" customFormat="1" ht="39.950000000000003" hidden="1" customHeight="1" x14ac:dyDescent="0.25">
      <c r="B175" s="5">
        <v>244</v>
      </c>
      <c r="C175" s="22" t="s">
        <v>1256</v>
      </c>
      <c r="D175" s="5" t="s">
        <v>51</v>
      </c>
      <c r="E175" s="9" t="s">
        <v>1257</v>
      </c>
      <c r="F175" s="9" t="s">
        <v>1258</v>
      </c>
      <c r="G175" s="11" t="s">
        <v>36</v>
      </c>
      <c r="H175" s="41">
        <v>73240</v>
      </c>
      <c r="I175" s="41"/>
      <c r="J175" s="41"/>
      <c r="K175" s="9" t="s">
        <v>153</v>
      </c>
      <c r="L175" s="11" t="s">
        <v>154</v>
      </c>
      <c r="M175" s="11" t="s">
        <v>1259</v>
      </c>
      <c r="N175" s="21" t="s">
        <v>1260</v>
      </c>
      <c r="O175" s="34">
        <v>45320</v>
      </c>
      <c r="P175" s="9" t="s">
        <v>41</v>
      </c>
      <c r="Q175" s="9"/>
      <c r="R175" s="65"/>
      <c r="S175" s="9">
        <v>340</v>
      </c>
      <c r="T175" s="9">
        <v>212</v>
      </c>
      <c r="U175" s="9">
        <v>262</v>
      </c>
      <c r="V175" s="9"/>
      <c r="W175" s="9"/>
      <c r="X175" s="9"/>
      <c r="Y175" s="9"/>
      <c r="Z175" s="9"/>
      <c r="AA175" s="9"/>
      <c r="AB175" s="9"/>
      <c r="AC175" s="9"/>
      <c r="AD175" s="9"/>
      <c r="AE175" s="65"/>
      <c r="AF175" s="65"/>
      <c r="AG175" s="9">
        <f t="shared" si="5"/>
        <v>3</v>
      </c>
      <c r="AH175" s="62">
        <f t="shared" si="6"/>
        <v>271.33333333333331</v>
      </c>
      <c r="AI175" s="11" t="str">
        <f>IF(AH175&gt;='Aprovados Recursos do Fundo'!$AQ$1,"APROVADO","REPROVADO")</f>
        <v>APROVADO</v>
      </c>
    </row>
    <row r="176" spans="2:35" s="64" customFormat="1" ht="39.950000000000003" hidden="1" customHeight="1" x14ac:dyDescent="0.25">
      <c r="B176" s="5">
        <v>133</v>
      </c>
      <c r="C176" s="22" t="s">
        <v>716</v>
      </c>
      <c r="D176" s="5" t="s">
        <v>51</v>
      </c>
      <c r="E176" s="9" t="s">
        <v>712</v>
      </c>
      <c r="F176" s="9" t="s">
        <v>717</v>
      </c>
      <c r="G176" s="11" t="s">
        <v>72</v>
      </c>
      <c r="H176" s="41">
        <v>324000</v>
      </c>
      <c r="I176" s="41"/>
      <c r="J176" s="41"/>
      <c r="K176" s="9" t="s">
        <v>701</v>
      </c>
      <c r="L176" s="11" t="s">
        <v>95</v>
      </c>
      <c r="M176" s="9" t="s">
        <v>718</v>
      </c>
      <c r="N176" s="9" t="s">
        <v>719</v>
      </c>
      <c r="O176" s="34">
        <v>45308</v>
      </c>
      <c r="P176" s="9" t="s">
        <v>41</v>
      </c>
      <c r="Q176" s="9"/>
      <c r="R176" s="9"/>
      <c r="S176" s="9">
        <v>285</v>
      </c>
      <c r="T176" s="9">
        <v>268</v>
      </c>
      <c r="U176" s="9"/>
      <c r="V176" s="9"/>
      <c r="W176" s="9">
        <v>260</v>
      </c>
      <c r="X176" s="9"/>
      <c r="Y176" s="9"/>
      <c r="Z176" s="9"/>
      <c r="AA176" s="9"/>
      <c r="AB176" s="9"/>
      <c r="AC176" s="9"/>
      <c r="AD176" s="9"/>
      <c r="AE176" s="9"/>
      <c r="AF176" s="9"/>
      <c r="AG176" s="9">
        <f t="shared" si="5"/>
        <v>3</v>
      </c>
      <c r="AH176" s="62">
        <f t="shared" si="6"/>
        <v>271</v>
      </c>
      <c r="AI176" s="11" t="str">
        <f>IF(AH176&gt;=$AI$1,"APROVADO","REPROVADO")</f>
        <v>APROVADO</v>
      </c>
    </row>
    <row r="177" spans="2:35" s="64" customFormat="1" ht="39.950000000000003" hidden="1" customHeight="1" x14ac:dyDescent="0.25">
      <c r="B177" s="5">
        <v>246</v>
      </c>
      <c r="C177" s="22" t="s">
        <v>1266</v>
      </c>
      <c r="D177" s="5" t="s">
        <v>51</v>
      </c>
      <c r="E177" s="9" t="s">
        <v>1267</v>
      </c>
      <c r="F177" s="9" t="s">
        <v>1268</v>
      </c>
      <c r="G177" s="11" t="s">
        <v>107</v>
      </c>
      <c r="H177" s="41">
        <v>572800</v>
      </c>
      <c r="I177" s="41"/>
      <c r="J177" s="41"/>
      <c r="K177" s="9" t="s">
        <v>1269</v>
      </c>
      <c r="L177" s="11" t="s">
        <v>154</v>
      </c>
      <c r="M177" s="11" t="s">
        <v>1270</v>
      </c>
      <c r="N177" s="21" t="s">
        <v>1271</v>
      </c>
      <c r="O177" s="34">
        <v>45320</v>
      </c>
      <c r="P177" s="9" t="s">
        <v>41</v>
      </c>
      <c r="Q177" s="9"/>
      <c r="R177" s="65"/>
      <c r="S177" s="9">
        <v>309</v>
      </c>
      <c r="T177" s="9">
        <v>164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>
        <v>340</v>
      </c>
      <c r="AF177" s="65"/>
      <c r="AG177" s="9">
        <f t="shared" si="5"/>
        <v>3</v>
      </c>
      <c r="AH177" s="62">
        <f t="shared" si="6"/>
        <v>271</v>
      </c>
      <c r="AI177" s="11" t="str">
        <f>IF(AH177&gt;='Aprovados Recursos do Fundo'!$AQ$1,"APROVADO","REPROVADO")</f>
        <v>APROVADO</v>
      </c>
    </row>
    <row r="178" spans="2:35" s="64" customFormat="1" ht="39.950000000000003" hidden="1" customHeight="1" x14ac:dyDescent="0.25">
      <c r="B178" s="5">
        <v>278</v>
      </c>
      <c r="C178" s="27" t="s">
        <v>1429</v>
      </c>
      <c r="D178" s="5" t="s">
        <v>33</v>
      </c>
      <c r="E178" s="5" t="s">
        <v>1430</v>
      </c>
      <c r="F178" s="7" t="s">
        <v>1431</v>
      </c>
      <c r="G178" s="7" t="s">
        <v>36</v>
      </c>
      <c r="H178" s="8">
        <v>136960</v>
      </c>
      <c r="I178" s="8"/>
      <c r="J178" s="8"/>
      <c r="K178" s="7" t="s">
        <v>1426</v>
      </c>
      <c r="L178" s="7" t="s">
        <v>154</v>
      </c>
      <c r="M178" s="7" t="s">
        <v>1432</v>
      </c>
      <c r="N178" s="9" t="s">
        <v>1433</v>
      </c>
      <c r="O178" s="10">
        <v>45320</v>
      </c>
      <c r="P178" s="7" t="s">
        <v>41</v>
      </c>
      <c r="Q178" s="7"/>
      <c r="R178" s="65"/>
      <c r="S178" s="7">
        <v>340</v>
      </c>
      <c r="T178" s="9">
        <v>141</v>
      </c>
      <c r="U178" s="9"/>
      <c r="V178" s="9"/>
      <c r="W178" s="9"/>
      <c r="X178" s="9"/>
      <c r="Y178" s="9"/>
      <c r="Z178" s="9"/>
      <c r="AA178" s="9"/>
      <c r="AB178" s="9"/>
      <c r="AC178" s="9"/>
      <c r="AD178" s="9">
        <v>332</v>
      </c>
      <c r="AE178" s="9"/>
      <c r="AF178" s="9"/>
      <c r="AG178" s="9">
        <f t="shared" si="5"/>
        <v>3</v>
      </c>
      <c r="AH178" s="62">
        <f t="shared" si="6"/>
        <v>271</v>
      </c>
      <c r="AI178" s="11" t="str">
        <f>IF(AH178&gt;='Aprovados Recursos do Fundo'!$AQ$1,"APROVADO","REPROVADO")</f>
        <v>APROVADO</v>
      </c>
    </row>
    <row r="179" spans="2:35" s="64" customFormat="1" ht="39.950000000000003" hidden="1" customHeight="1" x14ac:dyDescent="0.25">
      <c r="B179" s="5">
        <v>341</v>
      </c>
      <c r="C179" s="6" t="s">
        <v>1742</v>
      </c>
      <c r="D179" s="5" t="s">
        <v>33</v>
      </c>
      <c r="E179" s="5" t="s">
        <v>1736</v>
      </c>
      <c r="F179" s="7" t="s">
        <v>1743</v>
      </c>
      <c r="G179" s="5" t="s">
        <v>174</v>
      </c>
      <c r="H179" s="17">
        <v>65000</v>
      </c>
      <c r="I179" s="17"/>
      <c r="J179" s="17"/>
      <c r="K179" s="7" t="s">
        <v>1514</v>
      </c>
      <c r="L179" s="5" t="s">
        <v>95</v>
      </c>
      <c r="M179" s="5" t="s">
        <v>1738</v>
      </c>
      <c r="N179" s="31" t="s">
        <v>1739</v>
      </c>
      <c r="O179" s="10">
        <v>45321</v>
      </c>
      <c r="P179" s="7" t="s">
        <v>67</v>
      </c>
      <c r="Q179" s="7"/>
      <c r="R179" s="65"/>
      <c r="S179" s="7">
        <v>289</v>
      </c>
      <c r="T179" s="9">
        <v>256</v>
      </c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>
        <v>268</v>
      </c>
      <c r="AG179" s="9">
        <f t="shared" si="5"/>
        <v>3</v>
      </c>
      <c r="AH179" s="62">
        <f t="shared" si="6"/>
        <v>271</v>
      </c>
      <c r="AI179" s="11" t="str">
        <f>IF(AH179&gt;='Aprovados Recursos do Fundo'!$AQ$1,"APROVADO","REPROVADO")</f>
        <v>APROVADO</v>
      </c>
    </row>
    <row r="180" spans="2:35" s="64" customFormat="1" ht="39.950000000000003" hidden="1" customHeight="1" x14ac:dyDescent="0.25">
      <c r="B180" s="5">
        <v>396</v>
      </c>
      <c r="C180" s="6" t="s">
        <v>1981</v>
      </c>
      <c r="D180" s="5" t="s">
        <v>33</v>
      </c>
      <c r="E180" s="58" t="s">
        <v>1946</v>
      </c>
      <c r="F180" s="5" t="s">
        <v>1982</v>
      </c>
      <c r="G180" s="7" t="s">
        <v>107</v>
      </c>
      <c r="H180" s="8">
        <v>148800</v>
      </c>
      <c r="I180" s="8"/>
      <c r="J180" s="8"/>
      <c r="K180" s="7" t="s">
        <v>728</v>
      </c>
      <c r="L180" s="7" t="s">
        <v>123</v>
      </c>
      <c r="M180" s="7" t="s">
        <v>1948</v>
      </c>
      <c r="N180" s="9" t="s">
        <v>1949</v>
      </c>
      <c r="O180" s="10">
        <v>45322</v>
      </c>
      <c r="P180" s="5" t="s">
        <v>67</v>
      </c>
      <c r="Q180" s="7"/>
      <c r="R180" s="65"/>
      <c r="S180" s="5">
        <v>299</v>
      </c>
      <c r="T180" s="9">
        <v>229</v>
      </c>
      <c r="U180" s="9"/>
      <c r="V180" s="9"/>
      <c r="W180" s="9"/>
      <c r="X180" s="9"/>
      <c r="Y180" s="9">
        <v>284</v>
      </c>
      <c r="Z180" s="9"/>
      <c r="AA180" s="9"/>
      <c r="AB180" s="9"/>
      <c r="AC180" s="9"/>
      <c r="AD180" s="9"/>
      <c r="AE180" s="9"/>
      <c r="AF180" s="9"/>
      <c r="AG180" s="9">
        <f t="shared" si="5"/>
        <v>3</v>
      </c>
      <c r="AH180" s="62">
        <f t="shared" si="6"/>
        <v>270.66666666666669</v>
      </c>
      <c r="AI180" s="11" t="str">
        <f>IF(AH180&gt;=$AI$1,"APROVADO","REPROVADO")</f>
        <v>APROVADO</v>
      </c>
    </row>
    <row r="181" spans="2:35" s="64" customFormat="1" ht="39.950000000000003" hidden="1" customHeight="1" x14ac:dyDescent="0.25">
      <c r="B181" s="5">
        <v>141</v>
      </c>
      <c r="C181" s="22" t="s">
        <v>753</v>
      </c>
      <c r="D181" s="5" t="s">
        <v>51</v>
      </c>
      <c r="E181" s="9" t="s">
        <v>754</v>
      </c>
      <c r="F181" s="11" t="s">
        <v>755</v>
      </c>
      <c r="G181" s="11" t="s">
        <v>36</v>
      </c>
      <c r="H181" s="41">
        <v>50000</v>
      </c>
      <c r="I181" s="41"/>
      <c r="J181" s="41"/>
      <c r="K181" s="9" t="s">
        <v>756</v>
      </c>
      <c r="L181" s="11" t="s">
        <v>47</v>
      </c>
      <c r="M181" s="9" t="s">
        <v>757</v>
      </c>
      <c r="N181" s="9" t="s">
        <v>719</v>
      </c>
      <c r="O181" s="34">
        <v>45308</v>
      </c>
      <c r="P181" s="9" t="s">
        <v>41</v>
      </c>
      <c r="Q181" s="11"/>
      <c r="R181" s="9"/>
      <c r="S181" s="9">
        <v>323</v>
      </c>
      <c r="T181" s="9">
        <v>248</v>
      </c>
      <c r="U181" s="9"/>
      <c r="V181" s="9"/>
      <c r="W181" s="9">
        <v>239</v>
      </c>
      <c r="X181" s="9"/>
      <c r="Y181" s="9"/>
      <c r="Z181" s="9"/>
      <c r="AA181" s="9"/>
      <c r="AB181" s="9"/>
      <c r="AC181" s="9"/>
      <c r="AD181" s="9"/>
      <c r="AE181" s="9"/>
      <c r="AF181" s="9"/>
      <c r="AG181" s="9">
        <f t="shared" si="5"/>
        <v>3</v>
      </c>
      <c r="AH181" s="62">
        <f t="shared" si="6"/>
        <v>270</v>
      </c>
      <c r="AI181" s="11" t="str">
        <f>IF(AH181&gt;='Aprovados Recursos do Fundo'!$AQ$1,"APROVADO","REPROVADO")</f>
        <v>APROVADO</v>
      </c>
    </row>
    <row r="182" spans="2:35" s="64" customFormat="1" ht="39.950000000000003" hidden="1" customHeight="1" x14ac:dyDescent="0.25">
      <c r="B182" s="5">
        <v>482</v>
      </c>
      <c r="C182" s="22" t="s">
        <v>2350</v>
      </c>
      <c r="D182" s="5" t="s">
        <v>51</v>
      </c>
      <c r="E182" s="9" t="s">
        <v>2351</v>
      </c>
      <c r="F182" s="11" t="s">
        <v>2352</v>
      </c>
      <c r="G182" s="11" t="s">
        <v>36</v>
      </c>
      <c r="H182" s="41">
        <v>350000</v>
      </c>
      <c r="I182" s="41"/>
      <c r="J182" s="41"/>
      <c r="K182" s="9" t="s">
        <v>2353</v>
      </c>
      <c r="L182" s="11" t="s">
        <v>154</v>
      </c>
      <c r="M182" s="9" t="s">
        <v>2354</v>
      </c>
      <c r="N182" s="67" t="s">
        <v>2355</v>
      </c>
      <c r="O182" s="34">
        <v>45322</v>
      </c>
      <c r="P182" s="9" t="s">
        <v>41</v>
      </c>
      <c r="Q182" s="9"/>
      <c r="R182" s="65"/>
      <c r="S182" s="9">
        <v>309</v>
      </c>
      <c r="T182" s="9">
        <v>171</v>
      </c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65">
        <v>329</v>
      </c>
      <c r="AF182" s="65"/>
      <c r="AG182" s="9">
        <f t="shared" si="5"/>
        <v>3</v>
      </c>
      <c r="AH182" s="62">
        <f t="shared" si="6"/>
        <v>269.66666666666669</v>
      </c>
      <c r="AI182" s="11" t="str">
        <f>IF(AH182&gt;='Aprovados Recursos do Fundo'!$AQ$1,"APROVADO","REPROVADO")</f>
        <v>APROVADO</v>
      </c>
    </row>
    <row r="183" spans="2:35" s="64" customFormat="1" ht="39.950000000000003" hidden="1" customHeight="1" x14ac:dyDescent="0.25">
      <c r="B183" s="5">
        <v>214</v>
      </c>
      <c r="C183" s="22" t="s">
        <v>1121</v>
      </c>
      <c r="D183" s="5" t="s">
        <v>51</v>
      </c>
      <c r="E183" s="9" t="s">
        <v>1122</v>
      </c>
      <c r="F183" s="9" t="s">
        <v>1123</v>
      </c>
      <c r="G183" s="11" t="s">
        <v>36</v>
      </c>
      <c r="H183" s="41">
        <v>63561</v>
      </c>
      <c r="I183" s="41"/>
      <c r="J183" s="41"/>
      <c r="K183" s="11" t="s">
        <v>1124</v>
      </c>
      <c r="L183" s="11" t="s">
        <v>189</v>
      </c>
      <c r="M183" s="9" t="s">
        <v>1125</v>
      </c>
      <c r="N183" s="67" t="s">
        <v>1126</v>
      </c>
      <c r="O183" s="34">
        <v>45320</v>
      </c>
      <c r="P183" s="9" t="s">
        <v>41</v>
      </c>
      <c r="Q183" s="9"/>
      <c r="R183" s="65"/>
      <c r="S183" s="9">
        <v>340</v>
      </c>
      <c r="T183" s="9">
        <v>220</v>
      </c>
      <c r="U183" s="9">
        <v>248</v>
      </c>
      <c r="V183" s="9"/>
      <c r="W183" s="9"/>
      <c r="X183" s="9"/>
      <c r="Y183" s="9"/>
      <c r="Z183" s="9"/>
      <c r="AA183" s="9"/>
      <c r="AB183" s="9"/>
      <c r="AC183" s="9"/>
      <c r="AD183" s="9"/>
      <c r="AE183" s="65"/>
      <c r="AF183" s="65"/>
      <c r="AG183" s="9">
        <f t="shared" si="5"/>
        <v>3</v>
      </c>
      <c r="AH183" s="62">
        <f t="shared" si="6"/>
        <v>269.33333333333331</v>
      </c>
      <c r="AI183" s="11" t="str">
        <f>IF(AH183&gt;='Aprovados Recursos do Fundo'!$AQ$1,"APROVADO","REPROVADO")</f>
        <v>APROVADO</v>
      </c>
    </row>
    <row r="184" spans="2:35" s="64" customFormat="1" ht="39.950000000000003" hidden="1" customHeight="1" x14ac:dyDescent="0.25">
      <c r="B184" s="5">
        <v>250</v>
      </c>
      <c r="C184" s="22" t="s">
        <v>1291</v>
      </c>
      <c r="D184" s="5" t="s">
        <v>51</v>
      </c>
      <c r="E184" s="9" t="s">
        <v>1292</v>
      </c>
      <c r="F184" s="9" t="s">
        <v>1293</v>
      </c>
      <c r="G184" s="11" t="s">
        <v>36</v>
      </c>
      <c r="H184" s="41">
        <v>499505</v>
      </c>
      <c r="I184" s="41"/>
      <c r="J184" s="41"/>
      <c r="K184" s="9" t="s">
        <v>1294</v>
      </c>
      <c r="L184" s="11" t="s">
        <v>154</v>
      </c>
      <c r="M184" s="9" t="s">
        <v>1295</v>
      </c>
      <c r="N184" s="67" t="s">
        <v>1296</v>
      </c>
      <c r="O184" s="34">
        <v>45320</v>
      </c>
      <c r="P184" s="9" t="s">
        <v>41</v>
      </c>
      <c r="Q184" s="9"/>
      <c r="R184" s="65"/>
      <c r="S184" s="9">
        <v>313</v>
      </c>
      <c r="T184" s="9">
        <v>241</v>
      </c>
      <c r="U184" s="9">
        <v>254</v>
      </c>
      <c r="V184" s="9"/>
      <c r="W184" s="9"/>
      <c r="X184" s="9"/>
      <c r="Y184" s="9"/>
      <c r="Z184" s="9"/>
      <c r="AA184" s="9"/>
      <c r="AB184" s="9"/>
      <c r="AC184" s="9"/>
      <c r="AD184" s="9"/>
      <c r="AE184" s="65"/>
      <c r="AF184" s="65"/>
      <c r="AG184" s="9">
        <f t="shared" si="5"/>
        <v>3</v>
      </c>
      <c r="AH184" s="62">
        <f t="shared" si="6"/>
        <v>269.33333333333331</v>
      </c>
      <c r="AI184" s="11" t="str">
        <f>IF(AH184&gt;='Aprovados Recursos do Fundo'!$AQ$1,"APROVADO","REPROVADO")</f>
        <v>APROVADO</v>
      </c>
    </row>
    <row r="185" spans="2:35" s="64" customFormat="1" ht="39.950000000000003" hidden="1" customHeight="1" x14ac:dyDescent="0.25">
      <c r="B185" s="5">
        <v>524</v>
      </c>
      <c r="C185" s="27" t="s">
        <v>2560</v>
      </c>
      <c r="D185" s="5" t="s">
        <v>33</v>
      </c>
      <c r="E185" s="5" t="s">
        <v>2561</v>
      </c>
      <c r="F185" s="7" t="s">
        <v>2562</v>
      </c>
      <c r="G185" s="7" t="s">
        <v>336</v>
      </c>
      <c r="H185" s="8">
        <v>632086</v>
      </c>
      <c r="I185" s="8"/>
      <c r="J185" s="8"/>
      <c r="K185" s="7" t="s">
        <v>1732</v>
      </c>
      <c r="L185" s="7" t="s">
        <v>235</v>
      </c>
      <c r="M185" s="7" t="s">
        <v>2563</v>
      </c>
      <c r="N185" s="9" t="s">
        <v>2564</v>
      </c>
      <c r="O185" s="10">
        <v>45322</v>
      </c>
      <c r="P185" s="7" t="s">
        <v>41</v>
      </c>
      <c r="Q185" s="7"/>
      <c r="R185" s="7"/>
      <c r="S185" s="7">
        <v>332</v>
      </c>
      <c r="T185" s="9">
        <v>161</v>
      </c>
      <c r="U185" s="9"/>
      <c r="V185" s="9"/>
      <c r="W185" s="9"/>
      <c r="X185" s="9"/>
      <c r="Y185" s="9"/>
      <c r="Z185" s="9"/>
      <c r="AA185" s="9"/>
      <c r="AB185" s="9">
        <v>314</v>
      </c>
      <c r="AC185" s="9"/>
      <c r="AD185" s="9"/>
      <c r="AE185" s="9"/>
      <c r="AF185" s="9"/>
      <c r="AG185" s="9">
        <f t="shared" si="5"/>
        <v>3</v>
      </c>
      <c r="AH185" s="62">
        <f t="shared" si="6"/>
        <v>269</v>
      </c>
      <c r="AI185" s="11" t="str">
        <f>IF(AH185&gt;='Aprovados Recursos do Fundo'!$AQ$1,"APROVADO","REPROVADO")</f>
        <v>APROVADO</v>
      </c>
    </row>
    <row r="186" spans="2:35" s="64" customFormat="1" ht="39.950000000000003" hidden="1" customHeight="1" x14ac:dyDescent="0.25">
      <c r="B186" s="5">
        <v>376</v>
      </c>
      <c r="C186" s="6" t="s">
        <v>1893</v>
      </c>
      <c r="D186" s="5" t="s">
        <v>33</v>
      </c>
      <c r="E186" s="5" t="s">
        <v>1894</v>
      </c>
      <c r="F186" s="7" t="s">
        <v>1895</v>
      </c>
      <c r="G186" s="7" t="s">
        <v>36</v>
      </c>
      <c r="H186" s="8">
        <v>120000</v>
      </c>
      <c r="I186" s="8"/>
      <c r="J186" s="8"/>
      <c r="K186" s="7" t="s">
        <v>1896</v>
      </c>
      <c r="L186" s="7" t="s">
        <v>154</v>
      </c>
      <c r="M186" s="7" t="s">
        <v>1897</v>
      </c>
      <c r="N186" s="9" t="s">
        <v>1898</v>
      </c>
      <c r="O186" s="10">
        <v>45322</v>
      </c>
      <c r="P186" s="7" t="s">
        <v>67</v>
      </c>
      <c r="Q186" s="7"/>
      <c r="R186" s="65"/>
      <c r="S186" s="7">
        <v>267</v>
      </c>
      <c r="T186" s="9"/>
      <c r="U186" s="9"/>
      <c r="V186" s="9"/>
      <c r="W186" s="9"/>
      <c r="X186" s="9">
        <v>260</v>
      </c>
      <c r="Y186" s="9">
        <v>279</v>
      </c>
      <c r="Z186" s="9"/>
      <c r="AA186" s="9"/>
      <c r="AB186" s="9"/>
      <c r="AC186" s="9"/>
      <c r="AD186" s="9"/>
      <c r="AE186" s="9"/>
      <c r="AF186" s="9"/>
      <c r="AG186" s="9">
        <f t="shared" si="5"/>
        <v>3</v>
      </c>
      <c r="AH186" s="62">
        <f t="shared" si="6"/>
        <v>268.66666666666669</v>
      </c>
      <c r="AI186" s="11" t="str">
        <f>IF(AH186&gt;='Aprovados Recursos do Fundo'!$AQ$1,"APROVADO","REPROVADO")</f>
        <v>APROVADO</v>
      </c>
    </row>
    <row r="187" spans="2:35" s="64" customFormat="1" ht="39.950000000000003" hidden="1" customHeight="1" x14ac:dyDescent="0.25">
      <c r="B187" s="5">
        <v>527</v>
      </c>
      <c r="C187" s="6" t="s">
        <v>2576</v>
      </c>
      <c r="D187" s="5" t="s">
        <v>33</v>
      </c>
      <c r="E187" s="5" t="s">
        <v>2577</v>
      </c>
      <c r="F187" s="5" t="s">
        <v>2578</v>
      </c>
      <c r="G187" s="5" t="s">
        <v>107</v>
      </c>
      <c r="H187" s="17">
        <v>300000</v>
      </c>
      <c r="I187" s="17"/>
      <c r="J187" s="17"/>
      <c r="K187" s="7" t="s">
        <v>1637</v>
      </c>
      <c r="L187" s="7" t="s">
        <v>235</v>
      </c>
      <c r="M187" s="5" t="s">
        <v>2579</v>
      </c>
      <c r="N187" s="9" t="s">
        <v>2580</v>
      </c>
      <c r="O187" s="10">
        <v>45322</v>
      </c>
      <c r="P187" s="7" t="s">
        <v>67</v>
      </c>
      <c r="Q187" s="7" t="s">
        <v>89</v>
      </c>
      <c r="R187" s="7" t="s">
        <v>90</v>
      </c>
      <c r="S187" s="7">
        <v>298</v>
      </c>
      <c r="T187" s="9">
        <v>216</v>
      </c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>
        <v>292</v>
      </c>
      <c r="AG187" s="9">
        <f t="shared" si="5"/>
        <v>3</v>
      </c>
      <c r="AH187" s="62">
        <f t="shared" si="6"/>
        <v>268.66666666666669</v>
      </c>
      <c r="AI187" s="11" t="str">
        <f>IF(AH187&gt;='Aprovados Recursos do Fundo'!$AQ$1,"APROVADO","REPROVADO")</f>
        <v>APROVADO</v>
      </c>
    </row>
    <row r="188" spans="2:35" s="64" customFormat="1" ht="39.950000000000003" hidden="1" customHeight="1" x14ac:dyDescent="0.25">
      <c r="B188" s="5">
        <v>99</v>
      </c>
      <c r="C188" s="6" t="s">
        <v>569</v>
      </c>
      <c r="D188" s="5" t="s">
        <v>33</v>
      </c>
      <c r="E188" s="5" t="s">
        <v>565</v>
      </c>
      <c r="F188" s="7" t="s">
        <v>570</v>
      </c>
      <c r="G188" s="7" t="s">
        <v>107</v>
      </c>
      <c r="H188" s="8">
        <v>640000</v>
      </c>
      <c r="I188" s="8"/>
      <c r="J188" s="8"/>
      <c r="K188" s="7" t="s">
        <v>73</v>
      </c>
      <c r="L188" s="7" t="s">
        <v>74</v>
      </c>
      <c r="M188" s="7" t="s">
        <v>567</v>
      </c>
      <c r="N188" s="9" t="s">
        <v>568</v>
      </c>
      <c r="O188" s="10">
        <v>45307</v>
      </c>
      <c r="P188" s="7" t="s">
        <v>67</v>
      </c>
      <c r="Q188" s="7" t="s">
        <v>375</v>
      </c>
      <c r="R188" s="7"/>
      <c r="S188" s="9"/>
      <c r="T188" s="9">
        <v>149</v>
      </c>
      <c r="U188" s="9"/>
      <c r="V188" s="9"/>
      <c r="W188" s="9"/>
      <c r="X188" s="9"/>
      <c r="Y188" s="9"/>
      <c r="Z188" s="9">
        <v>316</v>
      </c>
      <c r="AA188" s="9">
        <v>340</v>
      </c>
      <c r="AB188" s="9"/>
      <c r="AC188" s="9"/>
      <c r="AD188" s="9"/>
      <c r="AE188" s="9"/>
      <c r="AF188" s="9"/>
      <c r="AG188" s="9">
        <f t="shared" si="5"/>
        <v>3</v>
      </c>
      <c r="AH188" s="62">
        <f t="shared" si="6"/>
        <v>268.33333333333331</v>
      </c>
      <c r="AI188" s="11" t="str">
        <f>IF(AH188&gt;=$AI$1,"APROVADO","REPROVADO")</f>
        <v>APROVADO</v>
      </c>
    </row>
    <row r="189" spans="2:35" s="64" customFormat="1" ht="39.950000000000003" hidden="1" customHeight="1" x14ac:dyDescent="0.25">
      <c r="B189" s="5">
        <v>172</v>
      </c>
      <c r="C189" s="6" t="s">
        <v>908</v>
      </c>
      <c r="D189" s="5" t="s">
        <v>33</v>
      </c>
      <c r="E189" s="5" t="s">
        <v>909</v>
      </c>
      <c r="F189" s="7" t="s">
        <v>910</v>
      </c>
      <c r="G189" s="7" t="s">
        <v>36</v>
      </c>
      <c r="H189" s="8">
        <v>249590</v>
      </c>
      <c r="I189" s="8"/>
      <c r="J189" s="8"/>
      <c r="K189" s="7" t="s">
        <v>73</v>
      </c>
      <c r="L189" s="7" t="s">
        <v>74</v>
      </c>
      <c r="M189" s="7" t="s">
        <v>911</v>
      </c>
      <c r="N189" s="9" t="s">
        <v>912</v>
      </c>
      <c r="O189" s="10">
        <v>45310</v>
      </c>
      <c r="P189" s="7" t="s">
        <v>67</v>
      </c>
      <c r="Q189" s="7"/>
      <c r="R189" s="65"/>
      <c r="S189" s="9"/>
      <c r="T189" s="9">
        <v>211</v>
      </c>
      <c r="U189" s="9"/>
      <c r="V189" s="9"/>
      <c r="W189" s="9"/>
      <c r="X189" s="9"/>
      <c r="Y189" s="9"/>
      <c r="Z189" s="9">
        <v>297</v>
      </c>
      <c r="AA189" s="9">
        <v>297</v>
      </c>
      <c r="AB189" s="9"/>
      <c r="AC189" s="9"/>
      <c r="AD189" s="9"/>
      <c r="AE189" s="9"/>
      <c r="AF189" s="9"/>
      <c r="AG189" s="9">
        <f t="shared" si="5"/>
        <v>3</v>
      </c>
      <c r="AH189" s="62">
        <f t="shared" si="6"/>
        <v>268.33333333333331</v>
      </c>
      <c r="AI189" s="11" t="str">
        <f>IF(AH189&gt;='Aprovados Recursos do Fundo'!$AQ$1,"APROVADO","REPROVADO")</f>
        <v>APROVADO</v>
      </c>
    </row>
    <row r="190" spans="2:35" s="64" customFormat="1" ht="39.950000000000003" hidden="1" customHeight="1" x14ac:dyDescent="0.25">
      <c r="B190" s="5">
        <v>194</v>
      </c>
      <c r="C190" s="6" t="s">
        <v>1030</v>
      </c>
      <c r="D190" s="5" t="s">
        <v>33</v>
      </c>
      <c r="E190" s="5" t="s">
        <v>1031</v>
      </c>
      <c r="F190" s="7" t="s">
        <v>1032</v>
      </c>
      <c r="G190" s="7" t="s">
        <v>36</v>
      </c>
      <c r="H190" s="8">
        <v>442500</v>
      </c>
      <c r="I190" s="8"/>
      <c r="J190" s="8"/>
      <c r="K190" s="7" t="s">
        <v>1033</v>
      </c>
      <c r="L190" s="7" t="s">
        <v>445</v>
      </c>
      <c r="M190" s="7" t="s">
        <v>1034</v>
      </c>
      <c r="N190" s="9" t="s">
        <v>1035</v>
      </c>
      <c r="O190" s="10">
        <v>45315</v>
      </c>
      <c r="P190" s="7" t="s">
        <v>67</v>
      </c>
      <c r="Q190" s="9"/>
      <c r="R190" s="65"/>
      <c r="S190" s="7">
        <v>281</v>
      </c>
      <c r="T190" s="9">
        <v>183</v>
      </c>
      <c r="U190" s="9"/>
      <c r="V190" s="9"/>
      <c r="W190" s="9"/>
      <c r="X190" s="9">
        <v>340</v>
      </c>
      <c r="Y190" s="9"/>
      <c r="Z190" s="9"/>
      <c r="AA190" s="9"/>
      <c r="AB190" s="9"/>
      <c r="AC190" s="9"/>
      <c r="AD190" s="9"/>
      <c r="AE190" s="9"/>
      <c r="AF190" s="9"/>
      <c r="AG190" s="9">
        <f t="shared" si="5"/>
        <v>3</v>
      </c>
      <c r="AH190" s="62">
        <f t="shared" si="6"/>
        <v>268</v>
      </c>
      <c r="AI190" s="11" t="str">
        <f>IF(AH190&gt;='Aprovados Recursos do Fundo'!$AQ$1,"APROVADO","REPROVADO")</f>
        <v>APROVADO</v>
      </c>
    </row>
    <row r="191" spans="2:35" s="64" customFormat="1" ht="39.950000000000003" hidden="1" customHeight="1" x14ac:dyDescent="0.25">
      <c r="B191" s="5">
        <v>3</v>
      </c>
      <c r="C191" s="6" t="s">
        <v>50</v>
      </c>
      <c r="D191" s="5" t="s">
        <v>51</v>
      </c>
      <c r="E191" s="5" t="s">
        <v>52</v>
      </c>
      <c r="F191" s="7" t="s">
        <v>53</v>
      </c>
      <c r="G191" s="7" t="s">
        <v>36</v>
      </c>
      <c r="H191" s="8">
        <v>84000</v>
      </c>
      <c r="I191" s="8"/>
      <c r="J191" s="8"/>
      <c r="K191" s="7" t="s">
        <v>54</v>
      </c>
      <c r="L191" s="7" t="s">
        <v>47</v>
      </c>
      <c r="M191" s="7" t="s">
        <v>55</v>
      </c>
      <c r="N191" s="9" t="s">
        <v>56</v>
      </c>
      <c r="O191" s="10">
        <v>45282</v>
      </c>
      <c r="P191" s="9" t="s">
        <v>57</v>
      </c>
      <c r="Q191" s="11" t="s">
        <v>58</v>
      </c>
      <c r="R191" s="9"/>
      <c r="S191" s="9">
        <v>321</v>
      </c>
      <c r="T191" s="9">
        <v>157</v>
      </c>
      <c r="U191" s="9"/>
      <c r="V191" s="9"/>
      <c r="W191" s="9"/>
      <c r="X191" s="9"/>
      <c r="Y191" s="9"/>
      <c r="Z191" s="9"/>
      <c r="AA191" s="9"/>
      <c r="AB191" s="9"/>
      <c r="AC191" s="9"/>
      <c r="AD191" s="9">
        <v>325</v>
      </c>
      <c r="AE191" s="9"/>
      <c r="AF191" s="9"/>
      <c r="AG191" s="9">
        <f t="shared" si="5"/>
        <v>3</v>
      </c>
      <c r="AH191" s="62">
        <f t="shared" si="6"/>
        <v>267.66666666666669</v>
      </c>
      <c r="AI191" s="11" t="str">
        <f>IF(AH191&gt;='Aprovados Recursos do Fundo'!$AQ$1,"APROVADO","REPROVADO")</f>
        <v>APROVADO</v>
      </c>
    </row>
    <row r="192" spans="2:35" s="64" customFormat="1" ht="39.950000000000003" hidden="1" customHeight="1" x14ac:dyDescent="0.25">
      <c r="B192" s="5">
        <v>114</v>
      </c>
      <c r="C192" s="6" t="s">
        <v>633</v>
      </c>
      <c r="D192" s="5" t="s">
        <v>33</v>
      </c>
      <c r="E192" s="5" t="s">
        <v>628</v>
      </c>
      <c r="F192" s="5" t="s">
        <v>634</v>
      </c>
      <c r="G192" s="7" t="s">
        <v>36</v>
      </c>
      <c r="H192" s="8">
        <v>200000</v>
      </c>
      <c r="I192" s="8"/>
      <c r="J192" s="8"/>
      <c r="K192" s="7" t="s">
        <v>630</v>
      </c>
      <c r="L192" s="7" t="s">
        <v>453</v>
      </c>
      <c r="M192" s="7" t="s">
        <v>635</v>
      </c>
      <c r="N192" s="9" t="s">
        <v>632</v>
      </c>
      <c r="O192" s="10">
        <v>45307</v>
      </c>
      <c r="P192" s="5" t="s">
        <v>67</v>
      </c>
      <c r="Q192" s="7" t="s">
        <v>375</v>
      </c>
      <c r="R192" s="7"/>
      <c r="S192" s="9">
        <v>298</v>
      </c>
      <c r="T192" s="9">
        <v>265</v>
      </c>
      <c r="U192" s="9">
        <v>239</v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>
        <f t="shared" si="5"/>
        <v>3</v>
      </c>
      <c r="AH192" s="62">
        <f t="shared" si="6"/>
        <v>267.33333333333331</v>
      </c>
      <c r="AI192" s="11" t="str">
        <f>IF(AH192&gt;='Aprovados Recursos do Fundo'!$AQ$1,"APROVADO","REPROVADO")</f>
        <v>APROVADO</v>
      </c>
    </row>
    <row r="193" spans="2:35" s="64" customFormat="1" ht="39.950000000000003" hidden="1" customHeight="1" x14ac:dyDescent="0.25">
      <c r="B193" s="5">
        <v>111</v>
      </c>
      <c r="C193" s="6" t="s">
        <v>620</v>
      </c>
      <c r="D193" s="5" t="s">
        <v>33</v>
      </c>
      <c r="E193" s="5" t="s">
        <v>614</v>
      </c>
      <c r="F193" s="7" t="s">
        <v>621</v>
      </c>
      <c r="G193" s="7" t="s">
        <v>36</v>
      </c>
      <c r="H193" s="8">
        <v>1919116.46</v>
      </c>
      <c r="I193" s="8"/>
      <c r="J193" s="8"/>
      <c r="K193" s="7" t="s">
        <v>596</v>
      </c>
      <c r="L193" s="7" t="s">
        <v>597</v>
      </c>
      <c r="M193" s="7" t="s">
        <v>616</v>
      </c>
      <c r="N193" s="9" t="s">
        <v>617</v>
      </c>
      <c r="O193" s="10">
        <v>45307</v>
      </c>
      <c r="P193" s="7" t="s">
        <v>67</v>
      </c>
      <c r="Q193" s="7" t="s">
        <v>98</v>
      </c>
      <c r="R193" s="7"/>
      <c r="S193" s="9"/>
      <c r="T193" s="9">
        <v>120</v>
      </c>
      <c r="U193" s="9"/>
      <c r="V193" s="9"/>
      <c r="W193" s="9"/>
      <c r="X193" s="9"/>
      <c r="Y193" s="9"/>
      <c r="Z193" s="9">
        <v>340</v>
      </c>
      <c r="AA193" s="9">
        <v>340</v>
      </c>
      <c r="AB193" s="9"/>
      <c r="AC193" s="9"/>
      <c r="AD193" s="9"/>
      <c r="AE193" s="9"/>
      <c r="AF193" s="9"/>
      <c r="AG193" s="9">
        <f t="shared" si="5"/>
        <v>3</v>
      </c>
      <c r="AH193" s="62">
        <f t="shared" si="6"/>
        <v>266.66666666666669</v>
      </c>
      <c r="AI193" s="11" t="str">
        <f>IF(AH193&gt;=$AI$1,"APROVADO","REPROVADO")</f>
        <v>APROVADO</v>
      </c>
    </row>
    <row r="194" spans="2:35" s="64" customFormat="1" ht="39.950000000000003" hidden="1" customHeight="1" x14ac:dyDescent="0.25">
      <c r="B194" s="5">
        <v>203</v>
      </c>
      <c r="C194" s="6" t="s">
        <v>1075</v>
      </c>
      <c r="D194" s="5" t="s">
        <v>33</v>
      </c>
      <c r="E194" s="5" t="s">
        <v>1076</v>
      </c>
      <c r="F194" s="7" t="s">
        <v>1077</v>
      </c>
      <c r="G194" s="7" t="s">
        <v>36</v>
      </c>
      <c r="H194" s="8">
        <v>162300</v>
      </c>
      <c r="I194" s="8"/>
      <c r="J194" s="8"/>
      <c r="K194" s="7" t="s">
        <v>63</v>
      </c>
      <c r="L194" s="5" t="s">
        <v>64</v>
      </c>
      <c r="M194" s="7" t="s">
        <v>1078</v>
      </c>
      <c r="N194" s="9" t="s">
        <v>1079</v>
      </c>
      <c r="O194" s="10">
        <v>45320</v>
      </c>
      <c r="P194" s="7" t="s">
        <v>67</v>
      </c>
      <c r="Q194" s="7"/>
      <c r="R194" s="65"/>
      <c r="S194" s="7"/>
      <c r="T194" s="9">
        <v>195</v>
      </c>
      <c r="U194" s="9"/>
      <c r="V194" s="9"/>
      <c r="W194" s="9"/>
      <c r="X194" s="9"/>
      <c r="Y194" s="9"/>
      <c r="Z194" s="9">
        <v>290</v>
      </c>
      <c r="AA194" s="9">
        <v>315</v>
      </c>
      <c r="AB194" s="9"/>
      <c r="AC194" s="9"/>
      <c r="AD194" s="9"/>
      <c r="AE194" s="9"/>
      <c r="AF194" s="9"/>
      <c r="AG194" s="9">
        <f t="shared" si="5"/>
        <v>3</v>
      </c>
      <c r="AH194" s="62">
        <f t="shared" si="6"/>
        <v>266.66666666666669</v>
      </c>
      <c r="AI194" s="11" t="str">
        <f>IF(AH194&gt;='Aprovados Recursos do Fundo'!$AQ$1,"APROVADO","REPROVADO")</f>
        <v>APROVADO</v>
      </c>
    </row>
    <row r="195" spans="2:35" s="64" customFormat="1" ht="39.950000000000003" hidden="1" customHeight="1" x14ac:dyDescent="0.25">
      <c r="B195" s="5">
        <v>34</v>
      </c>
      <c r="C195" s="6" t="s">
        <v>244</v>
      </c>
      <c r="D195" s="5" t="s">
        <v>51</v>
      </c>
      <c r="E195" s="5" t="s">
        <v>245</v>
      </c>
      <c r="F195" s="7" t="s">
        <v>246</v>
      </c>
      <c r="G195" s="7" t="s">
        <v>36</v>
      </c>
      <c r="H195" s="8">
        <v>100000</v>
      </c>
      <c r="I195" s="8"/>
      <c r="J195" s="8"/>
      <c r="K195" s="7" t="s">
        <v>247</v>
      </c>
      <c r="L195" s="7" t="s">
        <v>47</v>
      </c>
      <c r="M195" s="7" t="s">
        <v>248</v>
      </c>
      <c r="N195" s="21" t="s">
        <v>249</v>
      </c>
      <c r="O195" s="10">
        <v>45303</v>
      </c>
      <c r="P195" s="9" t="s">
        <v>41</v>
      </c>
      <c r="Q195" s="9"/>
      <c r="R195" s="65"/>
      <c r="S195" s="9">
        <v>337</v>
      </c>
      <c r="T195" s="9"/>
      <c r="U195" s="9">
        <v>224</v>
      </c>
      <c r="V195" s="9">
        <v>238</v>
      </c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>
        <f t="shared" si="5"/>
        <v>3</v>
      </c>
      <c r="AH195" s="62">
        <f t="shared" si="6"/>
        <v>266.33333333333331</v>
      </c>
      <c r="AI195" s="11" t="str">
        <f>IF(AH195&gt;='Aprovados Recursos do Fundo'!$AQ$1,"APROVADO","REPROVADO")</f>
        <v>APROVADO</v>
      </c>
    </row>
    <row r="196" spans="2:35" s="64" customFormat="1" ht="39.950000000000003" hidden="1" customHeight="1" x14ac:dyDescent="0.25">
      <c r="B196" s="5">
        <v>191</v>
      </c>
      <c r="C196" s="27" t="s">
        <v>1020</v>
      </c>
      <c r="D196" s="5" t="s">
        <v>33</v>
      </c>
      <c r="E196" s="5" t="s">
        <v>1021</v>
      </c>
      <c r="F196" s="7" t="s">
        <v>1022</v>
      </c>
      <c r="G196" s="7" t="s">
        <v>36</v>
      </c>
      <c r="H196" s="8">
        <v>609818.75</v>
      </c>
      <c r="I196" s="8"/>
      <c r="J196" s="8"/>
      <c r="K196" s="7" t="s">
        <v>1023</v>
      </c>
      <c r="L196" s="7" t="s">
        <v>445</v>
      </c>
      <c r="M196" s="7" t="s">
        <v>1024</v>
      </c>
      <c r="N196" s="9" t="s">
        <v>1025</v>
      </c>
      <c r="O196" s="10">
        <v>45315</v>
      </c>
      <c r="P196" s="7" t="s">
        <v>41</v>
      </c>
      <c r="Q196" s="7"/>
      <c r="R196" s="9"/>
      <c r="S196" s="7">
        <v>326</v>
      </c>
      <c r="T196" s="9">
        <v>171</v>
      </c>
      <c r="U196" s="9"/>
      <c r="V196" s="9"/>
      <c r="W196" s="9"/>
      <c r="X196" s="9"/>
      <c r="Y196" s="9"/>
      <c r="Z196" s="9"/>
      <c r="AA196" s="9"/>
      <c r="AB196" s="9">
        <v>302</v>
      </c>
      <c r="AC196" s="9"/>
      <c r="AD196" s="9"/>
      <c r="AE196" s="9"/>
      <c r="AF196" s="9"/>
      <c r="AG196" s="9">
        <f t="shared" si="5"/>
        <v>3</v>
      </c>
      <c r="AH196" s="62">
        <f t="shared" si="6"/>
        <v>266.33333333333331</v>
      </c>
      <c r="AI196" s="11" t="str">
        <f>IF(AH196&gt;='Aprovados Recursos do Fundo'!$AQ$1,"APROVADO","REPROVADO")</f>
        <v>APROVADO</v>
      </c>
    </row>
    <row r="197" spans="2:35" s="64" customFormat="1" ht="39.950000000000003" hidden="1" customHeight="1" x14ac:dyDescent="0.25">
      <c r="B197" s="5">
        <v>75</v>
      </c>
      <c r="C197" s="27" t="s">
        <v>440</v>
      </c>
      <c r="D197" s="5" t="s">
        <v>33</v>
      </c>
      <c r="E197" s="5" t="s">
        <v>441</v>
      </c>
      <c r="F197" s="5" t="s">
        <v>442</v>
      </c>
      <c r="G197" s="5" t="s">
        <v>443</v>
      </c>
      <c r="H197" s="17">
        <v>620100</v>
      </c>
      <c r="I197" s="17"/>
      <c r="J197" s="17"/>
      <c r="K197" s="5" t="s">
        <v>444</v>
      </c>
      <c r="L197" s="5" t="s">
        <v>445</v>
      </c>
      <c r="M197" s="5" t="s">
        <v>446</v>
      </c>
      <c r="N197" s="9" t="s">
        <v>447</v>
      </c>
      <c r="O197" s="10">
        <v>45306</v>
      </c>
      <c r="P197" s="5" t="s">
        <v>41</v>
      </c>
      <c r="Q197" s="5"/>
      <c r="R197" s="5" t="s">
        <v>448</v>
      </c>
      <c r="S197" s="9">
        <v>330</v>
      </c>
      <c r="T197" s="9">
        <v>187</v>
      </c>
      <c r="U197" s="9">
        <v>281</v>
      </c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>
        <f t="shared" ref="AG197:AG260" si="7">COUNT(S197:AF197)</f>
        <v>3</v>
      </c>
      <c r="AH197" s="62">
        <f t="shared" ref="AH197:AH260" si="8">AVERAGE(S197:AF197)</f>
        <v>266</v>
      </c>
      <c r="AI197" s="11" t="str">
        <f>IF(AH197&gt;='Aprovados Recursos do Fundo'!$AQ$1,"APROVADO","REPROVADO")</f>
        <v>APROVADO</v>
      </c>
    </row>
    <row r="198" spans="2:35" s="64" customFormat="1" ht="39.950000000000003" hidden="1" customHeight="1" x14ac:dyDescent="0.25">
      <c r="B198" s="5">
        <v>566</v>
      </c>
      <c r="C198" s="27" t="s">
        <v>2712</v>
      </c>
      <c r="D198" s="5" t="s">
        <v>33</v>
      </c>
      <c r="E198" s="5" t="s">
        <v>2713</v>
      </c>
      <c r="F198" s="7" t="s">
        <v>2714</v>
      </c>
      <c r="G198" s="7" t="s">
        <v>36</v>
      </c>
      <c r="H198" s="8">
        <v>70000</v>
      </c>
      <c r="I198" s="8"/>
      <c r="J198" s="8"/>
      <c r="K198" s="7" t="s">
        <v>1023</v>
      </c>
      <c r="L198" s="7" t="s">
        <v>445</v>
      </c>
      <c r="M198" s="7" t="s">
        <v>2715</v>
      </c>
      <c r="N198" s="9" t="s">
        <v>2716</v>
      </c>
      <c r="O198" s="10">
        <v>45322</v>
      </c>
      <c r="P198" s="7" t="s">
        <v>41</v>
      </c>
      <c r="Q198" s="9"/>
      <c r="R198" s="9"/>
      <c r="S198" s="7">
        <v>340</v>
      </c>
      <c r="T198" s="9">
        <v>142</v>
      </c>
      <c r="U198" s="9"/>
      <c r="V198" s="9"/>
      <c r="W198" s="9"/>
      <c r="X198" s="9"/>
      <c r="Y198" s="9"/>
      <c r="Z198" s="9"/>
      <c r="AA198" s="9"/>
      <c r="AB198" s="9"/>
      <c r="AC198" s="9"/>
      <c r="AD198" s="9">
        <v>316</v>
      </c>
      <c r="AE198" s="9"/>
      <c r="AF198" s="9"/>
      <c r="AG198" s="9">
        <f t="shared" si="7"/>
        <v>3</v>
      </c>
      <c r="AH198" s="62">
        <f t="shared" si="8"/>
        <v>266</v>
      </c>
      <c r="AI198" s="11" t="str">
        <f>IF(AH198&gt;='Aprovados Recursos do Fundo'!$AQ$1,"APROVADO","REPROVADO")</f>
        <v>APROVADO</v>
      </c>
    </row>
    <row r="199" spans="2:35" s="64" customFormat="1" ht="39.950000000000003" hidden="1" customHeight="1" x14ac:dyDescent="0.25">
      <c r="B199" s="5">
        <v>588</v>
      </c>
      <c r="C199" s="6" t="s">
        <v>2804</v>
      </c>
      <c r="D199" s="5" t="s">
        <v>33</v>
      </c>
      <c r="E199" s="58" t="s">
        <v>2798</v>
      </c>
      <c r="F199" s="5" t="s">
        <v>2805</v>
      </c>
      <c r="G199" s="7" t="s">
        <v>107</v>
      </c>
      <c r="H199" s="8">
        <v>467160</v>
      </c>
      <c r="I199" s="8"/>
      <c r="J199" s="8"/>
      <c r="K199" s="7" t="s">
        <v>73</v>
      </c>
      <c r="L199" s="5" t="s">
        <v>74</v>
      </c>
      <c r="M199" s="7" t="s">
        <v>2800</v>
      </c>
      <c r="N199" s="9" t="s">
        <v>2801</v>
      </c>
      <c r="O199" s="10">
        <v>45322</v>
      </c>
      <c r="P199" s="5" t="s">
        <v>67</v>
      </c>
      <c r="Q199" s="7" t="s">
        <v>68</v>
      </c>
      <c r="R199" s="9"/>
      <c r="S199" s="5">
        <v>258</v>
      </c>
      <c r="T199" s="9"/>
      <c r="U199" s="9"/>
      <c r="V199" s="9"/>
      <c r="W199" s="9"/>
      <c r="X199" s="9"/>
      <c r="Y199" s="9"/>
      <c r="Z199" s="9">
        <v>260</v>
      </c>
      <c r="AA199" s="9">
        <v>279</v>
      </c>
      <c r="AB199" s="9"/>
      <c r="AC199" s="9"/>
      <c r="AD199" s="9"/>
      <c r="AE199" s="9"/>
      <c r="AF199" s="9"/>
      <c r="AG199" s="9">
        <f t="shared" si="7"/>
        <v>3</v>
      </c>
      <c r="AH199" s="62">
        <f t="shared" si="8"/>
        <v>265.66666666666669</v>
      </c>
      <c r="AI199" s="11" t="str">
        <f>IF(AH199&gt;=$AI$1,"APROVADO","REPROVADO")</f>
        <v>APROVADO</v>
      </c>
    </row>
    <row r="200" spans="2:35" s="64" customFormat="1" ht="39.950000000000003" hidden="1" customHeight="1" x14ac:dyDescent="0.25">
      <c r="B200" s="5">
        <v>280</v>
      </c>
      <c r="C200" s="27" t="s">
        <v>1439</v>
      </c>
      <c r="D200" s="5" t="s">
        <v>33</v>
      </c>
      <c r="E200" s="5" t="s">
        <v>1440</v>
      </c>
      <c r="F200" s="7" t="s">
        <v>1441</v>
      </c>
      <c r="G200" s="7" t="s">
        <v>36</v>
      </c>
      <c r="H200" s="8">
        <v>178800</v>
      </c>
      <c r="I200" s="8"/>
      <c r="J200" s="8"/>
      <c r="K200" s="7" t="s">
        <v>1442</v>
      </c>
      <c r="L200" s="7" t="s">
        <v>254</v>
      </c>
      <c r="M200" s="7" t="s">
        <v>1443</v>
      </c>
      <c r="N200" s="9" t="s">
        <v>1444</v>
      </c>
      <c r="O200" s="10">
        <v>45320</v>
      </c>
      <c r="P200" s="7" t="s">
        <v>41</v>
      </c>
      <c r="Q200" s="7"/>
      <c r="R200" s="65"/>
      <c r="S200" s="7">
        <v>320</v>
      </c>
      <c r="T200" s="9">
        <v>176</v>
      </c>
      <c r="U200" s="9"/>
      <c r="V200" s="9"/>
      <c r="W200" s="9"/>
      <c r="X200" s="9"/>
      <c r="Y200" s="9"/>
      <c r="Z200" s="9"/>
      <c r="AA200" s="9"/>
      <c r="AB200" s="9"/>
      <c r="AC200" s="9"/>
      <c r="AD200" s="9">
        <v>300</v>
      </c>
      <c r="AE200" s="9"/>
      <c r="AF200" s="9"/>
      <c r="AG200" s="9">
        <f t="shared" si="7"/>
        <v>3</v>
      </c>
      <c r="AH200" s="62">
        <f t="shared" si="8"/>
        <v>265.33333333333331</v>
      </c>
      <c r="AI200" s="11" t="str">
        <f>IF(AH200&gt;='Aprovados Recursos do Fundo'!$AQ$1,"APROVADO","REPROVADO")</f>
        <v>APROVADO</v>
      </c>
    </row>
    <row r="201" spans="2:35" s="64" customFormat="1" ht="39.950000000000003" hidden="1" customHeight="1" x14ac:dyDescent="0.25">
      <c r="B201" s="5">
        <v>23</v>
      </c>
      <c r="C201" s="6" t="s">
        <v>185</v>
      </c>
      <c r="D201" s="5" t="s">
        <v>51</v>
      </c>
      <c r="E201" s="5" t="s">
        <v>186</v>
      </c>
      <c r="F201" s="7" t="s">
        <v>187</v>
      </c>
      <c r="G201" s="7" t="s">
        <v>107</v>
      </c>
      <c r="H201" s="8">
        <v>414308.85</v>
      </c>
      <c r="I201" s="8"/>
      <c r="J201" s="8"/>
      <c r="K201" s="7" t="s">
        <v>188</v>
      </c>
      <c r="L201" s="7" t="s">
        <v>189</v>
      </c>
      <c r="M201" s="7" t="s">
        <v>190</v>
      </c>
      <c r="N201" s="9" t="s">
        <v>191</v>
      </c>
      <c r="O201" s="10">
        <v>45302</v>
      </c>
      <c r="P201" s="9" t="s">
        <v>41</v>
      </c>
      <c r="Q201" s="9"/>
      <c r="R201" s="9"/>
      <c r="S201" s="9">
        <v>297</v>
      </c>
      <c r="T201" s="9">
        <v>247</v>
      </c>
      <c r="U201" s="9">
        <v>249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>
        <f t="shared" si="7"/>
        <v>3</v>
      </c>
      <c r="AH201" s="62">
        <f t="shared" si="8"/>
        <v>264.33333333333331</v>
      </c>
      <c r="AI201" s="11" t="str">
        <f>IF(AH201&gt;='Aprovados Recursos do Fundo'!$AQ$1,"APROVADO","REPROVADO")</f>
        <v>APROVADO</v>
      </c>
    </row>
    <row r="202" spans="2:35" s="64" customFormat="1" ht="39.950000000000003" hidden="1" customHeight="1" x14ac:dyDescent="0.25">
      <c r="B202" s="5">
        <v>495</v>
      </c>
      <c r="C202" s="6" t="s">
        <v>2421</v>
      </c>
      <c r="D202" s="5" t="s">
        <v>33</v>
      </c>
      <c r="E202" s="5" t="s">
        <v>2422</v>
      </c>
      <c r="F202" s="7" t="s">
        <v>2423</v>
      </c>
      <c r="G202" s="7" t="s">
        <v>336</v>
      </c>
      <c r="H202" s="8">
        <v>516590.96</v>
      </c>
      <c r="I202" s="8"/>
      <c r="J202" s="8"/>
      <c r="K202" s="7" t="s">
        <v>201</v>
      </c>
      <c r="L202" s="7" t="s">
        <v>202</v>
      </c>
      <c r="M202" s="7" t="s">
        <v>2424</v>
      </c>
      <c r="N202" s="9" t="s">
        <v>2425</v>
      </c>
      <c r="O202" s="10">
        <v>45322</v>
      </c>
      <c r="P202" s="7" t="s">
        <v>67</v>
      </c>
      <c r="Q202" s="9"/>
      <c r="R202" s="65"/>
      <c r="S202" s="7">
        <v>262</v>
      </c>
      <c r="T202" s="9"/>
      <c r="U202" s="9">
        <v>281</v>
      </c>
      <c r="V202" s="9"/>
      <c r="W202" s="9"/>
      <c r="X202" s="9"/>
      <c r="Y202" s="9"/>
      <c r="Z202" s="9">
        <v>249</v>
      </c>
      <c r="AA202" s="9"/>
      <c r="AB202" s="9"/>
      <c r="AC202" s="9"/>
      <c r="AD202" s="9"/>
      <c r="AE202" s="9"/>
      <c r="AF202" s="9"/>
      <c r="AG202" s="9">
        <f t="shared" si="7"/>
        <v>3</v>
      </c>
      <c r="AH202" s="62">
        <f t="shared" si="8"/>
        <v>264</v>
      </c>
      <c r="AI202" s="11" t="str">
        <f>IF(AH202&gt;=$AI$1,"APROVADO","REPROVADO")</f>
        <v>APROVADO</v>
      </c>
    </row>
    <row r="203" spans="2:35" s="64" customFormat="1" ht="39.950000000000003" hidden="1" customHeight="1" x14ac:dyDescent="0.25">
      <c r="B203" s="5">
        <v>245</v>
      </c>
      <c r="C203" s="22" t="s">
        <v>1261</v>
      </c>
      <c r="D203" s="5" t="s">
        <v>51</v>
      </c>
      <c r="E203" s="9" t="s">
        <v>1262</v>
      </c>
      <c r="F203" s="11" t="s">
        <v>1263</v>
      </c>
      <c r="G203" s="11" t="s">
        <v>107</v>
      </c>
      <c r="H203" s="41">
        <v>32693.32</v>
      </c>
      <c r="I203" s="41"/>
      <c r="J203" s="41"/>
      <c r="K203" s="9" t="s">
        <v>1264</v>
      </c>
      <c r="L203" s="11" t="s">
        <v>154</v>
      </c>
      <c r="M203" s="9" t="s">
        <v>1265</v>
      </c>
      <c r="N203" s="67" t="s">
        <v>1203</v>
      </c>
      <c r="O203" s="34">
        <v>45320</v>
      </c>
      <c r="P203" s="9" t="s">
        <v>41</v>
      </c>
      <c r="Q203" s="9"/>
      <c r="R203" s="65"/>
      <c r="S203" s="9">
        <v>313</v>
      </c>
      <c r="T203" s="9">
        <v>224</v>
      </c>
      <c r="U203" s="9">
        <v>252</v>
      </c>
      <c r="V203" s="9"/>
      <c r="W203" s="9"/>
      <c r="X203" s="9"/>
      <c r="Y203" s="9"/>
      <c r="Z203" s="9"/>
      <c r="AA203" s="9"/>
      <c r="AB203" s="9"/>
      <c r="AC203" s="9"/>
      <c r="AD203" s="9"/>
      <c r="AE203" s="65"/>
      <c r="AF203" s="65"/>
      <c r="AG203" s="9">
        <f t="shared" si="7"/>
        <v>3</v>
      </c>
      <c r="AH203" s="62">
        <f t="shared" si="8"/>
        <v>263</v>
      </c>
      <c r="AI203" s="11" t="str">
        <f>IF(AH203&gt;='Aprovados Recursos do Fundo'!$AQ$1,"APROVADO","REPROVADO")</f>
        <v>APROVADO</v>
      </c>
    </row>
    <row r="204" spans="2:35" s="64" customFormat="1" ht="39.950000000000003" hidden="1" customHeight="1" x14ac:dyDescent="0.25">
      <c r="B204" s="5">
        <v>350</v>
      </c>
      <c r="C204" s="27" t="s">
        <v>1777</v>
      </c>
      <c r="D204" s="5" t="s">
        <v>33</v>
      </c>
      <c r="E204" s="5" t="s">
        <v>1778</v>
      </c>
      <c r="F204" s="7" t="s">
        <v>1779</v>
      </c>
      <c r="G204" s="7" t="s">
        <v>36</v>
      </c>
      <c r="H204" s="8">
        <v>550000</v>
      </c>
      <c r="I204" s="8"/>
      <c r="J204" s="8"/>
      <c r="K204" s="7" t="s">
        <v>1780</v>
      </c>
      <c r="L204" s="7" t="s">
        <v>154</v>
      </c>
      <c r="M204" s="7" t="s">
        <v>1781</v>
      </c>
      <c r="N204" s="9" t="s">
        <v>1782</v>
      </c>
      <c r="O204" s="10">
        <v>45321</v>
      </c>
      <c r="P204" s="7" t="s">
        <v>41</v>
      </c>
      <c r="Q204" s="7"/>
      <c r="R204" s="65"/>
      <c r="S204" s="7">
        <v>274</v>
      </c>
      <c r="T204" s="9">
        <v>239</v>
      </c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>
        <v>276</v>
      </c>
      <c r="AF204" s="9"/>
      <c r="AG204" s="9">
        <f t="shared" si="7"/>
        <v>3</v>
      </c>
      <c r="AH204" s="62">
        <f t="shared" si="8"/>
        <v>263</v>
      </c>
      <c r="AI204" s="11" t="str">
        <f>IF(AH204&gt;='Aprovados Recursos do Fundo'!$AQ$1,"APROVADO","REPROVADO")</f>
        <v>APROVADO</v>
      </c>
    </row>
    <row r="205" spans="2:35" s="64" customFormat="1" ht="39.950000000000003" hidden="1" customHeight="1" x14ac:dyDescent="0.25">
      <c r="B205" s="5">
        <v>465</v>
      </c>
      <c r="C205" s="6" t="s">
        <v>2267</v>
      </c>
      <c r="D205" s="5" t="s">
        <v>33</v>
      </c>
      <c r="E205" s="5" t="s">
        <v>2268</v>
      </c>
      <c r="F205" s="5" t="s">
        <v>2269</v>
      </c>
      <c r="G205" s="5" t="s">
        <v>107</v>
      </c>
      <c r="H205" s="17">
        <v>338304</v>
      </c>
      <c r="I205" s="17"/>
      <c r="J205" s="17"/>
      <c r="K205" s="7" t="s">
        <v>253</v>
      </c>
      <c r="L205" s="7" t="s">
        <v>254</v>
      </c>
      <c r="M205" s="5" t="s">
        <v>2270</v>
      </c>
      <c r="N205" s="9" t="s">
        <v>2271</v>
      </c>
      <c r="O205" s="10">
        <v>45322</v>
      </c>
      <c r="P205" s="5" t="s">
        <v>67</v>
      </c>
      <c r="Q205" s="7" t="s">
        <v>90</v>
      </c>
      <c r="R205" s="65"/>
      <c r="S205" s="5">
        <v>259</v>
      </c>
      <c r="T205" s="9"/>
      <c r="U205" s="9"/>
      <c r="V205" s="9"/>
      <c r="W205" s="9"/>
      <c r="X205" s="9"/>
      <c r="Y205" s="9"/>
      <c r="Z205" s="9">
        <v>265</v>
      </c>
      <c r="AA205" s="9">
        <v>265</v>
      </c>
      <c r="AB205" s="9"/>
      <c r="AC205" s="9"/>
      <c r="AD205" s="9"/>
      <c r="AE205" s="9"/>
      <c r="AF205" s="9"/>
      <c r="AG205" s="9">
        <f t="shared" si="7"/>
        <v>3</v>
      </c>
      <c r="AH205" s="62">
        <f t="shared" si="8"/>
        <v>263</v>
      </c>
      <c r="AI205" s="11" t="str">
        <f>IF(AH205&gt;='Aprovados Recursos do Fundo'!$AQ$1,"APROVADO","REPROVADO")</f>
        <v>APROVADO</v>
      </c>
    </row>
    <row r="206" spans="2:35" s="64" customFormat="1" ht="39.950000000000003" hidden="1" customHeight="1" x14ac:dyDescent="0.25">
      <c r="B206" s="5">
        <v>555</v>
      </c>
      <c r="C206" s="6" t="s">
        <v>2673</v>
      </c>
      <c r="D206" s="5" t="s">
        <v>33</v>
      </c>
      <c r="E206" s="58" t="s">
        <v>2660</v>
      </c>
      <c r="F206" s="5" t="s">
        <v>2674</v>
      </c>
      <c r="G206" s="7" t="s">
        <v>107</v>
      </c>
      <c r="H206" s="8">
        <v>442128</v>
      </c>
      <c r="I206" s="8"/>
      <c r="J206" s="8"/>
      <c r="K206" s="7" t="s">
        <v>73</v>
      </c>
      <c r="L206" s="5" t="s">
        <v>74</v>
      </c>
      <c r="M206" s="7" t="s">
        <v>2662</v>
      </c>
      <c r="N206" s="9" t="s">
        <v>2663</v>
      </c>
      <c r="O206" s="10">
        <v>45322</v>
      </c>
      <c r="P206" s="5" t="s">
        <v>67</v>
      </c>
      <c r="Q206" s="7" t="s">
        <v>68</v>
      </c>
      <c r="R206" s="7"/>
      <c r="S206" s="5">
        <v>269</v>
      </c>
      <c r="T206" s="9"/>
      <c r="U206" s="9"/>
      <c r="V206" s="9"/>
      <c r="W206" s="9"/>
      <c r="X206" s="9">
        <v>257</v>
      </c>
      <c r="Y206" s="9">
        <v>262</v>
      </c>
      <c r="Z206" s="9"/>
      <c r="AA206" s="9"/>
      <c r="AB206" s="9"/>
      <c r="AC206" s="9"/>
      <c r="AD206" s="9"/>
      <c r="AE206" s="9"/>
      <c r="AF206" s="9"/>
      <c r="AG206" s="9">
        <f t="shared" si="7"/>
        <v>3</v>
      </c>
      <c r="AH206" s="62">
        <f t="shared" si="8"/>
        <v>262.66666666666669</v>
      </c>
      <c r="AI206" s="11" t="str">
        <f>IF(AH206&gt;=$AI$1,"APROVADO","REPROVADO")</f>
        <v>APROVADO</v>
      </c>
    </row>
    <row r="207" spans="2:35" s="64" customFormat="1" ht="39.950000000000003" hidden="1" customHeight="1" x14ac:dyDescent="0.25">
      <c r="B207" s="5">
        <v>74</v>
      </c>
      <c r="C207" s="22" t="s">
        <v>434</v>
      </c>
      <c r="D207" s="5" t="s">
        <v>51</v>
      </c>
      <c r="E207" s="9" t="s">
        <v>435</v>
      </c>
      <c r="F207" s="9" t="s">
        <v>436</v>
      </c>
      <c r="G207" s="11" t="s">
        <v>36</v>
      </c>
      <c r="H207" s="41">
        <v>133070</v>
      </c>
      <c r="I207" s="41"/>
      <c r="J207" s="41"/>
      <c r="K207" s="9" t="s">
        <v>437</v>
      </c>
      <c r="L207" s="11" t="s">
        <v>47</v>
      </c>
      <c r="M207" s="9" t="s">
        <v>438</v>
      </c>
      <c r="N207" s="67" t="s">
        <v>439</v>
      </c>
      <c r="O207" s="34">
        <v>45306</v>
      </c>
      <c r="P207" s="9" t="s">
        <v>41</v>
      </c>
      <c r="Q207" s="11"/>
      <c r="R207" s="9"/>
      <c r="S207" s="9">
        <v>320</v>
      </c>
      <c r="T207" s="9"/>
      <c r="U207" s="9">
        <v>252</v>
      </c>
      <c r="V207" s="9">
        <v>215</v>
      </c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>
        <f t="shared" si="7"/>
        <v>3</v>
      </c>
      <c r="AH207" s="62">
        <f t="shared" si="8"/>
        <v>262.33333333333331</v>
      </c>
      <c r="AI207" s="11" t="str">
        <f>IF(AH207&gt;='Aprovados Recursos do Fundo'!$AQ$1,"APROVADO","REPROVADO")</f>
        <v>APROVADO</v>
      </c>
    </row>
    <row r="208" spans="2:35" s="64" customFormat="1" ht="39.950000000000003" hidden="1" customHeight="1" x14ac:dyDescent="0.25">
      <c r="B208" s="5">
        <v>161</v>
      </c>
      <c r="C208" s="27" t="s">
        <v>851</v>
      </c>
      <c r="D208" s="5" t="s">
        <v>33</v>
      </c>
      <c r="E208" s="5" t="s">
        <v>852</v>
      </c>
      <c r="F208" s="7" t="s">
        <v>853</v>
      </c>
      <c r="G208" s="7" t="s">
        <v>300</v>
      </c>
      <c r="H208" s="8">
        <v>197375.06</v>
      </c>
      <c r="I208" s="8"/>
      <c r="J208" s="8"/>
      <c r="K208" s="7" t="s">
        <v>73</v>
      </c>
      <c r="L208" s="7" t="s">
        <v>74</v>
      </c>
      <c r="M208" s="7" t="s">
        <v>854</v>
      </c>
      <c r="N208" s="9" t="s">
        <v>855</v>
      </c>
      <c r="O208" s="10">
        <v>45308</v>
      </c>
      <c r="P208" s="7" t="s">
        <v>41</v>
      </c>
      <c r="Q208" s="7"/>
      <c r="R208" s="7"/>
      <c r="S208" s="9">
        <v>283</v>
      </c>
      <c r="T208" s="9">
        <v>236</v>
      </c>
      <c r="U208" s="9"/>
      <c r="V208" s="9"/>
      <c r="W208" s="9"/>
      <c r="X208" s="9"/>
      <c r="Y208" s="9"/>
      <c r="Z208" s="9"/>
      <c r="AA208" s="9"/>
      <c r="AB208" s="9">
        <v>267</v>
      </c>
      <c r="AC208" s="9"/>
      <c r="AD208" s="9"/>
      <c r="AE208" s="9"/>
      <c r="AF208" s="9"/>
      <c r="AG208" s="9">
        <f t="shared" si="7"/>
        <v>3</v>
      </c>
      <c r="AH208" s="62">
        <f t="shared" si="8"/>
        <v>262</v>
      </c>
      <c r="AI208" s="11" t="str">
        <f>IF(AH208&gt;='Aprovados Recursos do Fundo'!$AQ$1,"APROVADO","REPROVADO")</f>
        <v>APROVADO</v>
      </c>
    </row>
    <row r="209" spans="2:35" s="64" customFormat="1" ht="39.950000000000003" hidden="1" customHeight="1" x14ac:dyDescent="0.25">
      <c r="B209" s="5">
        <v>116</v>
      </c>
      <c r="C209" s="6" t="s">
        <v>641</v>
      </c>
      <c r="D209" s="5" t="s">
        <v>33</v>
      </c>
      <c r="E209" s="5" t="s">
        <v>637</v>
      </c>
      <c r="F209" s="7" t="s">
        <v>642</v>
      </c>
      <c r="G209" s="7" t="s">
        <v>107</v>
      </c>
      <c r="H209" s="8">
        <v>565125</v>
      </c>
      <c r="I209" s="8"/>
      <c r="J209" s="8"/>
      <c r="K209" s="7" t="s">
        <v>73</v>
      </c>
      <c r="L209" s="7" t="s">
        <v>74</v>
      </c>
      <c r="M209" s="7" t="s">
        <v>639</v>
      </c>
      <c r="N209" s="9" t="s">
        <v>640</v>
      </c>
      <c r="O209" s="10">
        <v>45307</v>
      </c>
      <c r="P209" s="7" t="s">
        <v>67</v>
      </c>
      <c r="Q209" s="7" t="s">
        <v>68</v>
      </c>
      <c r="R209" s="7"/>
      <c r="S209" s="9">
        <v>286</v>
      </c>
      <c r="T209" s="9"/>
      <c r="U209" s="9"/>
      <c r="V209" s="9"/>
      <c r="W209" s="9"/>
      <c r="X209" s="9"/>
      <c r="Y209" s="9"/>
      <c r="Z209" s="9"/>
      <c r="AA209" s="9">
        <v>249</v>
      </c>
      <c r="AB209" s="9"/>
      <c r="AC209" s="9">
        <v>249</v>
      </c>
      <c r="AD209" s="9"/>
      <c r="AE209" s="9"/>
      <c r="AF209" s="9"/>
      <c r="AG209" s="9">
        <f t="shared" si="7"/>
        <v>3</v>
      </c>
      <c r="AH209" s="62">
        <f t="shared" si="8"/>
        <v>261.33333333333331</v>
      </c>
      <c r="AI209" s="11" t="str">
        <f>IF(AH209&gt;=$AI$1,"APROVADO","REPROVADO")</f>
        <v>APROVADO</v>
      </c>
    </row>
    <row r="210" spans="2:35" s="64" customFormat="1" ht="39.950000000000003" hidden="1" customHeight="1" x14ac:dyDescent="0.25">
      <c r="B210" s="5">
        <v>58</v>
      </c>
      <c r="C210" s="22" t="s">
        <v>356</v>
      </c>
      <c r="D210" s="5" t="s">
        <v>51</v>
      </c>
      <c r="E210" s="5" t="s">
        <v>354</v>
      </c>
      <c r="F210" s="7" t="s">
        <v>357</v>
      </c>
      <c r="G210" s="7" t="s">
        <v>62</v>
      </c>
      <c r="H210" s="8">
        <v>39973</v>
      </c>
      <c r="I210" s="8"/>
      <c r="J210" s="8"/>
      <c r="K210" s="7" t="s">
        <v>347</v>
      </c>
      <c r="L210" s="7" t="s">
        <v>348</v>
      </c>
      <c r="M210" s="7" t="s">
        <v>355</v>
      </c>
      <c r="N210" s="7" t="s">
        <v>358</v>
      </c>
      <c r="O210" s="10">
        <v>45306</v>
      </c>
      <c r="P210" s="7" t="s">
        <v>57</v>
      </c>
      <c r="Q210" s="7" t="s">
        <v>359</v>
      </c>
      <c r="R210" s="9"/>
      <c r="S210" s="9">
        <v>340</v>
      </c>
      <c r="T210" s="9">
        <v>103</v>
      </c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>
        <v>340</v>
      </c>
      <c r="AF210" s="9"/>
      <c r="AG210" s="9">
        <f t="shared" si="7"/>
        <v>3</v>
      </c>
      <c r="AH210" s="62">
        <f t="shared" si="8"/>
        <v>261</v>
      </c>
      <c r="AI210" s="11" t="str">
        <f>IF(AH210&gt;=$AI$1,"APROVADO","REPROVADO")</f>
        <v>APROVADO</v>
      </c>
    </row>
    <row r="211" spans="2:35" s="64" customFormat="1" ht="39.950000000000003" hidden="1" customHeight="1" x14ac:dyDescent="0.25">
      <c r="B211" s="5">
        <v>592</v>
      </c>
      <c r="C211" s="6" t="s">
        <v>2815</v>
      </c>
      <c r="D211" s="5" t="s">
        <v>33</v>
      </c>
      <c r="E211" s="58" t="s">
        <v>2816</v>
      </c>
      <c r="F211" s="7" t="s">
        <v>2817</v>
      </c>
      <c r="G211" s="7" t="s">
        <v>107</v>
      </c>
      <c r="H211" s="8">
        <v>349940</v>
      </c>
      <c r="I211" s="8"/>
      <c r="J211" s="8"/>
      <c r="K211" s="7" t="s">
        <v>2818</v>
      </c>
      <c r="L211" s="7" t="s">
        <v>1414</v>
      </c>
      <c r="M211" s="7" t="s">
        <v>2819</v>
      </c>
      <c r="N211" s="9" t="s">
        <v>2820</v>
      </c>
      <c r="O211" s="10">
        <v>45322</v>
      </c>
      <c r="P211" s="7" t="s">
        <v>67</v>
      </c>
      <c r="Q211" s="7" t="s">
        <v>2821</v>
      </c>
      <c r="R211" s="7"/>
      <c r="S211" s="7">
        <v>269</v>
      </c>
      <c r="T211" s="9"/>
      <c r="U211" s="9"/>
      <c r="V211" s="9"/>
      <c r="W211" s="9"/>
      <c r="X211" s="9">
        <v>258</v>
      </c>
      <c r="Y211" s="9">
        <v>256</v>
      </c>
      <c r="Z211" s="9"/>
      <c r="AA211" s="9"/>
      <c r="AB211" s="9"/>
      <c r="AC211" s="9"/>
      <c r="AD211" s="9"/>
      <c r="AE211" s="9"/>
      <c r="AF211" s="9"/>
      <c r="AG211" s="9">
        <f t="shared" si="7"/>
        <v>3</v>
      </c>
      <c r="AH211" s="62">
        <f t="shared" si="8"/>
        <v>261</v>
      </c>
      <c r="AI211" s="11" t="str">
        <f>IF(AH211&gt;=$AI$1,"APROVADO","REPROVADO")</f>
        <v>APROVADO</v>
      </c>
    </row>
    <row r="212" spans="2:35" s="64" customFormat="1" ht="39.950000000000003" hidden="1" customHeight="1" x14ac:dyDescent="0.25">
      <c r="B212" s="5">
        <v>59</v>
      </c>
      <c r="C212" s="6" t="s">
        <v>360</v>
      </c>
      <c r="D212" s="5" t="s">
        <v>51</v>
      </c>
      <c r="E212" s="5" t="s">
        <v>354</v>
      </c>
      <c r="F212" s="7" t="s">
        <v>361</v>
      </c>
      <c r="G212" s="7" t="s">
        <v>62</v>
      </c>
      <c r="H212" s="8">
        <v>649980</v>
      </c>
      <c r="I212" s="8"/>
      <c r="J212" s="8"/>
      <c r="K212" s="7" t="s">
        <v>347</v>
      </c>
      <c r="L212" s="7" t="s">
        <v>348</v>
      </c>
      <c r="M212" s="7" t="s">
        <v>355</v>
      </c>
      <c r="N212" s="7" t="s">
        <v>358</v>
      </c>
      <c r="O212" s="10">
        <v>45306</v>
      </c>
      <c r="P212" s="7" t="s">
        <v>57</v>
      </c>
      <c r="Q212" s="7" t="s">
        <v>359</v>
      </c>
      <c r="R212" s="9"/>
      <c r="S212" s="9">
        <v>340</v>
      </c>
      <c r="T212" s="9">
        <v>103</v>
      </c>
      <c r="U212" s="9"/>
      <c r="V212" s="9"/>
      <c r="W212" s="9"/>
      <c r="X212" s="9">
        <v>340</v>
      </c>
      <c r="Y212" s="9"/>
      <c r="Z212" s="9"/>
      <c r="AA212" s="9"/>
      <c r="AB212" s="9"/>
      <c r="AC212" s="9"/>
      <c r="AD212" s="9"/>
      <c r="AE212" s="9"/>
      <c r="AF212" s="9"/>
      <c r="AG212" s="9">
        <f t="shared" si="7"/>
        <v>3</v>
      </c>
      <c r="AH212" s="62">
        <f t="shared" si="8"/>
        <v>261</v>
      </c>
      <c r="AI212" s="11" t="str">
        <f>IF(AH212&gt;='Aprovados Recursos do Fundo'!$AQ$1,"APROVADO","REPROVADO")</f>
        <v>APROVADO</v>
      </c>
    </row>
    <row r="213" spans="2:35" s="64" customFormat="1" ht="39.950000000000003" hidden="1" customHeight="1" x14ac:dyDescent="0.25">
      <c r="B213" s="5">
        <v>368</v>
      </c>
      <c r="C213" s="27" t="s">
        <v>1857</v>
      </c>
      <c r="D213" s="5" t="s">
        <v>33</v>
      </c>
      <c r="E213" s="5" t="s">
        <v>1858</v>
      </c>
      <c r="F213" s="7" t="s">
        <v>1859</v>
      </c>
      <c r="G213" s="7" t="s">
        <v>36</v>
      </c>
      <c r="H213" s="8">
        <v>47071.72</v>
      </c>
      <c r="I213" s="8"/>
      <c r="J213" s="8"/>
      <c r="K213" s="7" t="s">
        <v>538</v>
      </c>
      <c r="L213" s="7" t="s">
        <v>115</v>
      </c>
      <c r="M213" s="7" t="s">
        <v>1860</v>
      </c>
      <c r="N213" s="9" t="s">
        <v>1861</v>
      </c>
      <c r="O213" s="10">
        <v>45321</v>
      </c>
      <c r="P213" s="7" t="s">
        <v>41</v>
      </c>
      <c r="Q213" s="7"/>
      <c r="R213" s="65"/>
      <c r="S213" s="7">
        <v>340</v>
      </c>
      <c r="T213" s="9">
        <v>211</v>
      </c>
      <c r="U213" s="9"/>
      <c r="V213" s="9">
        <v>232</v>
      </c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>
        <f t="shared" si="7"/>
        <v>3</v>
      </c>
      <c r="AH213" s="62">
        <f t="shared" si="8"/>
        <v>261</v>
      </c>
      <c r="AI213" s="11" t="str">
        <f>IF(AH213&gt;='Aprovados Recursos do Fundo'!$AQ$1,"APROVADO","REPROVADO")</f>
        <v>APROVADO</v>
      </c>
    </row>
    <row r="214" spans="2:35" s="64" customFormat="1" ht="39.950000000000003" hidden="1" customHeight="1" x14ac:dyDescent="0.25">
      <c r="B214" s="5">
        <v>254</v>
      </c>
      <c r="C214" s="22" t="s">
        <v>1316</v>
      </c>
      <c r="D214" s="5" t="s">
        <v>51</v>
      </c>
      <c r="E214" s="9" t="s">
        <v>1317</v>
      </c>
      <c r="F214" s="9" t="s">
        <v>1318</v>
      </c>
      <c r="G214" s="11" t="s">
        <v>36</v>
      </c>
      <c r="H214" s="41">
        <v>66115.899999999994</v>
      </c>
      <c r="I214" s="41"/>
      <c r="J214" s="41"/>
      <c r="K214" s="9" t="s">
        <v>1319</v>
      </c>
      <c r="L214" s="11" t="s">
        <v>189</v>
      </c>
      <c r="M214" s="11" t="s">
        <v>1320</v>
      </c>
      <c r="N214" s="21" t="s">
        <v>1321</v>
      </c>
      <c r="O214" s="34">
        <v>45320</v>
      </c>
      <c r="P214" s="9" t="s">
        <v>41</v>
      </c>
      <c r="Q214" s="9"/>
      <c r="R214" s="65"/>
      <c r="S214" s="9">
        <v>340</v>
      </c>
      <c r="T214" s="9">
        <v>194</v>
      </c>
      <c r="U214" s="9">
        <v>246</v>
      </c>
      <c r="V214" s="9"/>
      <c r="W214" s="9"/>
      <c r="X214" s="9"/>
      <c r="Y214" s="9"/>
      <c r="Z214" s="9"/>
      <c r="AA214" s="9"/>
      <c r="AB214" s="9"/>
      <c r="AC214" s="9"/>
      <c r="AD214" s="9"/>
      <c r="AE214" s="65"/>
      <c r="AF214" s="65"/>
      <c r="AG214" s="9">
        <f t="shared" si="7"/>
        <v>3</v>
      </c>
      <c r="AH214" s="62">
        <f t="shared" si="8"/>
        <v>260</v>
      </c>
      <c r="AI214" s="11" t="str">
        <f>IF(AH214&gt;='Aprovados Recursos do Fundo'!$AQ$1,"APROVADO","REPROVADO")</f>
        <v>APROVADO</v>
      </c>
    </row>
    <row r="215" spans="2:35" s="64" customFormat="1" ht="39.950000000000003" hidden="1" customHeight="1" x14ac:dyDescent="0.25">
      <c r="B215" s="5">
        <v>375</v>
      </c>
      <c r="C215" s="27" t="s">
        <v>1891</v>
      </c>
      <c r="D215" s="5" t="s">
        <v>33</v>
      </c>
      <c r="E215" s="5" t="s">
        <v>904</v>
      </c>
      <c r="F215" s="7" t="s">
        <v>1892</v>
      </c>
      <c r="G215" s="7" t="s">
        <v>36</v>
      </c>
      <c r="H215" s="8">
        <v>40000</v>
      </c>
      <c r="I215" s="8"/>
      <c r="J215" s="8"/>
      <c r="K215" s="7" t="s">
        <v>1887</v>
      </c>
      <c r="L215" s="7" t="s">
        <v>223</v>
      </c>
      <c r="M215" s="7" t="s">
        <v>1888</v>
      </c>
      <c r="N215" s="9" t="s">
        <v>1889</v>
      </c>
      <c r="O215" s="10">
        <v>45322</v>
      </c>
      <c r="P215" s="7" t="s">
        <v>41</v>
      </c>
      <c r="Q215" s="7"/>
      <c r="R215" s="65"/>
      <c r="S215" s="7">
        <v>340</v>
      </c>
      <c r="T215" s="9">
        <v>216</v>
      </c>
      <c r="U215" s="9"/>
      <c r="V215" s="9">
        <v>223</v>
      </c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>
        <f t="shared" si="7"/>
        <v>3</v>
      </c>
      <c r="AH215" s="62">
        <f t="shared" si="8"/>
        <v>259.66666666666669</v>
      </c>
      <c r="AI215" s="11" t="str">
        <f>IF(AH215&gt;=$AI$1,"APROVADO","REPROVADO")</f>
        <v>APROVADO</v>
      </c>
    </row>
    <row r="216" spans="2:35" s="64" customFormat="1" ht="39.950000000000003" hidden="1" customHeight="1" x14ac:dyDescent="0.25">
      <c r="B216" s="5">
        <v>315</v>
      </c>
      <c r="C216" s="22" t="s">
        <v>1621</v>
      </c>
      <c r="D216" s="5" t="s">
        <v>51</v>
      </c>
      <c r="E216" s="9" t="s">
        <v>1622</v>
      </c>
      <c r="F216" s="11" t="s">
        <v>1623</v>
      </c>
      <c r="G216" s="11" t="s">
        <v>36</v>
      </c>
      <c r="H216" s="41">
        <v>500000</v>
      </c>
      <c r="I216" s="41"/>
      <c r="J216" s="41"/>
      <c r="K216" s="9" t="s">
        <v>1624</v>
      </c>
      <c r="L216" s="11" t="s">
        <v>154</v>
      </c>
      <c r="M216" s="11" t="s">
        <v>1625</v>
      </c>
      <c r="N216" s="11" t="s">
        <v>1626</v>
      </c>
      <c r="O216" s="34">
        <v>45321</v>
      </c>
      <c r="P216" s="9" t="s">
        <v>57</v>
      </c>
      <c r="Q216" s="9"/>
      <c r="R216" s="65"/>
      <c r="S216" s="9">
        <v>254</v>
      </c>
      <c r="T216" s="9"/>
      <c r="U216" s="9"/>
      <c r="V216" s="9"/>
      <c r="W216" s="9"/>
      <c r="X216" s="9">
        <v>270</v>
      </c>
      <c r="Y216" s="9">
        <v>252</v>
      </c>
      <c r="Z216" s="9"/>
      <c r="AA216" s="9"/>
      <c r="AB216" s="9"/>
      <c r="AC216" s="9"/>
      <c r="AD216" s="9"/>
      <c r="AE216" s="65"/>
      <c r="AF216" s="65"/>
      <c r="AG216" s="9">
        <f t="shared" si="7"/>
        <v>3</v>
      </c>
      <c r="AH216" s="62">
        <f t="shared" si="8"/>
        <v>258.66666666666669</v>
      </c>
      <c r="AI216" s="11" t="str">
        <f>IF(AH216&gt;='Aprovados Recursos do Fundo'!$AQ$1,"APROVADO","REPROVADO")</f>
        <v>APROVADO</v>
      </c>
    </row>
    <row r="217" spans="2:35" s="64" customFormat="1" ht="39.950000000000003" hidden="1" customHeight="1" x14ac:dyDescent="0.25">
      <c r="B217" s="5">
        <v>447</v>
      </c>
      <c r="C217" s="27" t="s">
        <v>2188</v>
      </c>
      <c r="D217" s="5" t="s">
        <v>33</v>
      </c>
      <c r="E217" s="9" t="s">
        <v>2189</v>
      </c>
      <c r="F217" s="9" t="s">
        <v>2190</v>
      </c>
      <c r="G217" s="9" t="s">
        <v>300</v>
      </c>
      <c r="H217" s="49">
        <v>927704.17</v>
      </c>
      <c r="I217" s="49"/>
      <c r="J217" s="49"/>
      <c r="K217" s="7" t="s">
        <v>73</v>
      </c>
      <c r="L217" s="7" t="s">
        <v>74</v>
      </c>
      <c r="M217" s="9" t="s">
        <v>2191</v>
      </c>
      <c r="N217" s="9" t="s">
        <v>2192</v>
      </c>
      <c r="O217" s="10">
        <v>45322</v>
      </c>
      <c r="P217" s="7" t="s">
        <v>41</v>
      </c>
      <c r="Q217" s="9"/>
      <c r="R217" s="65"/>
      <c r="S217" s="7">
        <v>328</v>
      </c>
      <c r="T217" s="9">
        <v>212</v>
      </c>
      <c r="U217" s="9"/>
      <c r="V217" s="9">
        <v>236</v>
      </c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>
        <f t="shared" si="7"/>
        <v>3</v>
      </c>
      <c r="AH217" s="62">
        <f t="shared" si="8"/>
        <v>258.66666666666669</v>
      </c>
      <c r="AI217" s="11" t="str">
        <f>IF(AH217&gt;='Aprovados Recursos do Fundo'!$AQ$1,"APROVADO","REPROVADO")</f>
        <v>APROVADO</v>
      </c>
    </row>
    <row r="218" spans="2:35" s="64" customFormat="1" ht="39.950000000000003" hidden="1" customHeight="1" x14ac:dyDescent="0.25">
      <c r="B218" s="5">
        <v>60</v>
      </c>
      <c r="C218" s="6" t="s">
        <v>362</v>
      </c>
      <c r="D218" s="5" t="s">
        <v>51</v>
      </c>
      <c r="E218" s="5" t="s">
        <v>354</v>
      </c>
      <c r="F218" s="7" t="s">
        <v>363</v>
      </c>
      <c r="G218" s="7" t="s">
        <v>62</v>
      </c>
      <c r="H218" s="8">
        <v>450000</v>
      </c>
      <c r="I218" s="8"/>
      <c r="J218" s="8"/>
      <c r="K218" s="7" t="s">
        <v>347</v>
      </c>
      <c r="L218" s="7" t="s">
        <v>348</v>
      </c>
      <c r="M218" s="7" t="s">
        <v>355</v>
      </c>
      <c r="N218" s="7" t="s">
        <v>358</v>
      </c>
      <c r="O218" s="10">
        <v>45306</v>
      </c>
      <c r="P218" s="7" t="s">
        <v>57</v>
      </c>
      <c r="Q218" s="7" t="s">
        <v>359</v>
      </c>
      <c r="R218" s="9"/>
      <c r="S218" s="9">
        <v>324</v>
      </c>
      <c r="T218" s="9">
        <v>111</v>
      </c>
      <c r="U218" s="9"/>
      <c r="V218" s="9"/>
      <c r="W218" s="9"/>
      <c r="X218" s="9"/>
      <c r="Y218" s="9">
        <v>340</v>
      </c>
      <c r="Z218" s="9"/>
      <c r="AA218" s="9"/>
      <c r="AB218" s="9"/>
      <c r="AC218" s="9"/>
      <c r="AD218" s="9"/>
      <c r="AE218" s="9"/>
      <c r="AF218" s="9"/>
      <c r="AG218" s="9">
        <f t="shared" si="7"/>
        <v>3</v>
      </c>
      <c r="AH218" s="62">
        <f t="shared" si="8"/>
        <v>258.33333333333331</v>
      </c>
      <c r="AI218" s="11" t="str">
        <f>IF(AH218&gt;=$AI$1,"APROVADO","REPROVADO")</f>
        <v>APROVADO</v>
      </c>
    </row>
    <row r="219" spans="2:35" s="64" customFormat="1" ht="39.950000000000003" hidden="1" customHeight="1" x14ac:dyDescent="0.25">
      <c r="B219" s="5">
        <v>131</v>
      </c>
      <c r="C219" s="27" t="s">
        <v>706</v>
      </c>
      <c r="D219" s="5" t="s">
        <v>33</v>
      </c>
      <c r="E219" s="5" t="s">
        <v>707</v>
      </c>
      <c r="F219" s="7" t="s">
        <v>708</v>
      </c>
      <c r="G219" s="7" t="s">
        <v>36</v>
      </c>
      <c r="H219" s="8">
        <v>711386.16</v>
      </c>
      <c r="I219" s="8"/>
      <c r="J219" s="8"/>
      <c r="K219" s="7" t="s">
        <v>701</v>
      </c>
      <c r="L219" s="7" t="s">
        <v>95</v>
      </c>
      <c r="M219" s="7" t="s">
        <v>709</v>
      </c>
      <c r="N219" s="9" t="s">
        <v>710</v>
      </c>
      <c r="O219" s="10">
        <v>45308</v>
      </c>
      <c r="P219" s="7" t="s">
        <v>41</v>
      </c>
      <c r="Q219" s="7"/>
      <c r="R219" s="7"/>
      <c r="S219" s="9">
        <v>316</v>
      </c>
      <c r="T219" s="9">
        <v>227</v>
      </c>
      <c r="U219" s="9"/>
      <c r="V219" s="9"/>
      <c r="W219" s="9">
        <v>232</v>
      </c>
      <c r="X219" s="9"/>
      <c r="Y219" s="9"/>
      <c r="Z219" s="9"/>
      <c r="AA219" s="9"/>
      <c r="AB219" s="9"/>
      <c r="AC219" s="9"/>
      <c r="AD219" s="9"/>
      <c r="AE219" s="9"/>
      <c r="AF219" s="9"/>
      <c r="AG219" s="9">
        <f t="shared" si="7"/>
        <v>3</v>
      </c>
      <c r="AH219" s="62">
        <f t="shared" si="8"/>
        <v>258.33333333333331</v>
      </c>
      <c r="AI219" s="11" t="str">
        <f>IF(AH219&gt;='Aprovados Recursos do Fundo'!$AQ$1,"APROVADO","REPROVADO")</f>
        <v>APROVADO</v>
      </c>
    </row>
    <row r="220" spans="2:35" s="64" customFormat="1" ht="39.950000000000003" hidden="1" customHeight="1" x14ac:dyDescent="0.25">
      <c r="B220" s="5">
        <v>225</v>
      </c>
      <c r="C220" s="27" t="s">
        <v>1168</v>
      </c>
      <c r="D220" s="5" t="s">
        <v>33</v>
      </c>
      <c r="E220" s="5" t="s">
        <v>1169</v>
      </c>
      <c r="F220" s="7" t="s">
        <v>1170</v>
      </c>
      <c r="G220" s="7" t="s">
        <v>36</v>
      </c>
      <c r="H220" s="8">
        <v>371000</v>
      </c>
      <c r="I220" s="8"/>
      <c r="J220" s="8"/>
      <c r="K220" s="7" t="s">
        <v>1171</v>
      </c>
      <c r="L220" s="7" t="s">
        <v>95</v>
      </c>
      <c r="M220" s="7" t="s">
        <v>1172</v>
      </c>
      <c r="N220" s="9" t="s">
        <v>1173</v>
      </c>
      <c r="O220" s="10">
        <v>45320</v>
      </c>
      <c r="P220" s="7" t="s">
        <v>41</v>
      </c>
      <c r="Q220" s="7"/>
      <c r="R220" s="65"/>
      <c r="S220" s="7">
        <v>325</v>
      </c>
      <c r="T220" s="9">
        <v>230</v>
      </c>
      <c r="U220" s="9">
        <v>219</v>
      </c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>
        <f t="shared" si="7"/>
        <v>3</v>
      </c>
      <c r="AH220" s="62">
        <f t="shared" si="8"/>
        <v>258</v>
      </c>
      <c r="AI220" s="11" t="str">
        <f>IF(AH220&gt;=$AI$1,"APROVADO","REPROVADO")</f>
        <v>APROVADO</v>
      </c>
    </row>
    <row r="221" spans="2:35" s="64" customFormat="1" ht="39.950000000000003" hidden="1" customHeight="1" x14ac:dyDescent="0.25">
      <c r="B221" s="5">
        <v>546</v>
      </c>
      <c r="C221" s="6" t="s">
        <v>2647</v>
      </c>
      <c r="D221" s="5" t="s">
        <v>33</v>
      </c>
      <c r="E221" s="5" t="s">
        <v>2640</v>
      </c>
      <c r="F221" s="5" t="s">
        <v>2648</v>
      </c>
      <c r="G221" s="5" t="s">
        <v>107</v>
      </c>
      <c r="H221" s="17">
        <v>1765500</v>
      </c>
      <c r="I221" s="17"/>
      <c r="J221" s="17"/>
      <c r="K221" s="7" t="s">
        <v>73</v>
      </c>
      <c r="L221" s="5" t="s">
        <v>74</v>
      </c>
      <c r="M221" s="5" t="s">
        <v>2642</v>
      </c>
      <c r="N221" s="9" t="s">
        <v>2643</v>
      </c>
      <c r="O221" s="10">
        <v>45322</v>
      </c>
      <c r="P221" s="5" t="s">
        <v>67</v>
      </c>
      <c r="Q221" s="7" t="s">
        <v>89</v>
      </c>
      <c r="R221" s="7" t="s">
        <v>2644</v>
      </c>
      <c r="S221" s="5">
        <v>167</v>
      </c>
      <c r="T221" s="9"/>
      <c r="U221" s="9"/>
      <c r="V221" s="9"/>
      <c r="W221" s="9"/>
      <c r="X221" s="9"/>
      <c r="Y221" s="9"/>
      <c r="Z221" s="9">
        <v>303</v>
      </c>
      <c r="AA221" s="9">
        <v>303</v>
      </c>
      <c r="AB221" s="9"/>
      <c r="AC221" s="9"/>
      <c r="AD221" s="9"/>
      <c r="AE221" s="9"/>
      <c r="AF221" s="9"/>
      <c r="AG221" s="9">
        <f t="shared" si="7"/>
        <v>3</v>
      </c>
      <c r="AH221" s="62">
        <f t="shared" si="8"/>
        <v>257.66666666666669</v>
      </c>
      <c r="AI221" s="11" t="str">
        <f>IF(AH221&gt;=$AI$1,"APROVADO","REPROVADO")</f>
        <v>APROVADO</v>
      </c>
    </row>
    <row r="222" spans="2:35" s="64" customFormat="1" ht="39.950000000000003" hidden="1" customHeight="1" x14ac:dyDescent="0.25">
      <c r="B222" s="5">
        <v>150</v>
      </c>
      <c r="C222" s="27" t="s">
        <v>803</v>
      </c>
      <c r="D222" s="5" t="s">
        <v>33</v>
      </c>
      <c r="E222" s="5" t="s">
        <v>799</v>
      </c>
      <c r="F222" s="7" t="s">
        <v>804</v>
      </c>
      <c r="G222" s="7" t="s">
        <v>300</v>
      </c>
      <c r="H222" s="8">
        <v>997772.88</v>
      </c>
      <c r="I222" s="8"/>
      <c r="J222" s="8"/>
      <c r="K222" s="7" t="s">
        <v>73</v>
      </c>
      <c r="L222" s="7" t="s">
        <v>74</v>
      </c>
      <c r="M222" s="7" t="s">
        <v>801</v>
      </c>
      <c r="N222" s="9" t="s">
        <v>802</v>
      </c>
      <c r="O222" s="10">
        <v>45308</v>
      </c>
      <c r="P222" s="7" t="s">
        <v>41</v>
      </c>
      <c r="Q222" s="7"/>
      <c r="R222" s="7"/>
      <c r="S222" s="9">
        <v>286</v>
      </c>
      <c r="T222" s="9">
        <v>255</v>
      </c>
      <c r="U222" s="9"/>
      <c r="V222" s="9"/>
      <c r="W222" s="9">
        <v>231</v>
      </c>
      <c r="X222" s="9"/>
      <c r="Y222" s="9"/>
      <c r="Z222" s="9"/>
      <c r="AA222" s="9"/>
      <c r="AB222" s="9"/>
      <c r="AC222" s="9"/>
      <c r="AD222" s="9"/>
      <c r="AE222" s="9"/>
      <c r="AF222" s="9"/>
      <c r="AG222" s="9">
        <f t="shared" si="7"/>
        <v>3</v>
      </c>
      <c r="AH222" s="62">
        <f t="shared" si="8"/>
        <v>257.33333333333331</v>
      </c>
      <c r="AI222" s="11" t="str">
        <f>IF(AH222&gt;='Aprovados Recursos do Fundo'!$AQ$1,"APROVADO","REPROVADO")</f>
        <v>APROVADO</v>
      </c>
    </row>
    <row r="223" spans="2:35" s="64" customFormat="1" ht="39.950000000000003" hidden="1" customHeight="1" x14ac:dyDescent="0.25">
      <c r="B223" s="5">
        <v>490</v>
      </c>
      <c r="C223" s="27" t="s">
        <v>2394</v>
      </c>
      <c r="D223" s="5" t="s">
        <v>33</v>
      </c>
      <c r="E223" s="5" t="s">
        <v>2395</v>
      </c>
      <c r="F223" s="7" t="s">
        <v>2396</v>
      </c>
      <c r="G223" s="7" t="s">
        <v>107</v>
      </c>
      <c r="H223" s="8">
        <v>268000</v>
      </c>
      <c r="I223" s="8"/>
      <c r="J223" s="8"/>
      <c r="K223" s="7" t="s">
        <v>2397</v>
      </c>
      <c r="L223" s="7" t="s">
        <v>181</v>
      </c>
      <c r="M223" s="7" t="s">
        <v>2398</v>
      </c>
      <c r="N223" s="9" t="s">
        <v>2399</v>
      </c>
      <c r="O223" s="10">
        <v>45322</v>
      </c>
      <c r="P223" s="7" t="s">
        <v>41</v>
      </c>
      <c r="Q223" s="7"/>
      <c r="R223" s="65"/>
      <c r="S223" s="7">
        <v>307</v>
      </c>
      <c r="T223" s="9">
        <v>160</v>
      </c>
      <c r="U223" s="9"/>
      <c r="V223" s="9"/>
      <c r="W223" s="9"/>
      <c r="X223" s="9"/>
      <c r="Y223" s="9"/>
      <c r="Z223" s="9"/>
      <c r="AA223" s="9"/>
      <c r="AB223" s="9"/>
      <c r="AC223" s="9"/>
      <c r="AD223" s="9">
        <v>305</v>
      </c>
      <c r="AE223" s="9"/>
      <c r="AF223" s="9"/>
      <c r="AG223" s="9">
        <f t="shared" si="7"/>
        <v>3</v>
      </c>
      <c r="AH223" s="62">
        <f t="shared" si="8"/>
        <v>257.33333333333331</v>
      </c>
      <c r="AI223" s="11" t="str">
        <f>IF(AH223&gt;='Aprovados Recursos do Fundo'!$AQ$1,"APROVADO","REPROVADO")</f>
        <v>APROVADO</v>
      </c>
    </row>
    <row r="224" spans="2:35" s="64" customFormat="1" ht="39.950000000000003" hidden="1" customHeight="1" x14ac:dyDescent="0.25">
      <c r="B224" s="5">
        <v>271</v>
      </c>
      <c r="C224" s="27" t="s">
        <v>1397</v>
      </c>
      <c r="D224" s="5" t="s">
        <v>33</v>
      </c>
      <c r="E224" s="5" t="s">
        <v>1398</v>
      </c>
      <c r="F224" s="7" t="s">
        <v>1399</v>
      </c>
      <c r="G224" s="7" t="s">
        <v>36</v>
      </c>
      <c r="H224" s="8">
        <v>223240.63</v>
      </c>
      <c r="I224" s="8"/>
      <c r="J224" s="8"/>
      <c r="K224" s="7" t="s">
        <v>993</v>
      </c>
      <c r="L224" s="9" t="s">
        <v>235</v>
      </c>
      <c r="M224" s="7" t="s">
        <v>1400</v>
      </c>
      <c r="N224" s="9" t="s">
        <v>1401</v>
      </c>
      <c r="O224" s="10">
        <v>45320</v>
      </c>
      <c r="P224" s="7" t="s">
        <v>41</v>
      </c>
      <c r="Q224" s="7"/>
      <c r="R224" s="65"/>
      <c r="S224" s="7">
        <v>327</v>
      </c>
      <c r="T224" s="9">
        <v>197</v>
      </c>
      <c r="U224" s="9">
        <v>247</v>
      </c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>
        <f t="shared" si="7"/>
        <v>3</v>
      </c>
      <c r="AH224" s="62">
        <f t="shared" si="8"/>
        <v>257</v>
      </c>
      <c r="AI224" s="11" t="str">
        <f>IF(AH224&gt;='Aprovados Recursos do Fundo'!$AQ$1,"APROVADO","REPROVADO")</f>
        <v>APROVADO</v>
      </c>
    </row>
    <row r="225" spans="2:35" s="64" customFormat="1" ht="39.950000000000003" hidden="1" customHeight="1" x14ac:dyDescent="0.25">
      <c r="B225" s="5">
        <v>180</v>
      </c>
      <c r="C225" s="22" t="s">
        <v>954</v>
      </c>
      <c r="D225" s="5" t="s">
        <v>51</v>
      </c>
      <c r="E225" s="9" t="s">
        <v>955</v>
      </c>
      <c r="F225" s="9" t="s">
        <v>956</v>
      </c>
      <c r="G225" s="11" t="s">
        <v>107</v>
      </c>
      <c r="H225" s="41">
        <v>60000</v>
      </c>
      <c r="I225" s="41"/>
      <c r="J225" s="41"/>
      <c r="K225" s="9" t="s">
        <v>957</v>
      </c>
      <c r="L225" s="11" t="s">
        <v>189</v>
      </c>
      <c r="M225" s="9" t="s">
        <v>958</v>
      </c>
      <c r="N225" s="9" t="s">
        <v>959</v>
      </c>
      <c r="O225" s="34">
        <v>45314</v>
      </c>
      <c r="P225" s="9" t="s">
        <v>41</v>
      </c>
      <c r="Q225" s="9"/>
      <c r="R225" s="9"/>
      <c r="S225" s="9">
        <v>340</v>
      </c>
      <c r="T225" s="9">
        <v>139</v>
      </c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>
        <v>291</v>
      </c>
      <c r="AF225" s="9"/>
      <c r="AG225" s="9">
        <f t="shared" si="7"/>
        <v>3</v>
      </c>
      <c r="AH225" s="62">
        <f t="shared" si="8"/>
        <v>256.66666666666669</v>
      </c>
      <c r="AI225" s="11" t="str">
        <f>IF(AH225&gt;='Aprovados Recursos do Fundo'!$AQ$1,"APROVADO","REPROVADO")</f>
        <v>APROVADO</v>
      </c>
    </row>
    <row r="226" spans="2:35" s="64" customFormat="1" ht="39.950000000000003" hidden="1" customHeight="1" x14ac:dyDescent="0.25">
      <c r="B226" s="5">
        <v>242</v>
      </c>
      <c r="C226" s="22" t="s">
        <v>1244</v>
      </c>
      <c r="D226" s="5" t="s">
        <v>51</v>
      </c>
      <c r="E226" s="9" t="s">
        <v>1245</v>
      </c>
      <c r="F226" s="11" t="s">
        <v>1246</v>
      </c>
      <c r="G226" s="11" t="s">
        <v>36</v>
      </c>
      <c r="H226" s="41">
        <v>500000</v>
      </c>
      <c r="I226" s="41"/>
      <c r="J226" s="41"/>
      <c r="K226" s="9" t="s">
        <v>1247</v>
      </c>
      <c r="L226" s="11" t="s">
        <v>154</v>
      </c>
      <c r="M226" s="9" t="s">
        <v>1248</v>
      </c>
      <c r="N226" s="68" t="s">
        <v>1249</v>
      </c>
      <c r="O226" s="34">
        <v>45320</v>
      </c>
      <c r="P226" s="9" t="s">
        <v>57</v>
      </c>
      <c r="Q226" s="9"/>
      <c r="R226" s="65"/>
      <c r="S226" s="9">
        <v>268</v>
      </c>
      <c r="T226" s="9"/>
      <c r="U226" s="9"/>
      <c r="V226" s="9"/>
      <c r="W226" s="9"/>
      <c r="X226" s="9">
        <v>278</v>
      </c>
      <c r="Y226" s="9">
        <v>224</v>
      </c>
      <c r="Z226" s="9"/>
      <c r="AA226" s="9"/>
      <c r="AB226" s="9"/>
      <c r="AC226" s="9"/>
      <c r="AD226" s="9"/>
      <c r="AE226" s="65"/>
      <c r="AF226" s="65"/>
      <c r="AG226" s="9">
        <f t="shared" si="7"/>
        <v>3</v>
      </c>
      <c r="AH226" s="62">
        <f t="shared" si="8"/>
        <v>256.66666666666669</v>
      </c>
      <c r="AI226" s="11" t="str">
        <f>IF(AH226&gt;='Aprovados Recursos do Fundo'!$AQ$1,"APROVADO","REPROVADO")</f>
        <v>APROVADO</v>
      </c>
    </row>
    <row r="227" spans="2:35" s="64" customFormat="1" ht="39.950000000000003" hidden="1" customHeight="1" x14ac:dyDescent="0.25">
      <c r="B227" s="5">
        <v>84</v>
      </c>
      <c r="C227" s="6" t="s">
        <v>483</v>
      </c>
      <c r="D227" s="5" t="s">
        <v>33</v>
      </c>
      <c r="E227" s="5" t="s">
        <v>484</v>
      </c>
      <c r="F227" s="7" t="s">
        <v>485</v>
      </c>
      <c r="G227" s="7" t="s">
        <v>336</v>
      </c>
      <c r="H227" s="8">
        <v>180000</v>
      </c>
      <c r="I227" s="8"/>
      <c r="J227" s="8"/>
      <c r="K227" s="7" t="s">
        <v>486</v>
      </c>
      <c r="L227" s="7" t="s">
        <v>348</v>
      </c>
      <c r="M227" s="7" t="s">
        <v>487</v>
      </c>
      <c r="N227" s="9" t="s">
        <v>488</v>
      </c>
      <c r="O227" s="10">
        <v>45307</v>
      </c>
      <c r="P227" s="7" t="s">
        <v>67</v>
      </c>
      <c r="Q227" s="7" t="s">
        <v>98</v>
      </c>
      <c r="R227" s="7"/>
      <c r="S227" s="9"/>
      <c r="T227" s="9">
        <v>175</v>
      </c>
      <c r="U227" s="9"/>
      <c r="V227" s="9"/>
      <c r="W227" s="9"/>
      <c r="X227" s="9"/>
      <c r="Y227" s="9"/>
      <c r="Z227" s="9">
        <v>297</v>
      </c>
      <c r="AA227" s="9">
        <v>297</v>
      </c>
      <c r="AB227" s="9"/>
      <c r="AC227" s="9"/>
      <c r="AD227" s="9"/>
      <c r="AE227" s="9"/>
      <c r="AF227" s="9"/>
      <c r="AG227" s="9">
        <f t="shared" si="7"/>
        <v>3</v>
      </c>
      <c r="AH227" s="62">
        <f t="shared" si="8"/>
        <v>256.33333333333331</v>
      </c>
      <c r="AI227" s="11" t="str">
        <f>IF(AH227&gt;='Aprovados Recursos do Fundo'!$AQ$1,"APROVADO","REPROVADO")</f>
        <v>APROVADO</v>
      </c>
    </row>
    <row r="228" spans="2:35" s="64" customFormat="1" ht="39.950000000000003" hidden="1" customHeight="1" x14ac:dyDescent="0.25">
      <c r="B228" s="5">
        <v>301</v>
      </c>
      <c r="C228" s="27" t="s">
        <v>1544</v>
      </c>
      <c r="D228" s="5" t="s">
        <v>33</v>
      </c>
      <c r="E228" s="5" t="s">
        <v>1545</v>
      </c>
      <c r="F228" s="7" t="s">
        <v>1546</v>
      </c>
      <c r="G228" s="7" t="s">
        <v>36</v>
      </c>
      <c r="H228" s="8">
        <v>49740</v>
      </c>
      <c r="I228" s="8"/>
      <c r="J228" s="8"/>
      <c r="K228" s="7" t="s">
        <v>1547</v>
      </c>
      <c r="L228" s="7" t="s">
        <v>445</v>
      </c>
      <c r="M228" s="7" t="s">
        <v>1548</v>
      </c>
      <c r="N228" s="9" t="s">
        <v>1549</v>
      </c>
      <c r="O228" s="10">
        <v>45321</v>
      </c>
      <c r="P228" s="7" t="s">
        <v>41</v>
      </c>
      <c r="Q228" s="7"/>
      <c r="R228" s="65"/>
      <c r="S228" s="7">
        <v>340</v>
      </c>
      <c r="T228" s="9">
        <v>178</v>
      </c>
      <c r="U228" s="9">
        <v>251</v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>
        <f t="shared" si="7"/>
        <v>3</v>
      </c>
      <c r="AH228" s="62">
        <f t="shared" si="8"/>
        <v>256.33333333333331</v>
      </c>
      <c r="AI228" s="11" t="str">
        <f>IF(AH228&gt;='Aprovados Recursos do Fundo'!$AQ$1,"APROVADO","REPROVADO")</f>
        <v>APROVADO</v>
      </c>
    </row>
    <row r="229" spans="2:35" s="64" customFormat="1" ht="39.950000000000003" hidden="1" customHeight="1" x14ac:dyDescent="0.25">
      <c r="B229" s="5">
        <v>367</v>
      </c>
      <c r="C229" s="22" t="s">
        <v>1851</v>
      </c>
      <c r="D229" s="5" t="s">
        <v>51</v>
      </c>
      <c r="E229" s="9" t="s">
        <v>1852</v>
      </c>
      <c r="F229" s="11" t="s">
        <v>1853</v>
      </c>
      <c r="G229" s="11" t="s">
        <v>36</v>
      </c>
      <c r="H229" s="41">
        <v>150000</v>
      </c>
      <c r="I229" s="41"/>
      <c r="J229" s="41"/>
      <c r="K229" s="9" t="s">
        <v>1854</v>
      </c>
      <c r="L229" s="11" t="s">
        <v>241</v>
      </c>
      <c r="M229" s="11" t="s">
        <v>1855</v>
      </c>
      <c r="N229" s="21" t="s">
        <v>1856</v>
      </c>
      <c r="O229" s="34">
        <v>45321</v>
      </c>
      <c r="P229" s="9" t="s">
        <v>41</v>
      </c>
      <c r="Q229" s="9"/>
      <c r="R229" s="65"/>
      <c r="S229" s="9">
        <v>330</v>
      </c>
      <c r="T229" s="9">
        <v>209</v>
      </c>
      <c r="U229" s="9"/>
      <c r="V229" s="9">
        <v>229</v>
      </c>
      <c r="W229" s="9"/>
      <c r="X229" s="9"/>
      <c r="Y229" s="9"/>
      <c r="Z229" s="9"/>
      <c r="AA229" s="9"/>
      <c r="AB229" s="9"/>
      <c r="AC229" s="9"/>
      <c r="AD229" s="9"/>
      <c r="AE229" s="65"/>
      <c r="AF229" s="65"/>
      <c r="AG229" s="9">
        <f t="shared" si="7"/>
        <v>3</v>
      </c>
      <c r="AH229" s="62">
        <f t="shared" si="8"/>
        <v>256</v>
      </c>
      <c r="AI229" s="11" t="str">
        <f>IF(AH229&gt;='Aprovados Recursos do Fundo'!$AQ$1,"APROVADO","REPROVADO")</f>
        <v>APROVADO</v>
      </c>
    </row>
    <row r="230" spans="2:35" s="64" customFormat="1" ht="39.950000000000003" hidden="1" customHeight="1" x14ac:dyDescent="0.25">
      <c r="B230" s="5">
        <v>399</v>
      </c>
      <c r="C230" s="27" t="s">
        <v>1990</v>
      </c>
      <c r="D230" s="5" t="s">
        <v>33</v>
      </c>
      <c r="E230" s="58" t="s">
        <v>1959</v>
      </c>
      <c r="F230" s="7" t="s">
        <v>1991</v>
      </c>
      <c r="G230" s="7" t="s">
        <v>36</v>
      </c>
      <c r="H230" s="8">
        <v>1318600</v>
      </c>
      <c r="I230" s="8"/>
      <c r="J230" s="8"/>
      <c r="K230" s="7" t="s">
        <v>290</v>
      </c>
      <c r="L230" s="7" t="s">
        <v>154</v>
      </c>
      <c r="M230" s="7" t="s">
        <v>1961</v>
      </c>
      <c r="N230" s="9" t="s">
        <v>1962</v>
      </c>
      <c r="O230" s="10">
        <v>45322</v>
      </c>
      <c r="P230" s="7" t="s">
        <v>41</v>
      </c>
      <c r="Q230" s="7"/>
      <c r="R230" s="65"/>
      <c r="S230" s="7">
        <v>294</v>
      </c>
      <c r="T230" s="9">
        <v>218</v>
      </c>
      <c r="U230" s="9"/>
      <c r="V230" s="9">
        <v>254</v>
      </c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>
        <f t="shared" si="7"/>
        <v>3</v>
      </c>
      <c r="AH230" s="62">
        <f t="shared" si="8"/>
        <v>255.33333333333334</v>
      </c>
      <c r="AI230" s="11" t="str">
        <f>IF(AH230&gt;=$AI$1,"APROVADO","REPROVADO")</f>
        <v>APROVADO</v>
      </c>
    </row>
    <row r="231" spans="2:35" s="64" customFormat="1" ht="39.950000000000003" hidden="1" customHeight="1" x14ac:dyDescent="0.25">
      <c r="B231" s="5">
        <v>338</v>
      </c>
      <c r="C231" s="27" t="s">
        <v>1729</v>
      </c>
      <c r="D231" s="5" t="s">
        <v>33</v>
      </c>
      <c r="E231" s="5" t="s">
        <v>1730</v>
      </c>
      <c r="F231" s="7" t="s">
        <v>1731</v>
      </c>
      <c r="G231" s="7" t="s">
        <v>107</v>
      </c>
      <c r="H231" s="8">
        <v>679588.24</v>
      </c>
      <c r="I231" s="8"/>
      <c r="J231" s="8"/>
      <c r="K231" s="7" t="s">
        <v>1732</v>
      </c>
      <c r="L231" s="7" t="s">
        <v>235</v>
      </c>
      <c r="M231" s="7" t="s">
        <v>1733</v>
      </c>
      <c r="N231" s="9" t="s">
        <v>1734</v>
      </c>
      <c r="O231" s="10">
        <v>45321</v>
      </c>
      <c r="P231" s="7" t="s">
        <v>41</v>
      </c>
      <c r="Q231" s="7"/>
      <c r="R231" s="65"/>
      <c r="S231" s="7">
        <v>240</v>
      </c>
      <c r="T231" s="9"/>
      <c r="U231" s="9">
        <v>242</v>
      </c>
      <c r="V231" s="9"/>
      <c r="W231" s="9"/>
      <c r="X231" s="9"/>
      <c r="Y231" s="9"/>
      <c r="Z231" s="9"/>
      <c r="AA231" s="9"/>
      <c r="AB231" s="9">
        <v>284</v>
      </c>
      <c r="AC231" s="9"/>
      <c r="AD231" s="9"/>
      <c r="AE231" s="9"/>
      <c r="AF231" s="9"/>
      <c r="AG231" s="9">
        <f t="shared" si="7"/>
        <v>3</v>
      </c>
      <c r="AH231" s="62">
        <f t="shared" si="8"/>
        <v>255.33333333333334</v>
      </c>
      <c r="AI231" s="11" t="str">
        <f>IF(AH231&gt;='Aprovados Recursos do Fundo'!$AQ$1,"APROVADO","REPROVADO")</f>
        <v>APROVADO</v>
      </c>
    </row>
    <row r="232" spans="2:35" s="64" customFormat="1" ht="39.950000000000003" hidden="1" customHeight="1" x14ac:dyDescent="0.25">
      <c r="B232" s="5">
        <v>13</v>
      </c>
      <c r="C232" s="6" t="s">
        <v>119</v>
      </c>
      <c r="D232" s="5" t="s">
        <v>33</v>
      </c>
      <c r="E232" s="5" t="s">
        <v>120</v>
      </c>
      <c r="F232" s="5" t="s">
        <v>121</v>
      </c>
      <c r="G232" s="5" t="s">
        <v>36</v>
      </c>
      <c r="H232" s="15">
        <v>69808.08</v>
      </c>
      <c r="I232" s="15"/>
      <c r="J232" s="15"/>
      <c r="K232" s="5" t="s">
        <v>122</v>
      </c>
      <c r="L232" s="5" t="s">
        <v>123</v>
      </c>
      <c r="M232" s="5" t="s">
        <v>124</v>
      </c>
      <c r="N232" s="9" t="s">
        <v>125</v>
      </c>
      <c r="O232" s="10">
        <v>45299</v>
      </c>
      <c r="P232" s="7" t="s">
        <v>41</v>
      </c>
      <c r="Q232" s="7"/>
      <c r="R232" s="7"/>
      <c r="S232" s="9">
        <v>329</v>
      </c>
      <c r="T232" s="9"/>
      <c r="U232" s="9">
        <v>236</v>
      </c>
      <c r="V232" s="9">
        <v>200</v>
      </c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>
        <f t="shared" si="7"/>
        <v>3</v>
      </c>
      <c r="AH232" s="62">
        <f t="shared" si="8"/>
        <v>255</v>
      </c>
      <c r="AI232" s="11" t="str">
        <f>IF(AH232&gt;='Aprovados Recursos do Fundo'!$AQ$1,"APROVADO","REPROVADO")</f>
        <v>APROVADO</v>
      </c>
    </row>
    <row r="233" spans="2:35" s="64" customFormat="1" ht="39.950000000000003" hidden="1" customHeight="1" x14ac:dyDescent="0.25">
      <c r="B233" s="5">
        <v>497</v>
      </c>
      <c r="C233" s="22" t="s">
        <v>2428</v>
      </c>
      <c r="D233" s="5" t="s">
        <v>51</v>
      </c>
      <c r="E233" s="9" t="s">
        <v>2429</v>
      </c>
      <c r="F233" s="9" t="s">
        <v>2402</v>
      </c>
      <c r="G233" s="11" t="s">
        <v>36</v>
      </c>
      <c r="H233" s="41">
        <v>164000</v>
      </c>
      <c r="I233" s="41"/>
      <c r="J233" s="41"/>
      <c r="K233" s="9" t="s">
        <v>2430</v>
      </c>
      <c r="L233" s="11" t="s">
        <v>47</v>
      </c>
      <c r="M233" s="9" t="s">
        <v>2431</v>
      </c>
      <c r="N233" s="67" t="s">
        <v>2432</v>
      </c>
      <c r="O233" s="34">
        <v>45322</v>
      </c>
      <c r="P233" s="9" t="s">
        <v>41</v>
      </c>
      <c r="Q233" s="9"/>
      <c r="R233" s="65"/>
      <c r="S233" s="9">
        <v>304</v>
      </c>
      <c r="T233" s="9">
        <v>223</v>
      </c>
      <c r="U233" s="9"/>
      <c r="V233" s="9">
        <v>237</v>
      </c>
      <c r="W233" s="9"/>
      <c r="X233" s="9"/>
      <c r="Y233" s="9"/>
      <c r="Z233" s="9"/>
      <c r="AA233" s="9"/>
      <c r="AB233" s="9"/>
      <c r="AC233" s="9"/>
      <c r="AD233" s="9"/>
      <c r="AE233" s="65"/>
      <c r="AF233" s="65"/>
      <c r="AG233" s="9">
        <f t="shared" si="7"/>
        <v>3</v>
      </c>
      <c r="AH233" s="62">
        <f t="shared" si="8"/>
        <v>254.66666666666666</v>
      </c>
      <c r="AI233" s="11" t="str">
        <f>IF(AH233&gt;='Aprovados Recursos do Fundo'!$AQ$1,"APROVADO","REPROVADO")</f>
        <v>APROVADO</v>
      </c>
    </row>
    <row r="234" spans="2:35" s="64" customFormat="1" ht="39.950000000000003" hidden="1" customHeight="1" x14ac:dyDescent="0.25">
      <c r="B234" s="5">
        <v>106</v>
      </c>
      <c r="C234" s="22" t="s">
        <v>601</v>
      </c>
      <c r="D234" s="5" t="s">
        <v>51</v>
      </c>
      <c r="E234" s="9" t="s">
        <v>594</v>
      </c>
      <c r="F234" s="11" t="s">
        <v>602</v>
      </c>
      <c r="G234" s="11" t="s">
        <v>36</v>
      </c>
      <c r="H234" s="41">
        <v>988105.45</v>
      </c>
      <c r="I234" s="41"/>
      <c r="J234" s="41"/>
      <c r="K234" s="9" t="s">
        <v>596</v>
      </c>
      <c r="L234" s="11" t="s">
        <v>597</v>
      </c>
      <c r="M234" s="9" t="s">
        <v>603</v>
      </c>
      <c r="N234" s="9" t="s">
        <v>604</v>
      </c>
      <c r="O234" s="34">
        <v>45307</v>
      </c>
      <c r="P234" s="9" t="s">
        <v>57</v>
      </c>
      <c r="Q234" s="11" t="s">
        <v>118</v>
      </c>
      <c r="R234" s="9"/>
      <c r="S234" s="9">
        <v>293</v>
      </c>
      <c r="T234" s="9">
        <v>142</v>
      </c>
      <c r="U234" s="9"/>
      <c r="V234" s="9"/>
      <c r="W234" s="9"/>
      <c r="X234" s="9"/>
      <c r="Y234" s="9"/>
      <c r="Z234" s="9"/>
      <c r="AA234" s="9">
        <v>328</v>
      </c>
      <c r="AB234" s="9"/>
      <c r="AC234" s="9"/>
      <c r="AD234" s="9"/>
      <c r="AE234" s="9"/>
      <c r="AF234" s="9"/>
      <c r="AG234" s="9">
        <f t="shared" si="7"/>
        <v>3</v>
      </c>
      <c r="AH234" s="62">
        <f t="shared" si="8"/>
        <v>254.33333333333334</v>
      </c>
      <c r="AI234" s="11" t="str">
        <f>IF(AH234&gt;=$AI$1,"APROVADO","REPROVADO")</f>
        <v>APROVADO</v>
      </c>
    </row>
    <row r="235" spans="2:35" s="64" customFormat="1" ht="39.950000000000003" hidden="1" customHeight="1" x14ac:dyDescent="0.25">
      <c r="B235" s="5">
        <v>257</v>
      </c>
      <c r="C235" s="6" t="s">
        <v>1328</v>
      </c>
      <c r="D235" s="5" t="s">
        <v>33</v>
      </c>
      <c r="E235" s="5" t="s">
        <v>1329</v>
      </c>
      <c r="F235" s="5" t="s">
        <v>1330</v>
      </c>
      <c r="G235" s="7" t="s">
        <v>36</v>
      </c>
      <c r="H235" s="8">
        <v>799023.7</v>
      </c>
      <c r="I235" s="8"/>
      <c r="J235" s="8"/>
      <c r="K235" s="7" t="s">
        <v>859</v>
      </c>
      <c r="L235" s="7" t="s">
        <v>181</v>
      </c>
      <c r="M235" s="7" t="s">
        <v>1331</v>
      </c>
      <c r="N235" s="9" t="s">
        <v>1332</v>
      </c>
      <c r="O235" s="10">
        <v>45320</v>
      </c>
      <c r="P235" s="5" t="s">
        <v>67</v>
      </c>
      <c r="Q235" s="7"/>
      <c r="R235" s="65"/>
      <c r="S235" s="5">
        <v>340</v>
      </c>
      <c r="T235" s="9">
        <v>157</v>
      </c>
      <c r="U235" s="9">
        <v>266</v>
      </c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>
        <f t="shared" si="7"/>
        <v>3</v>
      </c>
      <c r="AH235" s="62">
        <f t="shared" si="8"/>
        <v>254.33333333333334</v>
      </c>
      <c r="AI235" s="11" t="str">
        <f>IF(AH235&gt;='Aprovados Recursos do Fundo'!$AQ$1,"APROVADO","REPROVADO")</f>
        <v>APROVADO</v>
      </c>
    </row>
    <row r="236" spans="2:35" s="64" customFormat="1" ht="39.950000000000003" hidden="1" customHeight="1" x14ac:dyDescent="0.25">
      <c r="B236" s="5">
        <v>152</v>
      </c>
      <c r="C236" s="22" t="s">
        <v>807</v>
      </c>
      <c r="D236" s="5" t="s">
        <v>51</v>
      </c>
      <c r="E236" s="9" t="s">
        <v>808</v>
      </c>
      <c r="F236" s="9" t="s">
        <v>809</v>
      </c>
      <c r="G236" s="11" t="s">
        <v>36</v>
      </c>
      <c r="H236" s="41">
        <v>72659.16</v>
      </c>
      <c r="I236" s="41"/>
      <c r="J236" s="41"/>
      <c r="K236" s="9" t="s">
        <v>810</v>
      </c>
      <c r="L236" s="11" t="s">
        <v>95</v>
      </c>
      <c r="M236" s="9" t="s">
        <v>811</v>
      </c>
      <c r="N236" s="9" t="s">
        <v>812</v>
      </c>
      <c r="O236" s="34">
        <v>45308</v>
      </c>
      <c r="P236" s="7" t="s">
        <v>41</v>
      </c>
      <c r="Q236" s="11" t="s">
        <v>813</v>
      </c>
      <c r="R236" s="9" t="s">
        <v>814</v>
      </c>
      <c r="S236" s="9">
        <v>322</v>
      </c>
      <c r="T236" s="9"/>
      <c r="U236" s="9">
        <v>216</v>
      </c>
      <c r="V236" s="9"/>
      <c r="W236" s="9"/>
      <c r="X236" s="9"/>
      <c r="Y236" s="9"/>
      <c r="Z236" s="9"/>
      <c r="AA236" s="9"/>
      <c r="AB236" s="9"/>
      <c r="AC236" s="9"/>
      <c r="AD236" s="9">
        <v>222</v>
      </c>
      <c r="AE236" s="9"/>
      <c r="AF236" s="9"/>
      <c r="AG236" s="9">
        <f t="shared" si="7"/>
        <v>3</v>
      </c>
      <c r="AH236" s="62">
        <f t="shared" si="8"/>
        <v>253.33333333333334</v>
      </c>
      <c r="AI236" s="11" t="str">
        <f>IF(AH236&gt;='Aprovados Recursos do Fundo'!$AQ$1,"APROVADO","REPROVADO")</f>
        <v>APROVADO</v>
      </c>
    </row>
    <row r="237" spans="2:35" s="64" customFormat="1" ht="39.950000000000003" hidden="1" customHeight="1" x14ac:dyDescent="0.25">
      <c r="B237" s="5">
        <v>292</v>
      </c>
      <c r="C237" s="6" t="s">
        <v>1496</v>
      </c>
      <c r="D237" s="5" t="s">
        <v>33</v>
      </c>
      <c r="E237" s="5" t="s">
        <v>1497</v>
      </c>
      <c r="F237" s="5" t="s">
        <v>1498</v>
      </c>
      <c r="G237" s="7" t="s">
        <v>36</v>
      </c>
      <c r="H237" s="8">
        <v>40000</v>
      </c>
      <c r="I237" s="8"/>
      <c r="J237" s="8"/>
      <c r="K237" s="7" t="s">
        <v>1490</v>
      </c>
      <c r="L237" s="7" t="s">
        <v>1414</v>
      </c>
      <c r="M237" s="7" t="s">
        <v>1499</v>
      </c>
      <c r="N237" s="9" t="s">
        <v>1500</v>
      </c>
      <c r="O237" s="10">
        <v>45321</v>
      </c>
      <c r="P237" s="5" t="s">
        <v>67</v>
      </c>
      <c r="Q237" s="7"/>
      <c r="R237" s="65"/>
      <c r="S237" s="5">
        <v>270</v>
      </c>
      <c r="T237" s="9">
        <v>243</v>
      </c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>
        <v>247</v>
      </c>
      <c r="AF237" s="9"/>
      <c r="AG237" s="9">
        <f t="shared" si="7"/>
        <v>3</v>
      </c>
      <c r="AH237" s="62">
        <f t="shared" si="8"/>
        <v>253.33333333333334</v>
      </c>
      <c r="AI237" s="11" t="str">
        <f>IF(AH237&gt;='Aprovados Recursos do Fundo'!$AQ$1,"APROVADO","REPROVADO")</f>
        <v>APROVADO</v>
      </c>
    </row>
    <row r="238" spans="2:35" s="64" customFormat="1" ht="39.950000000000003" hidden="1" customHeight="1" x14ac:dyDescent="0.25">
      <c r="B238" s="5">
        <v>603</v>
      </c>
      <c r="C238" s="6" t="s">
        <v>2867</v>
      </c>
      <c r="D238" s="5" t="s">
        <v>33</v>
      </c>
      <c r="E238" s="5" t="s">
        <v>2868</v>
      </c>
      <c r="F238" s="7" t="s">
        <v>2869</v>
      </c>
      <c r="G238" s="7" t="s">
        <v>36</v>
      </c>
      <c r="H238" s="8">
        <v>1149380</v>
      </c>
      <c r="I238" s="8"/>
      <c r="J238" s="8"/>
      <c r="K238" s="7" t="s">
        <v>73</v>
      </c>
      <c r="L238" s="5" t="s">
        <v>74</v>
      </c>
      <c r="M238" s="7" t="s">
        <v>2870</v>
      </c>
      <c r="N238" s="9" t="s">
        <v>2871</v>
      </c>
      <c r="O238" s="10">
        <v>45322</v>
      </c>
      <c r="P238" s="7" t="s">
        <v>41</v>
      </c>
      <c r="Q238" s="7" t="s">
        <v>83</v>
      </c>
      <c r="R238" s="7" t="s">
        <v>2872</v>
      </c>
      <c r="S238" s="7">
        <v>296</v>
      </c>
      <c r="T238" s="9"/>
      <c r="U238" s="9">
        <v>245</v>
      </c>
      <c r="V238" s="9"/>
      <c r="W238" s="9"/>
      <c r="X238" s="9"/>
      <c r="Y238" s="9"/>
      <c r="Z238" s="9"/>
      <c r="AA238" s="9"/>
      <c r="AB238" s="9"/>
      <c r="AC238" s="9"/>
      <c r="AD238" s="9"/>
      <c r="AE238" s="9">
        <v>219</v>
      </c>
      <c r="AF238" s="9"/>
      <c r="AG238" s="9">
        <f t="shared" si="7"/>
        <v>3</v>
      </c>
      <c r="AH238" s="62">
        <f t="shared" si="8"/>
        <v>253.33333333333334</v>
      </c>
      <c r="AI238" s="11" t="str">
        <f>IF(AH238&gt;='Aprovados Recursos do Fundo'!$AQ$1,"APROVADO","REPROVADO")</f>
        <v>APROVADO</v>
      </c>
    </row>
    <row r="239" spans="2:35" s="64" customFormat="1" ht="39.950000000000003" hidden="1" customHeight="1" x14ac:dyDescent="0.25">
      <c r="B239" s="5">
        <v>272</v>
      </c>
      <c r="C239" s="27" t="s">
        <v>1402</v>
      </c>
      <c r="D239" s="5" t="s">
        <v>33</v>
      </c>
      <c r="E239" s="5" t="s">
        <v>1398</v>
      </c>
      <c r="F239" s="7" t="s">
        <v>1403</v>
      </c>
      <c r="G239" s="7" t="s">
        <v>36</v>
      </c>
      <c r="H239" s="8">
        <v>193561.25</v>
      </c>
      <c r="I239" s="8"/>
      <c r="J239" s="8"/>
      <c r="K239" s="7" t="s">
        <v>993</v>
      </c>
      <c r="L239" s="9" t="s">
        <v>235</v>
      </c>
      <c r="M239" s="7" t="s">
        <v>1400</v>
      </c>
      <c r="N239" s="9" t="s">
        <v>1401</v>
      </c>
      <c r="O239" s="10">
        <v>45320</v>
      </c>
      <c r="P239" s="7" t="s">
        <v>41</v>
      </c>
      <c r="Q239" s="7"/>
      <c r="R239" s="65"/>
      <c r="S239" s="7">
        <v>340</v>
      </c>
      <c r="T239" s="9">
        <v>188</v>
      </c>
      <c r="U239" s="9">
        <v>231</v>
      </c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>
        <f t="shared" si="7"/>
        <v>3</v>
      </c>
      <c r="AH239" s="62">
        <f t="shared" si="8"/>
        <v>253</v>
      </c>
      <c r="AI239" s="11" t="str">
        <f>IF(AH239&gt;=$AI$1,"APROVADO","REPROVADO")</f>
        <v>APROVADO</v>
      </c>
    </row>
    <row r="240" spans="2:35" s="64" customFormat="1" ht="39.950000000000003" hidden="1" customHeight="1" x14ac:dyDescent="0.25">
      <c r="B240" s="5">
        <v>163</v>
      </c>
      <c r="C240" s="6" t="s">
        <v>862</v>
      </c>
      <c r="D240" s="5" t="s">
        <v>33</v>
      </c>
      <c r="E240" s="5" t="s">
        <v>857</v>
      </c>
      <c r="F240" s="7" t="s">
        <v>863</v>
      </c>
      <c r="G240" s="7" t="s">
        <v>36</v>
      </c>
      <c r="H240" s="8">
        <v>309808.38</v>
      </c>
      <c r="I240" s="8"/>
      <c r="J240" s="8"/>
      <c r="K240" s="7" t="s">
        <v>859</v>
      </c>
      <c r="L240" s="7" t="s">
        <v>181</v>
      </c>
      <c r="M240" s="7" t="s">
        <v>860</v>
      </c>
      <c r="N240" s="9" t="s">
        <v>861</v>
      </c>
      <c r="O240" s="10">
        <v>45309</v>
      </c>
      <c r="P240" s="7" t="s">
        <v>67</v>
      </c>
      <c r="Q240" s="7" t="s">
        <v>157</v>
      </c>
      <c r="R240" s="7"/>
      <c r="S240" s="9"/>
      <c r="T240" s="9">
        <v>105</v>
      </c>
      <c r="U240" s="9"/>
      <c r="V240" s="9"/>
      <c r="W240" s="9"/>
      <c r="X240" s="9"/>
      <c r="Y240" s="9"/>
      <c r="Z240" s="9">
        <v>335</v>
      </c>
      <c r="AA240" s="9">
        <v>318</v>
      </c>
      <c r="AB240" s="9"/>
      <c r="AC240" s="9"/>
      <c r="AD240" s="9"/>
      <c r="AE240" s="9"/>
      <c r="AF240" s="9"/>
      <c r="AG240" s="9">
        <f t="shared" si="7"/>
        <v>3</v>
      </c>
      <c r="AH240" s="62">
        <f t="shared" si="8"/>
        <v>252.66666666666666</v>
      </c>
      <c r="AI240" s="11" t="str">
        <f>IF(AH240&gt;='Aprovados Recursos do Fundo'!$AQ$1,"APROVADO","REPROVADO")</f>
        <v>APROVADO</v>
      </c>
    </row>
    <row r="241" spans="2:35" s="64" customFormat="1" ht="39.950000000000003" hidden="1" customHeight="1" x14ac:dyDescent="0.25">
      <c r="B241" s="5">
        <v>8</v>
      </c>
      <c r="C241" s="6" t="s">
        <v>91</v>
      </c>
      <c r="D241" s="5" t="s">
        <v>33</v>
      </c>
      <c r="E241" s="5" t="s">
        <v>92</v>
      </c>
      <c r="F241" s="5" t="s">
        <v>93</v>
      </c>
      <c r="G241" s="5" t="s">
        <v>36</v>
      </c>
      <c r="H241" s="15">
        <v>250640</v>
      </c>
      <c r="I241" s="15"/>
      <c r="J241" s="15"/>
      <c r="K241" s="7" t="s">
        <v>94</v>
      </c>
      <c r="L241" s="5" t="s">
        <v>95</v>
      </c>
      <c r="M241" s="5" t="s">
        <v>96</v>
      </c>
      <c r="N241" s="5" t="s">
        <v>97</v>
      </c>
      <c r="O241" s="10">
        <v>45296</v>
      </c>
      <c r="P241" s="7" t="s">
        <v>67</v>
      </c>
      <c r="Q241" s="7" t="s">
        <v>98</v>
      </c>
      <c r="R241" s="7"/>
      <c r="S241" s="9"/>
      <c r="T241" s="9">
        <v>170</v>
      </c>
      <c r="U241" s="9"/>
      <c r="V241" s="9"/>
      <c r="W241" s="9"/>
      <c r="X241" s="9">
        <v>302</v>
      </c>
      <c r="Y241" s="9">
        <v>285</v>
      </c>
      <c r="Z241" s="9"/>
      <c r="AA241" s="9"/>
      <c r="AB241" s="9"/>
      <c r="AC241" s="9"/>
      <c r="AD241" s="9"/>
      <c r="AE241" s="9"/>
      <c r="AF241" s="9"/>
      <c r="AG241" s="9">
        <f t="shared" si="7"/>
        <v>3</v>
      </c>
      <c r="AH241" s="62">
        <f t="shared" si="8"/>
        <v>252.33333333333334</v>
      </c>
      <c r="AI241" s="11" t="str">
        <f>IF(AH241&gt;=$AI$1,"APROVADO","REPROVADO")</f>
        <v>APROVADO</v>
      </c>
    </row>
    <row r="242" spans="2:35" s="64" customFormat="1" ht="39.950000000000003" hidden="1" customHeight="1" x14ac:dyDescent="0.25">
      <c r="B242" s="5">
        <v>284</v>
      </c>
      <c r="C242" s="27" t="s">
        <v>1462</v>
      </c>
      <c r="D242" s="5" t="s">
        <v>33</v>
      </c>
      <c r="E242" s="58" t="s">
        <v>1457</v>
      </c>
      <c r="F242" s="7" t="s">
        <v>1463</v>
      </c>
      <c r="G242" s="7" t="s">
        <v>36</v>
      </c>
      <c r="H242" s="8">
        <v>200750</v>
      </c>
      <c r="I242" s="8"/>
      <c r="J242" s="8"/>
      <c r="K242" s="7" t="s">
        <v>1459</v>
      </c>
      <c r="L242" s="7" t="s">
        <v>270</v>
      </c>
      <c r="M242" s="7" t="s">
        <v>1460</v>
      </c>
      <c r="N242" s="9" t="s">
        <v>1461</v>
      </c>
      <c r="O242" s="10">
        <v>45321</v>
      </c>
      <c r="P242" s="7" t="s">
        <v>41</v>
      </c>
      <c r="Q242" s="7"/>
      <c r="R242" s="65"/>
      <c r="S242" s="7">
        <v>328</v>
      </c>
      <c r="T242" s="9">
        <v>178</v>
      </c>
      <c r="U242" s="9">
        <v>251</v>
      </c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>
        <f t="shared" si="7"/>
        <v>3</v>
      </c>
      <c r="AH242" s="62">
        <f t="shared" si="8"/>
        <v>252.33333333333334</v>
      </c>
      <c r="AI242" s="11" t="str">
        <f>IF(AH242&gt;=$AI$1,"APROVADO","REPROVADO")</f>
        <v>APROVADO</v>
      </c>
    </row>
    <row r="243" spans="2:35" s="64" customFormat="1" ht="39.950000000000003" hidden="1" customHeight="1" x14ac:dyDescent="0.25">
      <c r="B243" s="5">
        <v>407</v>
      </c>
      <c r="C243" s="6" t="s">
        <v>2027</v>
      </c>
      <c r="D243" s="5" t="s">
        <v>33</v>
      </c>
      <c r="E243" s="58" t="s">
        <v>2028</v>
      </c>
      <c r="F243" s="7" t="s">
        <v>2029</v>
      </c>
      <c r="G243" s="7" t="s">
        <v>107</v>
      </c>
      <c r="H243" s="8">
        <v>400000</v>
      </c>
      <c r="I243" s="8"/>
      <c r="J243" s="8"/>
      <c r="K243" s="7" t="s">
        <v>73</v>
      </c>
      <c r="L243" s="5" t="s">
        <v>74</v>
      </c>
      <c r="M243" s="7" t="s">
        <v>2030</v>
      </c>
      <c r="N243" s="9" t="s">
        <v>2031</v>
      </c>
      <c r="O243" s="10">
        <v>45322</v>
      </c>
      <c r="P243" s="7" t="s">
        <v>67</v>
      </c>
      <c r="Q243" s="7"/>
      <c r="R243" s="65"/>
      <c r="S243" s="7">
        <v>285</v>
      </c>
      <c r="T243" s="9"/>
      <c r="U243" s="9"/>
      <c r="V243" s="9"/>
      <c r="W243" s="9"/>
      <c r="X243" s="9"/>
      <c r="Y243" s="9"/>
      <c r="Z243" s="9">
        <v>320</v>
      </c>
      <c r="AA243" s="9"/>
      <c r="AB243" s="9"/>
      <c r="AC243" s="9"/>
      <c r="AD243" s="9"/>
      <c r="AE243" s="9">
        <v>152</v>
      </c>
      <c r="AF243" s="9"/>
      <c r="AG243" s="9">
        <f t="shared" si="7"/>
        <v>3</v>
      </c>
      <c r="AH243" s="62">
        <f t="shared" si="8"/>
        <v>252.33333333333334</v>
      </c>
      <c r="AI243" s="11" t="str">
        <f>IF(AH243&gt;=$AI$1,"APROVADO","REPROVADO")</f>
        <v>APROVADO</v>
      </c>
    </row>
    <row r="244" spans="2:35" s="64" customFormat="1" ht="39.950000000000003" hidden="1" customHeight="1" x14ac:dyDescent="0.25">
      <c r="B244" s="5">
        <v>605</v>
      </c>
      <c r="C244" s="6" t="s">
        <v>2877</v>
      </c>
      <c r="D244" s="5" t="s">
        <v>33</v>
      </c>
      <c r="E244" s="5" t="s">
        <v>2868</v>
      </c>
      <c r="F244" s="7" t="s">
        <v>2878</v>
      </c>
      <c r="G244" s="7" t="s">
        <v>336</v>
      </c>
      <c r="H244" s="8">
        <v>1422430</v>
      </c>
      <c r="I244" s="8"/>
      <c r="J244" s="8"/>
      <c r="K244" s="7" t="s">
        <v>73</v>
      </c>
      <c r="L244" s="5" t="s">
        <v>74</v>
      </c>
      <c r="M244" s="7" t="s">
        <v>2870</v>
      </c>
      <c r="N244" s="9" t="s">
        <v>2871</v>
      </c>
      <c r="O244" s="10">
        <v>45322</v>
      </c>
      <c r="P244" s="7" t="s">
        <v>41</v>
      </c>
      <c r="Q244" s="7" t="s">
        <v>83</v>
      </c>
      <c r="R244" s="7" t="s">
        <v>2872</v>
      </c>
      <c r="S244" s="7">
        <v>273</v>
      </c>
      <c r="T244" s="9"/>
      <c r="U244" s="9">
        <v>260</v>
      </c>
      <c r="V244" s="9"/>
      <c r="W244" s="9"/>
      <c r="X244" s="9"/>
      <c r="Y244" s="9"/>
      <c r="Z244" s="9"/>
      <c r="AA244" s="9"/>
      <c r="AB244" s="9"/>
      <c r="AC244" s="9"/>
      <c r="AD244" s="9"/>
      <c r="AE244" s="9">
        <v>224</v>
      </c>
      <c r="AF244" s="9"/>
      <c r="AG244" s="9">
        <f t="shared" si="7"/>
        <v>3</v>
      </c>
      <c r="AH244" s="62">
        <f t="shared" si="8"/>
        <v>252.33333333333334</v>
      </c>
      <c r="AI244" s="11" t="str">
        <f>IF(AH244&gt;=$AI$1,"APROVADO","REPROVADO")</f>
        <v>APROVADO</v>
      </c>
    </row>
    <row r="245" spans="2:35" s="64" customFormat="1" ht="39.950000000000003" hidden="1" customHeight="1" x14ac:dyDescent="0.25">
      <c r="B245" s="5">
        <v>24</v>
      </c>
      <c r="C245" s="6" t="s">
        <v>192</v>
      </c>
      <c r="D245" s="5" t="s">
        <v>33</v>
      </c>
      <c r="E245" s="5" t="s">
        <v>193</v>
      </c>
      <c r="F245" s="7" t="s">
        <v>194</v>
      </c>
      <c r="G245" s="7" t="s">
        <v>36</v>
      </c>
      <c r="H245" s="8">
        <v>267766.51</v>
      </c>
      <c r="I245" s="8"/>
      <c r="J245" s="8"/>
      <c r="K245" s="7" t="s">
        <v>195</v>
      </c>
      <c r="L245" s="7" t="s">
        <v>64</v>
      </c>
      <c r="M245" s="7" t="s">
        <v>196</v>
      </c>
      <c r="N245" s="9" t="s">
        <v>197</v>
      </c>
      <c r="O245" s="10">
        <v>45302</v>
      </c>
      <c r="P245" s="7" t="s">
        <v>41</v>
      </c>
      <c r="Q245" s="7"/>
      <c r="R245" s="7"/>
      <c r="S245" s="9">
        <v>331</v>
      </c>
      <c r="T245" s="9"/>
      <c r="U245" s="9">
        <v>178</v>
      </c>
      <c r="V245" s="9">
        <v>248</v>
      </c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>
        <f t="shared" si="7"/>
        <v>3</v>
      </c>
      <c r="AH245" s="62">
        <f t="shared" si="8"/>
        <v>252.33333333333334</v>
      </c>
      <c r="AI245" s="11" t="str">
        <f>IF(AH245&gt;='Aprovados Recursos do Fundo'!$AQ$1,"APROVADO","REPROVADO")</f>
        <v>APROVADO</v>
      </c>
    </row>
    <row r="246" spans="2:35" s="64" customFormat="1" ht="39.950000000000003" hidden="1" customHeight="1" x14ac:dyDescent="0.25">
      <c r="B246" s="5">
        <v>499</v>
      </c>
      <c r="C246" s="27" t="s">
        <v>2439</v>
      </c>
      <c r="D246" s="5" t="s">
        <v>33</v>
      </c>
      <c r="E246" s="5" t="s">
        <v>2440</v>
      </c>
      <c r="F246" s="7" t="s">
        <v>2441</v>
      </c>
      <c r="G246" s="7" t="s">
        <v>107</v>
      </c>
      <c r="H246" s="8">
        <v>280000</v>
      </c>
      <c r="I246" s="8"/>
      <c r="J246" s="8"/>
      <c r="K246" s="7" t="s">
        <v>2442</v>
      </c>
      <c r="L246" s="7" t="s">
        <v>795</v>
      </c>
      <c r="M246" s="7" t="s">
        <v>2443</v>
      </c>
      <c r="N246" s="9" t="s">
        <v>2444</v>
      </c>
      <c r="O246" s="10">
        <v>45322</v>
      </c>
      <c r="P246" s="7" t="s">
        <v>41</v>
      </c>
      <c r="Q246" s="7"/>
      <c r="R246" s="65"/>
      <c r="S246" s="7">
        <v>302</v>
      </c>
      <c r="T246" s="9">
        <v>141</v>
      </c>
      <c r="U246" s="65"/>
      <c r="V246" s="9"/>
      <c r="W246" s="9"/>
      <c r="X246" s="9"/>
      <c r="Y246" s="9"/>
      <c r="Z246" s="9"/>
      <c r="AA246" s="9"/>
      <c r="AB246" s="9"/>
      <c r="AC246" s="9"/>
      <c r="AD246" s="9">
        <v>314</v>
      </c>
      <c r="AE246" s="9"/>
      <c r="AF246" s="9"/>
      <c r="AG246" s="9">
        <f t="shared" si="7"/>
        <v>3</v>
      </c>
      <c r="AH246" s="62">
        <f t="shared" si="8"/>
        <v>252.33333333333334</v>
      </c>
      <c r="AI246" s="11" t="str">
        <f>IF(AH246&gt;='Aprovados Recursos do Fundo'!$AQ$1,"APROVADO","REPROVADO")</f>
        <v>APROVADO</v>
      </c>
    </row>
    <row r="247" spans="2:35" s="64" customFormat="1" ht="39.950000000000003" hidden="1" customHeight="1" x14ac:dyDescent="0.25">
      <c r="B247" s="5">
        <v>270</v>
      </c>
      <c r="C247" s="27" t="s">
        <v>1392</v>
      </c>
      <c r="D247" s="5" t="s">
        <v>33</v>
      </c>
      <c r="E247" s="5" t="s">
        <v>1393</v>
      </c>
      <c r="F247" s="7" t="s">
        <v>1394</v>
      </c>
      <c r="G247" s="5" t="s">
        <v>62</v>
      </c>
      <c r="H247" s="8">
        <v>445266.8</v>
      </c>
      <c r="I247" s="8"/>
      <c r="J247" s="8"/>
      <c r="K247" s="7" t="s">
        <v>63</v>
      </c>
      <c r="L247" s="5" t="s">
        <v>64</v>
      </c>
      <c r="M247" s="7" t="s">
        <v>1395</v>
      </c>
      <c r="N247" s="9" t="s">
        <v>1396</v>
      </c>
      <c r="O247" s="10">
        <v>45320</v>
      </c>
      <c r="P247" s="7" t="s">
        <v>41</v>
      </c>
      <c r="Q247" s="7"/>
      <c r="R247" s="65"/>
      <c r="S247" s="7">
        <v>340</v>
      </c>
      <c r="T247" s="9">
        <v>167</v>
      </c>
      <c r="U247" s="9">
        <v>248</v>
      </c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>
        <f t="shared" si="7"/>
        <v>3</v>
      </c>
      <c r="AH247" s="62">
        <f t="shared" si="8"/>
        <v>251.66666666666666</v>
      </c>
      <c r="AI247" s="11" t="str">
        <f>IF(AH247&gt;='Aprovados Recursos do Fundo'!$AQ$1,"APROVADO","REPROVADO")</f>
        <v>APROVADO</v>
      </c>
    </row>
    <row r="248" spans="2:35" s="64" customFormat="1" ht="39.950000000000003" hidden="1" customHeight="1" x14ac:dyDescent="0.25">
      <c r="B248" s="5">
        <v>86</v>
      </c>
      <c r="C248" s="27" t="s">
        <v>494</v>
      </c>
      <c r="D248" s="5" t="s">
        <v>33</v>
      </c>
      <c r="E248" s="5" t="s">
        <v>495</v>
      </c>
      <c r="F248" s="7" t="s">
        <v>496</v>
      </c>
      <c r="G248" s="7" t="s">
        <v>36</v>
      </c>
      <c r="H248" s="8">
        <v>102600</v>
      </c>
      <c r="I248" s="8"/>
      <c r="J248" s="8"/>
      <c r="K248" s="7" t="s">
        <v>497</v>
      </c>
      <c r="L248" s="7" t="s">
        <v>141</v>
      </c>
      <c r="M248" s="7" t="s">
        <v>498</v>
      </c>
      <c r="N248" s="9" t="s">
        <v>499</v>
      </c>
      <c r="O248" s="10">
        <v>45307</v>
      </c>
      <c r="P248" s="7" t="s">
        <v>41</v>
      </c>
      <c r="Q248" s="7"/>
      <c r="R248" s="7"/>
      <c r="S248" s="9">
        <v>309</v>
      </c>
      <c r="T248" s="9">
        <v>203</v>
      </c>
      <c r="U248" s="9">
        <v>242</v>
      </c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>
        <f t="shared" si="7"/>
        <v>3</v>
      </c>
      <c r="AH248" s="62">
        <f t="shared" si="8"/>
        <v>251.33333333333334</v>
      </c>
      <c r="AI248" s="11" t="str">
        <f>IF(AH248&gt;='Aprovados Recursos do Fundo'!$AQ$1,"APROVADO","REPROVADO")</f>
        <v>APROVADO</v>
      </c>
    </row>
    <row r="249" spans="2:35" s="64" customFormat="1" ht="76.5" hidden="1" x14ac:dyDescent="0.25">
      <c r="B249" s="5">
        <v>348</v>
      </c>
      <c r="C249" s="27" t="s">
        <v>1770</v>
      </c>
      <c r="D249" s="5" t="s">
        <v>33</v>
      </c>
      <c r="E249" s="5" t="s">
        <v>120</v>
      </c>
      <c r="F249" s="5" t="s">
        <v>128</v>
      </c>
      <c r="G249" s="5" t="s">
        <v>36</v>
      </c>
      <c r="H249" s="15">
        <v>239095.32</v>
      </c>
      <c r="I249" s="15"/>
      <c r="J249" s="15"/>
      <c r="K249" s="5" t="s">
        <v>122</v>
      </c>
      <c r="L249" s="5" t="s">
        <v>123</v>
      </c>
      <c r="M249" s="5" t="s">
        <v>124</v>
      </c>
      <c r="N249" s="9" t="s">
        <v>125</v>
      </c>
      <c r="O249" s="10">
        <v>45299</v>
      </c>
      <c r="P249" s="7" t="s">
        <v>41</v>
      </c>
      <c r="Q249" s="7" t="s">
        <v>1771</v>
      </c>
      <c r="R249" s="65"/>
      <c r="S249" s="7">
        <v>296</v>
      </c>
      <c r="T249" s="9">
        <v>222</v>
      </c>
      <c r="U249" s="9"/>
      <c r="V249" s="9"/>
      <c r="W249" s="9"/>
      <c r="X249" s="9"/>
      <c r="Y249" s="9"/>
      <c r="Z249" s="9"/>
      <c r="AA249" s="9"/>
      <c r="AB249" s="9"/>
      <c r="AC249" s="9"/>
      <c r="AD249" s="9">
        <v>235</v>
      </c>
      <c r="AE249" s="9"/>
      <c r="AF249" s="9"/>
      <c r="AG249" s="9">
        <f t="shared" si="7"/>
        <v>3</v>
      </c>
      <c r="AH249" s="62">
        <f t="shared" si="8"/>
        <v>251</v>
      </c>
      <c r="AI249" s="11" t="str">
        <f>IF(AH249&gt;=$AI$1,"APROVADO","REPROVADO")</f>
        <v>APROVADO</v>
      </c>
    </row>
    <row r="250" spans="2:35" s="64" customFormat="1" ht="39.950000000000003" hidden="1" customHeight="1" x14ac:dyDescent="0.25">
      <c r="B250" s="5">
        <v>197</v>
      </c>
      <c r="C250" s="27" t="s">
        <v>1047</v>
      </c>
      <c r="D250" s="5" t="s">
        <v>33</v>
      </c>
      <c r="E250" s="5" t="s">
        <v>1048</v>
      </c>
      <c r="F250" s="7" t="s">
        <v>1049</v>
      </c>
      <c r="G250" s="7" t="s">
        <v>107</v>
      </c>
      <c r="H250" s="8">
        <v>382990.71</v>
      </c>
      <c r="I250" s="8"/>
      <c r="J250" s="8"/>
      <c r="K250" s="7" t="s">
        <v>390</v>
      </c>
      <c r="L250" s="7" t="s">
        <v>391</v>
      </c>
      <c r="M250" s="7" t="s">
        <v>1050</v>
      </c>
      <c r="N250" s="9" t="s">
        <v>1051</v>
      </c>
      <c r="O250" s="10">
        <v>45315</v>
      </c>
      <c r="P250" s="9" t="s">
        <v>41</v>
      </c>
      <c r="Q250" s="9"/>
      <c r="R250" s="65"/>
      <c r="S250" s="7">
        <v>269</v>
      </c>
      <c r="T250" s="9">
        <v>154</v>
      </c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>
        <v>330</v>
      </c>
      <c r="AF250" s="9"/>
      <c r="AG250" s="9">
        <f t="shared" si="7"/>
        <v>3</v>
      </c>
      <c r="AH250" s="62">
        <f t="shared" si="8"/>
        <v>251</v>
      </c>
      <c r="AI250" s="11" t="str">
        <f>IF(AH250&gt;='Aprovados Recursos do Fundo'!$AQ$1,"APROVADO","REPROVADO")</f>
        <v>APROVADO</v>
      </c>
    </row>
    <row r="251" spans="2:35" s="64" customFormat="1" ht="39.950000000000003" hidden="1" customHeight="1" x14ac:dyDescent="0.25">
      <c r="B251" s="5">
        <v>208</v>
      </c>
      <c r="C251" s="27" t="s">
        <v>1094</v>
      </c>
      <c r="D251" s="5" t="s">
        <v>33</v>
      </c>
      <c r="E251" s="5" t="s">
        <v>1090</v>
      </c>
      <c r="F251" s="7" t="s">
        <v>1095</v>
      </c>
      <c r="G251" s="7" t="s">
        <v>72</v>
      </c>
      <c r="H251" s="8">
        <v>280900</v>
      </c>
      <c r="I251" s="8"/>
      <c r="J251" s="8"/>
      <c r="K251" s="7" t="s">
        <v>728</v>
      </c>
      <c r="L251" s="7" t="s">
        <v>123</v>
      </c>
      <c r="M251" s="7" t="s">
        <v>1092</v>
      </c>
      <c r="N251" s="9" t="s">
        <v>1093</v>
      </c>
      <c r="O251" s="10">
        <v>45320</v>
      </c>
      <c r="P251" s="7" t="s">
        <v>41</v>
      </c>
      <c r="Q251" s="7"/>
      <c r="R251" s="65"/>
      <c r="S251" s="7">
        <v>292</v>
      </c>
      <c r="T251" s="9">
        <v>198</v>
      </c>
      <c r="U251" s="9">
        <v>262</v>
      </c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>
        <f t="shared" si="7"/>
        <v>3</v>
      </c>
      <c r="AH251" s="62">
        <f t="shared" si="8"/>
        <v>250.66666666666666</v>
      </c>
      <c r="AI251" s="11" t="str">
        <f>IF(AH251&gt;=$AI$1,"APROVADO","REPROVADO")</f>
        <v>APROVADO</v>
      </c>
    </row>
    <row r="252" spans="2:35" s="64" customFormat="1" ht="39.950000000000003" hidden="1" customHeight="1" x14ac:dyDescent="0.25">
      <c r="B252" s="5">
        <v>210</v>
      </c>
      <c r="C252" s="6" t="s">
        <v>1099</v>
      </c>
      <c r="D252" s="5" t="s">
        <v>33</v>
      </c>
      <c r="E252" s="5" t="s">
        <v>1100</v>
      </c>
      <c r="F252" s="7" t="s">
        <v>1101</v>
      </c>
      <c r="G252" s="7" t="s">
        <v>107</v>
      </c>
      <c r="H252" s="8">
        <v>704000</v>
      </c>
      <c r="I252" s="8"/>
      <c r="J252" s="8"/>
      <c r="K252" s="7" t="s">
        <v>728</v>
      </c>
      <c r="L252" s="7" t="s">
        <v>123</v>
      </c>
      <c r="M252" s="7" t="s">
        <v>1102</v>
      </c>
      <c r="N252" s="9" t="s">
        <v>1103</v>
      </c>
      <c r="O252" s="10">
        <v>45320</v>
      </c>
      <c r="P252" s="7" t="s">
        <v>67</v>
      </c>
      <c r="Q252" s="7"/>
      <c r="R252" s="65"/>
      <c r="S252" s="7"/>
      <c r="T252" s="9">
        <v>146</v>
      </c>
      <c r="U252" s="9"/>
      <c r="V252" s="9"/>
      <c r="W252" s="9"/>
      <c r="X252" s="9">
        <v>303</v>
      </c>
      <c r="Y252" s="9">
        <v>303</v>
      </c>
      <c r="Z252" s="9"/>
      <c r="AA252" s="9"/>
      <c r="AB252" s="9"/>
      <c r="AC252" s="9"/>
      <c r="AD252" s="9"/>
      <c r="AE252" s="9"/>
      <c r="AF252" s="9"/>
      <c r="AG252" s="9">
        <f t="shared" si="7"/>
        <v>3</v>
      </c>
      <c r="AH252" s="62">
        <f t="shared" si="8"/>
        <v>250.66666666666666</v>
      </c>
      <c r="AI252" s="11" t="str">
        <f>IF(AH252&gt;='Aprovados Recursos do Fundo'!$AQ$1,"APROVADO","REPROVADO")</f>
        <v>APROVADO</v>
      </c>
    </row>
    <row r="253" spans="2:35" s="64" customFormat="1" ht="39.950000000000003" hidden="1" customHeight="1" x14ac:dyDescent="0.25">
      <c r="B253" s="5">
        <v>279</v>
      </c>
      <c r="C253" s="27" t="s">
        <v>1434</v>
      </c>
      <c r="D253" s="5" t="s">
        <v>33</v>
      </c>
      <c r="E253" s="5" t="s">
        <v>1435</v>
      </c>
      <c r="F253" s="7" t="s">
        <v>1436</v>
      </c>
      <c r="G253" s="7" t="s">
        <v>300</v>
      </c>
      <c r="H253" s="8">
        <v>60900.34</v>
      </c>
      <c r="I253" s="8"/>
      <c r="J253" s="8"/>
      <c r="K253" s="7" t="s">
        <v>73</v>
      </c>
      <c r="L253" s="7" t="s">
        <v>74</v>
      </c>
      <c r="M253" s="7" t="s">
        <v>1437</v>
      </c>
      <c r="N253" s="9" t="s">
        <v>1438</v>
      </c>
      <c r="O253" s="10">
        <v>45320</v>
      </c>
      <c r="P253" s="7" t="s">
        <v>41</v>
      </c>
      <c r="Q253" s="7"/>
      <c r="R253" s="65"/>
      <c r="S253" s="7">
        <v>302</v>
      </c>
      <c r="T253" s="9">
        <v>217</v>
      </c>
      <c r="U253" s="9">
        <v>232</v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>
        <f t="shared" si="7"/>
        <v>3</v>
      </c>
      <c r="AH253" s="62">
        <f t="shared" si="8"/>
        <v>250.33333333333334</v>
      </c>
      <c r="AI253" s="11" t="str">
        <f>IF(AH253&gt;='Aprovados Recursos do Fundo'!$AQ$1,"APROVADO","REPROVADO")</f>
        <v>APROVADO</v>
      </c>
    </row>
    <row r="254" spans="2:35" s="64" customFormat="1" ht="39.950000000000003" hidden="1" customHeight="1" x14ac:dyDescent="0.25">
      <c r="B254" s="5">
        <v>103</v>
      </c>
      <c r="C254" s="27" t="s">
        <v>582</v>
      </c>
      <c r="D254" s="5" t="s">
        <v>33</v>
      </c>
      <c r="E254" s="5" t="s">
        <v>583</v>
      </c>
      <c r="F254" s="7" t="s">
        <v>584</v>
      </c>
      <c r="G254" s="7" t="s">
        <v>36</v>
      </c>
      <c r="H254" s="8">
        <v>377095.48</v>
      </c>
      <c r="I254" s="8"/>
      <c r="J254" s="8"/>
      <c r="K254" s="7" t="s">
        <v>585</v>
      </c>
      <c r="L254" s="7" t="s">
        <v>38</v>
      </c>
      <c r="M254" s="7" t="s">
        <v>586</v>
      </c>
      <c r="N254" s="9" t="s">
        <v>587</v>
      </c>
      <c r="O254" s="10">
        <v>45307</v>
      </c>
      <c r="P254" s="7" t="s">
        <v>41</v>
      </c>
      <c r="Q254" s="7"/>
      <c r="R254" s="7"/>
      <c r="S254" s="9">
        <v>307</v>
      </c>
      <c r="T254" s="9">
        <v>209</v>
      </c>
      <c r="U254" s="9">
        <v>234</v>
      </c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>
        <f t="shared" si="7"/>
        <v>3</v>
      </c>
      <c r="AH254" s="62">
        <f t="shared" si="8"/>
        <v>250</v>
      </c>
      <c r="AI254" s="11" t="str">
        <f>IF(AH254&gt;='Aprovados Recursos do Fundo'!$AQ$1,"APROVADO","REPROVADO")</f>
        <v>APROVADO</v>
      </c>
    </row>
    <row r="255" spans="2:35" s="64" customFormat="1" ht="39.950000000000003" hidden="1" customHeight="1" x14ac:dyDescent="0.25">
      <c r="B255" s="5">
        <v>112</v>
      </c>
      <c r="C255" s="6" t="s">
        <v>622</v>
      </c>
      <c r="D255" s="5" t="s">
        <v>33</v>
      </c>
      <c r="E255" s="5" t="s">
        <v>623</v>
      </c>
      <c r="F255" s="7" t="s">
        <v>624</v>
      </c>
      <c r="G255" s="7" t="s">
        <v>36</v>
      </c>
      <c r="H255" s="8">
        <v>0</v>
      </c>
      <c r="I255" s="8"/>
      <c r="J255" s="8"/>
      <c r="K255" s="7" t="s">
        <v>596</v>
      </c>
      <c r="L255" s="7" t="s">
        <v>597</v>
      </c>
      <c r="M255" s="7" t="s">
        <v>598</v>
      </c>
      <c r="N255" s="9" t="s">
        <v>625</v>
      </c>
      <c r="O255" s="10">
        <v>45307</v>
      </c>
      <c r="P255" s="7" t="s">
        <v>67</v>
      </c>
      <c r="Q255" s="7" t="s">
        <v>98</v>
      </c>
      <c r="R255" s="7" t="s">
        <v>626</v>
      </c>
      <c r="S255" s="9"/>
      <c r="T255" s="9">
        <v>69</v>
      </c>
      <c r="U255" s="9"/>
      <c r="V255" s="9"/>
      <c r="W255" s="9"/>
      <c r="X255" s="9">
        <v>340</v>
      </c>
      <c r="Y255" s="9">
        <v>340</v>
      </c>
      <c r="Z255" s="9"/>
      <c r="AA255" s="9"/>
      <c r="AB255" s="9"/>
      <c r="AC255" s="9"/>
      <c r="AD255" s="9"/>
      <c r="AE255" s="9"/>
      <c r="AF255" s="9"/>
      <c r="AG255" s="9">
        <f t="shared" si="7"/>
        <v>3</v>
      </c>
      <c r="AH255" s="62">
        <f t="shared" si="8"/>
        <v>249.66666666666666</v>
      </c>
      <c r="AI255" s="11" t="str">
        <f>IF(AH255&gt;='Aprovados Recursos do Fundo'!$AQ$1,"APROVADO","REPROVADO")</f>
        <v>APROVADO</v>
      </c>
    </row>
    <row r="256" spans="2:35" s="64" customFormat="1" ht="39.950000000000003" hidden="1" customHeight="1" x14ac:dyDescent="0.25">
      <c r="B256" s="5">
        <v>201</v>
      </c>
      <c r="C256" s="22" t="s">
        <v>1065</v>
      </c>
      <c r="D256" s="5" t="s">
        <v>51</v>
      </c>
      <c r="E256" s="9" t="s">
        <v>1066</v>
      </c>
      <c r="F256" s="9" t="s">
        <v>1067</v>
      </c>
      <c r="G256" s="11" t="s">
        <v>36</v>
      </c>
      <c r="H256" s="41">
        <v>245000</v>
      </c>
      <c r="I256" s="41"/>
      <c r="J256" s="41"/>
      <c r="K256" s="9" t="s">
        <v>63</v>
      </c>
      <c r="L256" s="11" t="s">
        <v>64</v>
      </c>
      <c r="M256" s="9" t="s">
        <v>1068</v>
      </c>
      <c r="N256" s="67" t="s">
        <v>1069</v>
      </c>
      <c r="O256" s="34">
        <v>45320</v>
      </c>
      <c r="P256" s="9" t="s">
        <v>41</v>
      </c>
      <c r="Q256" s="9"/>
      <c r="R256" s="65"/>
      <c r="S256" s="9">
        <v>283</v>
      </c>
      <c r="T256" s="9">
        <v>228</v>
      </c>
      <c r="U256" s="9"/>
      <c r="V256" s="9"/>
      <c r="W256" s="9"/>
      <c r="X256" s="9"/>
      <c r="Y256" s="9"/>
      <c r="Z256" s="9"/>
      <c r="AA256" s="9"/>
      <c r="AB256" s="9">
        <v>238</v>
      </c>
      <c r="AC256" s="9"/>
      <c r="AD256" s="9"/>
      <c r="AE256" s="65"/>
      <c r="AF256" s="65"/>
      <c r="AG256" s="9">
        <f t="shared" si="7"/>
        <v>3</v>
      </c>
      <c r="AH256" s="62">
        <f t="shared" si="8"/>
        <v>249.66666666666666</v>
      </c>
      <c r="AI256" s="11" t="str">
        <f>IF(AH256&gt;='Aprovados Recursos do Fundo'!$AQ$1,"APROVADO","REPROVADO")</f>
        <v>APROVADO</v>
      </c>
    </row>
    <row r="257" spans="2:35" s="64" customFormat="1" ht="39.950000000000003" hidden="1" customHeight="1" x14ac:dyDescent="0.25">
      <c r="B257" s="5">
        <v>212</v>
      </c>
      <c r="C257" s="6" t="s">
        <v>1110</v>
      </c>
      <c r="D257" s="5" t="s">
        <v>33</v>
      </c>
      <c r="E257" s="5" t="s">
        <v>1111</v>
      </c>
      <c r="F257" s="7" t="s">
        <v>1112</v>
      </c>
      <c r="G257" s="5" t="s">
        <v>107</v>
      </c>
      <c r="H257" s="17">
        <v>150000</v>
      </c>
      <c r="I257" s="17"/>
      <c r="J257" s="17"/>
      <c r="K257" s="7" t="s">
        <v>1107</v>
      </c>
      <c r="L257" s="5" t="s">
        <v>123</v>
      </c>
      <c r="M257" s="5" t="s">
        <v>1113</v>
      </c>
      <c r="N257" s="31" t="s">
        <v>1114</v>
      </c>
      <c r="O257" s="10">
        <v>45320</v>
      </c>
      <c r="P257" s="7" t="s">
        <v>67</v>
      </c>
      <c r="Q257" s="7"/>
      <c r="R257" s="65"/>
      <c r="S257" s="7">
        <v>276</v>
      </c>
      <c r="T257" s="9">
        <v>200</v>
      </c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>
        <v>272</v>
      </c>
      <c r="AG257" s="9">
        <f t="shared" si="7"/>
        <v>3</v>
      </c>
      <c r="AH257" s="62">
        <f t="shared" si="8"/>
        <v>249.33333333333334</v>
      </c>
      <c r="AI257" s="11" t="str">
        <f>IF(AH257&gt;='Aprovados Recursos do Fundo'!$AQ$1,"APROVADO","REPROVADO")</f>
        <v>APROVADO</v>
      </c>
    </row>
    <row r="258" spans="2:35" s="64" customFormat="1" ht="39.950000000000003" hidden="1" customHeight="1" x14ac:dyDescent="0.25">
      <c r="B258" s="5">
        <v>282</v>
      </c>
      <c r="C258" s="27" t="s">
        <v>1450</v>
      </c>
      <c r="D258" s="5" t="s">
        <v>33</v>
      </c>
      <c r="E258" s="5" t="s">
        <v>1451</v>
      </c>
      <c r="F258" s="7" t="s">
        <v>1452</v>
      </c>
      <c r="G258" s="7" t="s">
        <v>1453</v>
      </c>
      <c r="H258" s="8">
        <v>267625.44</v>
      </c>
      <c r="I258" s="8"/>
      <c r="J258" s="8"/>
      <c r="K258" s="7" t="s">
        <v>1033</v>
      </c>
      <c r="L258" s="7" t="s">
        <v>445</v>
      </c>
      <c r="M258" s="7" t="s">
        <v>1454</v>
      </c>
      <c r="N258" s="9" t="s">
        <v>1455</v>
      </c>
      <c r="O258" s="10">
        <v>45320</v>
      </c>
      <c r="P258" s="7" t="s">
        <v>41</v>
      </c>
      <c r="Q258" s="7"/>
      <c r="R258" s="65"/>
      <c r="S258" s="7">
        <v>340</v>
      </c>
      <c r="T258" s="9">
        <v>156</v>
      </c>
      <c r="U258" s="9"/>
      <c r="V258" s="9"/>
      <c r="W258" s="9"/>
      <c r="X258" s="9"/>
      <c r="Y258" s="9"/>
      <c r="Z258" s="9"/>
      <c r="AA258" s="9"/>
      <c r="AB258" s="9"/>
      <c r="AC258" s="9"/>
      <c r="AD258" s="9">
        <v>252</v>
      </c>
      <c r="AE258" s="9"/>
      <c r="AF258" s="9"/>
      <c r="AG258" s="9">
        <f t="shared" si="7"/>
        <v>3</v>
      </c>
      <c r="AH258" s="62">
        <f t="shared" si="8"/>
        <v>249.33333333333334</v>
      </c>
      <c r="AI258" s="11" t="str">
        <f>IF(AH258&gt;='Aprovados Recursos do Fundo'!$AQ$1,"APROVADO","REPROVADO")</f>
        <v>APROVADO</v>
      </c>
    </row>
    <row r="259" spans="2:35" s="64" customFormat="1" ht="39.950000000000003" hidden="1" customHeight="1" x14ac:dyDescent="0.25">
      <c r="B259" s="5">
        <v>511</v>
      </c>
      <c r="C259" s="27" t="s">
        <v>2497</v>
      </c>
      <c r="D259" s="5" t="s">
        <v>33</v>
      </c>
      <c r="E259" s="5" t="s">
        <v>2498</v>
      </c>
      <c r="F259" s="7" t="s">
        <v>2499</v>
      </c>
      <c r="G259" s="7" t="s">
        <v>36</v>
      </c>
      <c r="H259" s="8">
        <v>982220</v>
      </c>
      <c r="I259" s="8"/>
      <c r="J259" s="8"/>
      <c r="K259" s="7" t="s">
        <v>2500</v>
      </c>
      <c r="L259" s="7" t="s">
        <v>677</v>
      </c>
      <c r="M259" s="7" t="s">
        <v>2501</v>
      </c>
      <c r="N259" s="9" t="s">
        <v>2502</v>
      </c>
      <c r="O259" s="10">
        <v>45322</v>
      </c>
      <c r="P259" s="7" t="s">
        <v>41</v>
      </c>
      <c r="Q259" s="7"/>
      <c r="R259" s="7"/>
      <c r="S259" s="7">
        <v>335</v>
      </c>
      <c r="T259" s="9">
        <v>172</v>
      </c>
      <c r="U259" s="9"/>
      <c r="V259" s="9">
        <v>240</v>
      </c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>
        <f t="shared" si="7"/>
        <v>3</v>
      </c>
      <c r="AH259" s="62">
        <f t="shared" si="8"/>
        <v>249</v>
      </c>
      <c r="AI259" s="11" t="str">
        <f>IF(AH259&gt;='Aprovados Recursos do Fundo'!$AQ$1,"APROVADO","REPROVADO")</f>
        <v>APROVADO</v>
      </c>
    </row>
    <row r="260" spans="2:35" s="64" customFormat="1" ht="39.950000000000003" hidden="1" customHeight="1" x14ac:dyDescent="0.25">
      <c r="B260" s="5">
        <v>273</v>
      </c>
      <c r="C260" s="27" t="s">
        <v>1404</v>
      </c>
      <c r="D260" s="5" t="s">
        <v>33</v>
      </c>
      <c r="E260" s="5" t="s">
        <v>1398</v>
      </c>
      <c r="F260" s="7" t="s">
        <v>1405</v>
      </c>
      <c r="G260" s="7" t="s">
        <v>36</v>
      </c>
      <c r="H260" s="8">
        <v>205034.04</v>
      </c>
      <c r="I260" s="8"/>
      <c r="J260" s="8"/>
      <c r="K260" s="7" t="s">
        <v>993</v>
      </c>
      <c r="L260" s="9" t="s">
        <v>235</v>
      </c>
      <c r="M260" s="7" t="s">
        <v>1400</v>
      </c>
      <c r="N260" s="9" t="s">
        <v>1401</v>
      </c>
      <c r="O260" s="10">
        <v>45320</v>
      </c>
      <c r="P260" s="7" t="s">
        <v>41</v>
      </c>
      <c r="Q260" s="7"/>
      <c r="R260" s="65"/>
      <c r="S260" s="7">
        <v>340</v>
      </c>
      <c r="T260" s="9">
        <v>136</v>
      </c>
      <c r="U260" s="9">
        <v>270</v>
      </c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>
        <f t="shared" si="7"/>
        <v>3</v>
      </c>
      <c r="AH260" s="62">
        <f t="shared" si="8"/>
        <v>248.66666666666666</v>
      </c>
      <c r="AI260" s="11" t="str">
        <f>IF(AH260&gt;=$AI$1,"APROVADO","REPROVADO")</f>
        <v>APROVADO</v>
      </c>
    </row>
    <row r="261" spans="2:35" s="64" customFormat="1" ht="39.950000000000003" hidden="1" customHeight="1" x14ac:dyDescent="0.25">
      <c r="B261" s="5">
        <v>402</v>
      </c>
      <c r="C261" s="27" t="s">
        <v>2003</v>
      </c>
      <c r="D261" s="5" t="s">
        <v>33</v>
      </c>
      <c r="E261" s="5" t="s">
        <v>1999</v>
      </c>
      <c r="F261" s="7" t="s">
        <v>2004</v>
      </c>
      <c r="G261" s="7" t="s">
        <v>36</v>
      </c>
      <c r="H261" s="8">
        <v>136400</v>
      </c>
      <c r="I261" s="8"/>
      <c r="J261" s="8"/>
      <c r="K261" s="7" t="s">
        <v>94</v>
      </c>
      <c r="L261" s="5" t="s">
        <v>95</v>
      </c>
      <c r="M261" s="7" t="s">
        <v>2001</v>
      </c>
      <c r="N261" s="9" t="s">
        <v>2002</v>
      </c>
      <c r="O261" s="10">
        <v>45322</v>
      </c>
      <c r="P261" s="7" t="s">
        <v>41</v>
      </c>
      <c r="Q261" s="7"/>
      <c r="R261" s="65"/>
      <c r="S261" s="7">
        <v>340</v>
      </c>
      <c r="T261" s="9">
        <v>195</v>
      </c>
      <c r="U261" s="9"/>
      <c r="V261" s="9">
        <v>208</v>
      </c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>
        <f t="shared" ref="AG261:AG324" si="9">COUNT(S261:AF261)</f>
        <v>3</v>
      </c>
      <c r="AH261" s="62">
        <f t="shared" ref="AH261:AH324" si="10">AVERAGE(S261:AF261)</f>
        <v>247.66666666666666</v>
      </c>
      <c r="AI261" s="11" t="str">
        <f>IF(AH261&gt;='Aprovados Recursos do Fundo'!$AQ$1,"APROVADO","REPROVADO")</f>
        <v>APROVADO</v>
      </c>
    </row>
    <row r="262" spans="2:35" s="64" customFormat="1" ht="39.950000000000003" hidden="1" customHeight="1" x14ac:dyDescent="0.25">
      <c r="B262" s="5">
        <v>97</v>
      </c>
      <c r="C262" s="22" t="s">
        <v>557</v>
      </c>
      <c r="D262" s="5" t="s">
        <v>51</v>
      </c>
      <c r="E262" s="9" t="s">
        <v>558</v>
      </c>
      <c r="F262" s="9" t="s">
        <v>559</v>
      </c>
      <c r="G262" s="11" t="s">
        <v>107</v>
      </c>
      <c r="H262" s="41">
        <v>400000</v>
      </c>
      <c r="I262" s="41"/>
      <c r="J262" s="41"/>
      <c r="K262" s="9" t="s">
        <v>560</v>
      </c>
      <c r="L262" s="11" t="s">
        <v>391</v>
      </c>
      <c r="M262" s="9" t="s">
        <v>561</v>
      </c>
      <c r="N262" s="9" t="s">
        <v>562</v>
      </c>
      <c r="O262" s="34">
        <v>45307</v>
      </c>
      <c r="P262" s="9" t="s">
        <v>57</v>
      </c>
      <c r="Q262" s="11" t="s">
        <v>563</v>
      </c>
      <c r="R262" s="9"/>
      <c r="S262" s="9">
        <v>236</v>
      </c>
      <c r="T262" s="9"/>
      <c r="U262" s="9"/>
      <c r="V262" s="9"/>
      <c r="W262" s="9"/>
      <c r="X262" s="9">
        <v>260</v>
      </c>
      <c r="Y262" s="9">
        <v>246</v>
      </c>
      <c r="Z262" s="9"/>
      <c r="AA262" s="9"/>
      <c r="AB262" s="9"/>
      <c r="AC262" s="9"/>
      <c r="AD262" s="9"/>
      <c r="AE262" s="9"/>
      <c r="AF262" s="9"/>
      <c r="AG262" s="9">
        <f t="shared" si="9"/>
        <v>3</v>
      </c>
      <c r="AH262" s="62">
        <f t="shared" si="10"/>
        <v>247.33333333333334</v>
      </c>
      <c r="AI262" s="11" t="str">
        <f>IF(AH262&gt;='Aprovados Recursos do Fundo'!$AQ$1,"APROVADO","REPROVADO")</f>
        <v>APROVADO</v>
      </c>
    </row>
    <row r="263" spans="2:35" s="64" customFormat="1" ht="39.950000000000003" hidden="1" customHeight="1" x14ac:dyDescent="0.25">
      <c r="B263" s="5">
        <v>251</v>
      </c>
      <c r="C263" s="22" t="s">
        <v>1297</v>
      </c>
      <c r="D263" s="5" t="s">
        <v>51</v>
      </c>
      <c r="E263" s="9" t="s">
        <v>1298</v>
      </c>
      <c r="F263" s="9" t="s">
        <v>1299</v>
      </c>
      <c r="G263" s="7" t="s">
        <v>107</v>
      </c>
      <c r="H263" s="41">
        <v>30000</v>
      </c>
      <c r="I263" s="41"/>
      <c r="J263" s="41"/>
      <c r="K263" s="9" t="s">
        <v>1300</v>
      </c>
      <c r="L263" s="11" t="s">
        <v>154</v>
      </c>
      <c r="M263" s="9" t="s">
        <v>1301</v>
      </c>
      <c r="N263" s="67" t="s">
        <v>1302</v>
      </c>
      <c r="O263" s="34">
        <v>45320</v>
      </c>
      <c r="P263" s="9" t="s">
        <v>41</v>
      </c>
      <c r="Q263" s="9"/>
      <c r="R263" s="65"/>
      <c r="S263" s="9">
        <v>315</v>
      </c>
      <c r="T263" s="9">
        <v>189</v>
      </c>
      <c r="U263" s="9">
        <v>238</v>
      </c>
      <c r="V263" s="9"/>
      <c r="W263" s="9"/>
      <c r="X263" s="9"/>
      <c r="Y263" s="9"/>
      <c r="Z263" s="9"/>
      <c r="AA263" s="9"/>
      <c r="AB263" s="9"/>
      <c r="AC263" s="9"/>
      <c r="AD263" s="9"/>
      <c r="AE263" s="65"/>
      <c r="AF263" s="65"/>
      <c r="AG263" s="9">
        <f t="shared" si="9"/>
        <v>3</v>
      </c>
      <c r="AH263" s="62">
        <f t="shared" si="10"/>
        <v>247.33333333333334</v>
      </c>
      <c r="AI263" s="11" t="str">
        <f>IF(AH263&gt;='Aprovados Recursos do Fundo'!$AQ$1,"APROVADO","REPROVADO")</f>
        <v>APROVADO</v>
      </c>
    </row>
    <row r="264" spans="2:35" s="64" customFormat="1" ht="39.950000000000003" hidden="1" customHeight="1" x14ac:dyDescent="0.25">
      <c r="B264" s="5">
        <v>209</v>
      </c>
      <c r="C264" s="27" t="s">
        <v>1096</v>
      </c>
      <c r="D264" s="5" t="s">
        <v>33</v>
      </c>
      <c r="E264" s="5" t="s">
        <v>1090</v>
      </c>
      <c r="F264" s="7" t="s">
        <v>1097</v>
      </c>
      <c r="G264" s="5" t="s">
        <v>62</v>
      </c>
      <c r="H264" s="8">
        <v>698600</v>
      </c>
      <c r="I264" s="8"/>
      <c r="J264" s="8"/>
      <c r="K264" s="7" t="s">
        <v>728</v>
      </c>
      <c r="L264" s="7" t="s">
        <v>123</v>
      </c>
      <c r="M264" s="7" t="s">
        <v>1098</v>
      </c>
      <c r="N264" s="9" t="s">
        <v>1093</v>
      </c>
      <c r="O264" s="10">
        <v>45320</v>
      </c>
      <c r="P264" s="7" t="s">
        <v>41</v>
      </c>
      <c r="Q264" s="7"/>
      <c r="R264" s="65"/>
      <c r="S264" s="7">
        <v>333</v>
      </c>
      <c r="T264" s="9">
        <v>168</v>
      </c>
      <c r="U264" s="9"/>
      <c r="V264" s="9"/>
      <c r="W264" s="9"/>
      <c r="X264" s="9"/>
      <c r="Y264" s="9"/>
      <c r="Z264" s="9"/>
      <c r="AA264" s="9"/>
      <c r="AB264" s="9"/>
      <c r="AC264" s="9"/>
      <c r="AD264" s="9">
        <v>240</v>
      </c>
      <c r="AE264" s="9"/>
      <c r="AF264" s="9"/>
      <c r="AG264" s="9">
        <f t="shared" si="9"/>
        <v>3</v>
      </c>
      <c r="AH264" s="62">
        <f t="shared" si="10"/>
        <v>247</v>
      </c>
      <c r="AI264" s="11" t="str">
        <f>IF(AH264&gt;=$AI$1,"APROVADO","REPROVADO")</f>
        <v>APROVADO</v>
      </c>
    </row>
    <row r="265" spans="2:35" s="64" customFormat="1" ht="39.950000000000003" hidden="1" customHeight="1" x14ac:dyDescent="0.25">
      <c r="B265" s="5">
        <v>43</v>
      </c>
      <c r="C265" s="6" t="s">
        <v>287</v>
      </c>
      <c r="D265" s="5" t="s">
        <v>33</v>
      </c>
      <c r="E265" s="5" t="s">
        <v>288</v>
      </c>
      <c r="F265" s="7" t="s">
        <v>289</v>
      </c>
      <c r="G265" s="7" t="s">
        <v>36</v>
      </c>
      <c r="H265" s="8">
        <v>270000</v>
      </c>
      <c r="I265" s="8"/>
      <c r="J265" s="8"/>
      <c r="K265" s="7" t="s">
        <v>290</v>
      </c>
      <c r="L265" s="7" t="s">
        <v>154</v>
      </c>
      <c r="M265" s="7" t="s">
        <v>291</v>
      </c>
      <c r="N265" s="9" t="s">
        <v>292</v>
      </c>
      <c r="O265" s="10">
        <v>45303</v>
      </c>
      <c r="P265" s="7" t="s">
        <v>41</v>
      </c>
      <c r="Q265" s="7"/>
      <c r="R265" s="65"/>
      <c r="S265" s="9">
        <v>340</v>
      </c>
      <c r="T265" s="9"/>
      <c r="U265" s="9">
        <v>189</v>
      </c>
      <c r="V265" s="9">
        <v>212</v>
      </c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>
        <f t="shared" si="9"/>
        <v>3</v>
      </c>
      <c r="AH265" s="62">
        <f t="shared" si="10"/>
        <v>247</v>
      </c>
      <c r="AI265" s="11" t="str">
        <f>IF(AH265&gt;='Aprovados Recursos do Fundo'!$AQ$1,"APROVADO","REPROVADO")</f>
        <v>APROVADO</v>
      </c>
    </row>
    <row r="266" spans="2:35" s="64" customFormat="1" ht="39.950000000000003" hidden="1" customHeight="1" x14ac:dyDescent="0.25">
      <c r="B266" s="5">
        <v>537</v>
      </c>
      <c r="C266" s="6" t="s">
        <v>2615</v>
      </c>
      <c r="D266" s="5" t="s">
        <v>33</v>
      </c>
      <c r="E266" s="5" t="s">
        <v>2611</v>
      </c>
      <c r="F266" s="7" t="s">
        <v>2616</v>
      </c>
      <c r="G266" s="7" t="s">
        <v>107</v>
      </c>
      <c r="H266" s="8">
        <v>451456</v>
      </c>
      <c r="I266" s="8"/>
      <c r="J266" s="8"/>
      <c r="K266" s="7" t="s">
        <v>73</v>
      </c>
      <c r="L266" s="5" t="s">
        <v>74</v>
      </c>
      <c r="M266" s="7" t="s">
        <v>2613</v>
      </c>
      <c r="N266" s="9" t="s">
        <v>2614</v>
      </c>
      <c r="O266" s="10">
        <v>45322</v>
      </c>
      <c r="P266" s="7" t="s">
        <v>67</v>
      </c>
      <c r="Q266" s="7" t="s">
        <v>68</v>
      </c>
      <c r="R266" s="7"/>
      <c r="S266" s="7">
        <v>235</v>
      </c>
      <c r="T266" s="9"/>
      <c r="U266" s="9">
        <v>247</v>
      </c>
      <c r="V266" s="9"/>
      <c r="W266" s="9"/>
      <c r="X266" s="9"/>
      <c r="Y266" s="9"/>
      <c r="Z266" s="9">
        <v>258</v>
      </c>
      <c r="AA266" s="9"/>
      <c r="AB266" s="9"/>
      <c r="AC266" s="9"/>
      <c r="AD266" s="9"/>
      <c r="AE266" s="9"/>
      <c r="AF266" s="9"/>
      <c r="AG266" s="9">
        <f t="shared" si="9"/>
        <v>3</v>
      </c>
      <c r="AH266" s="62">
        <f t="shared" si="10"/>
        <v>246.66666666666666</v>
      </c>
      <c r="AI266" s="11" t="str">
        <f>IF(AH266&gt;='Aprovados Recursos do Fundo'!$AQ$1,"APROVADO","REPROVADO")</f>
        <v>APROVADO</v>
      </c>
    </row>
    <row r="267" spans="2:35" s="64" customFormat="1" ht="39.950000000000003" hidden="1" customHeight="1" x14ac:dyDescent="0.25">
      <c r="B267" s="5">
        <v>416</v>
      </c>
      <c r="C267" s="27" t="s">
        <v>2057</v>
      </c>
      <c r="D267" s="5" t="s">
        <v>33</v>
      </c>
      <c r="E267" s="5" t="s">
        <v>2053</v>
      </c>
      <c r="F267" s="7" t="s">
        <v>2058</v>
      </c>
      <c r="G267" s="7" t="s">
        <v>36</v>
      </c>
      <c r="H267" s="49">
        <v>323278.44</v>
      </c>
      <c r="I267" s="49"/>
      <c r="J267" s="49"/>
      <c r="K267" s="7" t="s">
        <v>253</v>
      </c>
      <c r="L267" s="7" t="s">
        <v>254</v>
      </c>
      <c r="M267" s="9" t="s">
        <v>2055</v>
      </c>
      <c r="N267" s="9" t="s">
        <v>2056</v>
      </c>
      <c r="O267" s="10">
        <v>45322</v>
      </c>
      <c r="P267" s="7" t="s">
        <v>41</v>
      </c>
      <c r="Q267" s="9"/>
      <c r="R267" s="65"/>
      <c r="S267" s="7">
        <v>334</v>
      </c>
      <c r="T267" s="9">
        <v>86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>
        <v>319</v>
      </c>
      <c r="AF267" s="9"/>
      <c r="AG267" s="9">
        <f t="shared" si="9"/>
        <v>3</v>
      </c>
      <c r="AH267" s="62">
        <f t="shared" si="10"/>
        <v>246.33333333333334</v>
      </c>
      <c r="AI267" s="11" t="str">
        <f>IF(AH267&gt;='Aprovados Recursos do Fundo'!$AQ$1,"APROVADO","REPROVADO")</f>
        <v>APROVADO</v>
      </c>
    </row>
    <row r="268" spans="2:35" s="64" customFormat="1" ht="25.5" hidden="1" x14ac:dyDescent="0.25">
      <c r="B268" s="5">
        <v>113</v>
      </c>
      <c r="C268" s="6" t="s">
        <v>627</v>
      </c>
      <c r="D268" s="5" t="s">
        <v>33</v>
      </c>
      <c r="E268" s="5" t="s">
        <v>628</v>
      </c>
      <c r="F268" s="5" t="s">
        <v>629</v>
      </c>
      <c r="G268" s="7" t="s">
        <v>36</v>
      </c>
      <c r="H268" s="8">
        <v>532258</v>
      </c>
      <c r="I268" s="8"/>
      <c r="J268" s="8"/>
      <c r="K268" s="7" t="s">
        <v>630</v>
      </c>
      <c r="L268" s="7" t="s">
        <v>453</v>
      </c>
      <c r="M268" s="7" t="s">
        <v>631</v>
      </c>
      <c r="N268" s="9" t="s">
        <v>632</v>
      </c>
      <c r="O268" s="10">
        <v>45307</v>
      </c>
      <c r="P268" s="5" t="s">
        <v>67</v>
      </c>
      <c r="Q268" s="7" t="s">
        <v>375</v>
      </c>
      <c r="R268" s="7"/>
      <c r="S268" s="9">
        <v>244</v>
      </c>
      <c r="T268" s="9">
        <v>252</v>
      </c>
      <c r="U268" s="9">
        <v>241</v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>
        <f t="shared" si="9"/>
        <v>3</v>
      </c>
      <c r="AH268" s="62">
        <f t="shared" si="10"/>
        <v>245.66666666666666</v>
      </c>
      <c r="AI268" s="11" t="str">
        <f>IF(AH268&gt;=$AI$1,"APROVADO","REPROVADO")</f>
        <v>APROVADO</v>
      </c>
    </row>
    <row r="269" spans="2:35" s="64" customFormat="1" ht="39.950000000000003" hidden="1" customHeight="1" x14ac:dyDescent="0.25">
      <c r="B269" s="5">
        <v>89</v>
      </c>
      <c r="C269" s="22" t="s">
        <v>512</v>
      </c>
      <c r="D269" s="5" t="s">
        <v>51</v>
      </c>
      <c r="E269" s="9" t="s">
        <v>513</v>
      </c>
      <c r="F269" s="9" t="s">
        <v>514</v>
      </c>
      <c r="G269" s="11" t="s">
        <v>107</v>
      </c>
      <c r="H269" s="41">
        <v>434000</v>
      </c>
      <c r="I269" s="41"/>
      <c r="J269" s="41"/>
      <c r="K269" s="9" t="s">
        <v>515</v>
      </c>
      <c r="L269" s="11" t="s">
        <v>154</v>
      </c>
      <c r="M269" s="9" t="s">
        <v>516</v>
      </c>
      <c r="N269" s="9" t="s">
        <v>517</v>
      </c>
      <c r="O269" s="34">
        <v>45307</v>
      </c>
      <c r="P269" s="9" t="s">
        <v>57</v>
      </c>
      <c r="Q269" s="11" t="s">
        <v>518</v>
      </c>
      <c r="R269" s="9"/>
      <c r="S269" s="9">
        <v>259</v>
      </c>
      <c r="T269" s="9"/>
      <c r="U269" s="9"/>
      <c r="V269" s="9"/>
      <c r="W269" s="9"/>
      <c r="X269" s="9">
        <v>258</v>
      </c>
      <c r="Y269" s="9">
        <v>220</v>
      </c>
      <c r="Z269" s="9"/>
      <c r="AA269" s="9"/>
      <c r="AB269" s="9"/>
      <c r="AC269" s="9"/>
      <c r="AD269" s="9"/>
      <c r="AE269" s="9"/>
      <c r="AF269" s="9"/>
      <c r="AG269" s="9">
        <f t="shared" si="9"/>
        <v>3</v>
      </c>
      <c r="AH269" s="62">
        <f t="shared" si="10"/>
        <v>245.66666666666666</v>
      </c>
      <c r="AI269" s="11" t="str">
        <f>IF(AH269&gt;='Aprovados Recursos do Fundo'!$AQ$1,"APROVADO","REPROVADO")</f>
        <v>APROVADO</v>
      </c>
    </row>
    <row r="270" spans="2:35" s="64" customFormat="1" ht="39.950000000000003" hidden="1" customHeight="1" x14ac:dyDescent="0.25">
      <c r="B270" s="5">
        <v>193</v>
      </c>
      <c r="C270" s="27" t="s">
        <v>1028</v>
      </c>
      <c r="D270" s="5" t="s">
        <v>33</v>
      </c>
      <c r="E270" s="5" t="s">
        <v>1021</v>
      </c>
      <c r="F270" s="7" t="s">
        <v>1029</v>
      </c>
      <c r="G270" s="7" t="s">
        <v>72</v>
      </c>
      <c r="H270" s="8">
        <v>800870.83</v>
      </c>
      <c r="I270" s="8"/>
      <c r="J270" s="8"/>
      <c r="K270" s="7" t="s">
        <v>1023</v>
      </c>
      <c r="L270" s="7" t="s">
        <v>445</v>
      </c>
      <c r="M270" s="7" t="s">
        <v>1024</v>
      </c>
      <c r="N270" s="9" t="s">
        <v>1025</v>
      </c>
      <c r="O270" s="10">
        <v>45315</v>
      </c>
      <c r="P270" s="7" t="s">
        <v>41</v>
      </c>
      <c r="Q270" s="9"/>
      <c r="R270" s="65"/>
      <c r="S270" s="7">
        <v>315</v>
      </c>
      <c r="T270" s="9">
        <v>145</v>
      </c>
      <c r="U270" s="9"/>
      <c r="V270" s="9"/>
      <c r="W270" s="9"/>
      <c r="X270" s="9"/>
      <c r="Y270" s="9"/>
      <c r="Z270" s="9"/>
      <c r="AA270" s="9"/>
      <c r="AB270" s="9">
        <v>276</v>
      </c>
      <c r="AC270" s="9"/>
      <c r="AD270" s="9"/>
      <c r="AE270" s="9"/>
      <c r="AF270" s="9"/>
      <c r="AG270" s="9">
        <f t="shared" si="9"/>
        <v>3</v>
      </c>
      <c r="AH270" s="62">
        <f t="shared" si="10"/>
        <v>245.33333333333334</v>
      </c>
      <c r="AI270" s="11" t="str">
        <f>IF(AH270&gt;=$AI$1,"APROVADO","REPROVADO")</f>
        <v>APROVADO</v>
      </c>
    </row>
    <row r="271" spans="2:35" s="64" customFormat="1" ht="39.950000000000003" hidden="1" customHeight="1" x14ac:dyDescent="0.25">
      <c r="B271" s="5">
        <v>189</v>
      </c>
      <c r="C271" s="27" t="s">
        <v>1013</v>
      </c>
      <c r="D271" s="5" t="s">
        <v>33</v>
      </c>
      <c r="E271" s="5" t="s">
        <v>1014</v>
      </c>
      <c r="F271" s="7" t="s">
        <v>1015</v>
      </c>
      <c r="G271" s="7" t="s">
        <v>36</v>
      </c>
      <c r="H271" s="8">
        <v>2389959.12</v>
      </c>
      <c r="I271" s="8"/>
      <c r="J271" s="8"/>
      <c r="K271" s="7" t="s">
        <v>108</v>
      </c>
      <c r="L271" s="7" t="s">
        <v>95</v>
      </c>
      <c r="M271" s="7" t="s">
        <v>1016</v>
      </c>
      <c r="N271" s="9" t="s">
        <v>1017</v>
      </c>
      <c r="O271" s="10">
        <v>45315</v>
      </c>
      <c r="P271" s="7" t="s">
        <v>41</v>
      </c>
      <c r="Q271" s="7"/>
      <c r="R271" s="9"/>
      <c r="S271" s="7">
        <v>246</v>
      </c>
      <c r="T271" s="9"/>
      <c r="U271" s="9"/>
      <c r="V271" s="9"/>
      <c r="W271" s="9"/>
      <c r="X271" s="9"/>
      <c r="Y271" s="9"/>
      <c r="Z271" s="9"/>
      <c r="AA271" s="9"/>
      <c r="AB271" s="9">
        <v>246</v>
      </c>
      <c r="AC271" s="9">
        <v>244</v>
      </c>
      <c r="AD271" s="9"/>
      <c r="AE271" s="9"/>
      <c r="AF271" s="9"/>
      <c r="AG271" s="9">
        <f t="shared" si="9"/>
        <v>3</v>
      </c>
      <c r="AH271" s="62">
        <f t="shared" si="10"/>
        <v>245.33333333333334</v>
      </c>
      <c r="AI271" s="11" t="str">
        <f>IF(AH271&gt;='Aprovados Recursos do Fundo'!$AQ$1,"APROVADO","REPROVADO")</f>
        <v>APROVADO</v>
      </c>
    </row>
    <row r="272" spans="2:35" s="64" customFormat="1" ht="39.950000000000003" hidden="1" customHeight="1" x14ac:dyDescent="0.25">
      <c r="B272" s="5">
        <v>55</v>
      </c>
      <c r="C272" s="6" t="s">
        <v>345</v>
      </c>
      <c r="D272" s="5" t="s">
        <v>33</v>
      </c>
      <c r="E272" s="5" t="s">
        <v>172</v>
      </c>
      <c r="F272" s="7" t="s">
        <v>346</v>
      </c>
      <c r="G272" s="7" t="s">
        <v>174</v>
      </c>
      <c r="H272" s="8">
        <v>388555.13</v>
      </c>
      <c r="I272" s="8"/>
      <c r="J272" s="8"/>
      <c r="K272" s="7" t="s">
        <v>347</v>
      </c>
      <c r="L272" s="7" t="s">
        <v>348</v>
      </c>
      <c r="M272" s="7" t="s">
        <v>349</v>
      </c>
      <c r="N272" s="23" t="s">
        <v>350</v>
      </c>
      <c r="O272" s="10">
        <v>45306</v>
      </c>
      <c r="P272" s="7" t="s">
        <v>67</v>
      </c>
      <c r="Q272" s="7" t="s">
        <v>98</v>
      </c>
      <c r="R272" s="7"/>
      <c r="S272" s="9"/>
      <c r="T272" s="9">
        <v>111</v>
      </c>
      <c r="U272" s="9"/>
      <c r="V272" s="9"/>
      <c r="W272" s="9"/>
      <c r="X272" s="9"/>
      <c r="Y272" s="9"/>
      <c r="Z272" s="9">
        <v>300</v>
      </c>
      <c r="AA272" s="9">
        <v>324</v>
      </c>
      <c r="AB272" s="9"/>
      <c r="AC272" s="9"/>
      <c r="AD272" s="9"/>
      <c r="AE272" s="9"/>
      <c r="AF272" s="9"/>
      <c r="AG272" s="9">
        <f t="shared" si="9"/>
        <v>3</v>
      </c>
      <c r="AH272" s="62">
        <f t="shared" si="10"/>
        <v>245</v>
      </c>
      <c r="AI272" s="11" t="str">
        <f>IF(AH272&gt;='Aprovados Recursos do Fundo'!$AQ$1,"APROVADO","REPROVADO")</f>
        <v>APROVADO</v>
      </c>
    </row>
    <row r="273" spans="2:35" s="64" customFormat="1" ht="39.950000000000003" hidden="1" customHeight="1" x14ac:dyDescent="0.25">
      <c r="B273" s="5">
        <v>107</v>
      </c>
      <c r="C273" s="22" t="s">
        <v>605</v>
      </c>
      <c r="D273" s="5" t="s">
        <v>51</v>
      </c>
      <c r="E273" s="9" t="s">
        <v>594</v>
      </c>
      <c r="F273" s="11" t="s">
        <v>606</v>
      </c>
      <c r="G273" s="11" t="s">
        <v>36</v>
      </c>
      <c r="H273" s="41">
        <v>3270000</v>
      </c>
      <c r="I273" s="41"/>
      <c r="J273" s="41"/>
      <c r="K273" s="9" t="s">
        <v>596</v>
      </c>
      <c r="L273" s="11" t="s">
        <v>597</v>
      </c>
      <c r="M273" s="9" t="s">
        <v>598</v>
      </c>
      <c r="N273" s="9" t="s">
        <v>562</v>
      </c>
      <c r="O273" s="34">
        <v>45307</v>
      </c>
      <c r="P273" s="9" t="s">
        <v>57</v>
      </c>
      <c r="Q273" s="11" t="s">
        <v>118</v>
      </c>
      <c r="R273" s="9"/>
      <c r="S273" s="9">
        <v>306</v>
      </c>
      <c r="T273" s="9">
        <v>120</v>
      </c>
      <c r="U273" s="9"/>
      <c r="V273" s="9"/>
      <c r="W273" s="9"/>
      <c r="X273" s="9"/>
      <c r="Y273" s="9">
        <v>308</v>
      </c>
      <c r="Z273" s="9"/>
      <c r="AA273" s="9"/>
      <c r="AB273" s="9"/>
      <c r="AC273" s="9"/>
      <c r="AD273" s="9"/>
      <c r="AE273" s="9"/>
      <c r="AF273" s="9"/>
      <c r="AG273" s="9">
        <f t="shared" si="9"/>
        <v>3</v>
      </c>
      <c r="AH273" s="62">
        <f t="shared" si="10"/>
        <v>244.66666666666666</v>
      </c>
      <c r="AI273" s="11" t="str">
        <f>IF(AH273&gt;=$AI$1,"APROVADO","REPROVADO")</f>
        <v>APROVADO</v>
      </c>
    </row>
    <row r="274" spans="2:35" s="64" customFormat="1" ht="39.950000000000003" hidden="1" customHeight="1" x14ac:dyDescent="0.25">
      <c r="B274" s="5">
        <v>409</v>
      </c>
      <c r="C274" s="6" t="s">
        <v>2034</v>
      </c>
      <c r="D274" s="5" t="s">
        <v>33</v>
      </c>
      <c r="E274" s="58" t="s">
        <v>2028</v>
      </c>
      <c r="F274" s="7" t="s">
        <v>2035</v>
      </c>
      <c r="G274" s="7" t="s">
        <v>107</v>
      </c>
      <c r="H274" s="8">
        <v>300000</v>
      </c>
      <c r="I274" s="8"/>
      <c r="J274" s="8"/>
      <c r="K274" s="7" t="s">
        <v>73</v>
      </c>
      <c r="L274" s="5" t="s">
        <v>74</v>
      </c>
      <c r="M274" s="7" t="s">
        <v>2030</v>
      </c>
      <c r="N274" s="9" t="s">
        <v>2031</v>
      </c>
      <c r="O274" s="10">
        <v>45322</v>
      </c>
      <c r="P274" s="7" t="s">
        <v>67</v>
      </c>
      <c r="Q274" s="7"/>
      <c r="R274" s="65"/>
      <c r="S274" s="7">
        <v>284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>
        <v>275</v>
      </c>
      <c r="AE274" s="9">
        <v>175</v>
      </c>
      <c r="AF274" s="9"/>
      <c r="AG274" s="9">
        <f t="shared" si="9"/>
        <v>3</v>
      </c>
      <c r="AH274" s="62">
        <f t="shared" si="10"/>
        <v>244.66666666666666</v>
      </c>
      <c r="AI274" s="11" t="str">
        <f>IF(AH274&gt;=$AI$1,"APROVADO","REPROVADO")</f>
        <v>APROVADO</v>
      </c>
    </row>
    <row r="275" spans="2:35" s="64" customFormat="1" ht="39.950000000000003" hidden="1" customHeight="1" x14ac:dyDescent="0.25">
      <c r="B275" s="5">
        <v>538</v>
      </c>
      <c r="C275" s="6" t="s">
        <v>2617</v>
      </c>
      <c r="D275" s="5" t="s">
        <v>33</v>
      </c>
      <c r="E275" s="5" t="s">
        <v>2611</v>
      </c>
      <c r="F275" s="7" t="s">
        <v>2618</v>
      </c>
      <c r="G275" s="7" t="s">
        <v>107</v>
      </c>
      <c r="H275" s="8">
        <v>356288</v>
      </c>
      <c r="I275" s="8"/>
      <c r="J275" s="8"/>
      <c r="K275" s="7" t="s">
        <v>73</v>
      </c>
      <c r="L275" s="5" t="s">
        <v>74</v>
      </c>
      <c r="M275" s="7" t="s">
        <v>2613</v>
      </c>
      <c r="N275" s="9" t="s">
        <v>2614</v>
      </c>
      <c r="O275" s="10">
        <v>45322</v>
      </c>
      <c r="P275" s="7" t="s">
        <v>67</v>
      </c>
      <c r="Q275" s="7" t="s">
        <v>68</v>
      </c>
      <c r="R275" s="7"/>
      <c r="S275" s="7">
        <v>235</v>
      </c>
      <c r="T275" s="9"/>
      <c r="U275" s="9">
        <v>237</v>
      </c>
      <c r="V275" s="9"/>
      <c r="W275" s="9"/>
      <c r="X275" s="9"/>
      <c r="Y275" s="9"/>
      <c r="Z275" s="9">
        <v>262</v>
      </c>
      <c r="AA275" s="9"/>
      <c r="AB275" s="9"/>
      <c r="AC275" s="9"/>
      <c r="AD275" s="9"/>
      <c r="AE275" s="9"/>
      <c r="AF275" s="9"/>
      <c r="AG275" s="9">
        <f t="shared" si="9"/>
        <v>3</v>
      </c>
      <c r="AH275" s="62">
        <f t="shared" si="10"/>
        <v>244.66666666666666</v>
      </c>
      <c r="AI275" s="11" t="str">
        <f>IF(AH275&gt;=$AI$1,"APROVADO","REPROVADO")</f>
        <v>APROVADO</v>
      </c>
    </row>
    <row r="276" spans="2:35" s="64" customFormat="1" ht="39.950000000000003" hidden="1" customHeight="1" x14ac:dyDescent="0.25">
      <c r="B276" s="5">
        <v>183</v>
      </c>
      <c r="C276" s="6" t="s">
        <v>980</v>
      </c>
      <c r="D276" s="5" t="s">
        <v>33</v>
      </c>
      <c r="E276" s="5" t="s">
        <v>981</v>
      </c>
      <c r="F276" s="5" t="s">
        <v>45</v>
      </c>
      <c r="G276" s="7" t="s">
        <v>45</v>
      </c>
      <c r="H276" s="8">
        <v>130000</v>
      </c>
      <c r="I276" s="8"/>
      <c r="J276" s="8"/>
      <c r="K276" s="7" t="s">
        <v>976</v>
      </c>
      <c r="L276" s="7" t="s">
        <v>445</v>
      </c>
      <c r="M276" s="7" t="s">
        <v>982</v>
      </c>
      <c r="N276" s="9" t="s">
        <v>983</v>
      </c>
      <c r="O276" s="10">
        <v>45315</v>
      </c>
      <c r="P276" s="5" t="s">
        <v>67</v>
      </c>
      <c r="Q276" s="7" t="s">
        <v>89</v>
      </c>
      <c r="R276" s="7" t="s">
        <v>984</v>
      </c>
      <c r="S276" s="5">
        <v>340</v>
      </c>
      <c r="T276" s="9">
        <v>160</v>
      </c>
      <c r="U276" s="9">
        <v>234</v>
      </c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>
        <f t="shared" si="9"/>
        <v>3</v>
      </c>
      <c r="AH276" s="62">
        <f t="shared" si="10"/>
        <v>244.66666666666666</v>
      </c>
      <c r="AI276" s="11" t="str">
        <f>IF(AH276&gt;='Aprovados Recursos do Fundo'!$AQ$1,"APROVADO","REPROVADO")</f>
        <v>APROVADO</v>
      </c>
    </row>
    <row r="277" spans="2:35" s="64" customFormat="1" ht="39.950000000000003" hidden="1" customHeight="1" x14ac:dyDescent="0.25">
      <c r="B277" s="5">
        <v>68</v>
      </c>
      <c r="C277" s="27" t="s">
        <v>405</v>
      </c>
      <c r="D277" s="5" t="s">
        <v>33</v>
      </c>
      <c r="E277" s="5" t="s">
        <v>406</v>
      </c>
      <c r="F277" s="7" t="s">
        <v>407</v>
      </c>
      <c r="G277" s="7" t="s">
        <v>107</v>
      </c>
      <c r="H277" s="8">
        <v>68680</v>
      </c>
      <c r="I277" s="8"/>
      <c r="J277" s="8"/>
      <c r="K277" s="7" t="s">
        <v>108</v>
      </c>
      <c r="L277" s="7" t="s">
        <v>95</v>
      </c>
      <c r="M277" s="7" t="s">
        <v>408</v>
      </c>
      <c r="N277" s="9" t="s">
        <v>409</v>
      </c>
      <c r="O277" s="10">
        <v>45306</v>
      </c>
      <c r="P277" s="7" t="s">
        <v>41</v>
      </c>
      <c r="Q277" s="7"/>
      <c r="R277" s="7"/>
      <c r="S277" s="9">
        <v>276</v>
      </c>
      <c r="T277" s="9">
        <v>188</v>
      </c>
      <c r="U277" s="9"/>
      <c r="V277" s="9"/>
      <c r="W277" s="9"/>
      <c r="X277" s="9"/>
      <c r="Y277" s="9"/>
      <c r="Z277" s="9"/>
      <c r="AA277" s="9"/>
      <c r="AB277" s="9"/>
      <c r="AC277" s="9"/>
      <c r="AD277" s="9">
        <v>269</v>
      </c>
      <c r="AE277" s="9"/>
      <c r="AF277" s="9"/>
      <c r="AG277" s="9">
        <f t="shared" si="9"/>
        <v>3</v>
      </c>
      <c r="AH277" s="62">
        <f t="shared" si="10"/>
        <v>244.33333333333334</v>
      </c>
      <c r="AI277" s="11" t="str">
        <f>IF(AH277&gt;='Aprovados Recursos do Fundo'!$AQ$1,"APROVADO","REPROVADO")</f>
        <v>APROVADO</v>
      </c>
    </row>
    <row r="278" spans="2:35" s="64" customFormat="1" ht="39.950000000000003" hidden="1" customHeight="1" x14ac:dyDescent="0.25">
      <c r="B278" s="5">
        <v>232</v>
      </c>
      <c r="C278" s="22" t="s">
        <v>1198</v>
      </c>
      <c r="D278" s="5" t="s">
        <v>51</v>
      </c>
      <c r="E278" s="9" t="s">
        <v>1199</v>
      </c>
      <c r="F278" s="9" t="s">
        <v>1200</v>
      </c>
      <c r="G278" s="11" t="s">
        <v>107</v>
      </c>
      <c r="H278" s="41">
        <v>348000</v>
      </c>
      <c r="I278" s="41"/>
      <c r="J278" s="41"/>
      <c r="K278" s="9" t="s">
        <v>1201</v>
      </c>
      <c r="L278" s="11" t="s">
        <v>115</v>
      </c>
      <c r="M278" s="9" t="s">
        <v>1202</v>
      </c>
      <c r="N278" s="9" t="s">
        <v>1203</v>
      </c>
      <c r="O278" s="34">
        <v>45320</v>
      </c>
      <c r="P278" s="9" t="s">
        <v>57</v>
      </c>
      <c r="Q278" s="9"/>
      <c r="R278" s="65"/>
      <c r="S278" s="9">
        <v>269</v>
      </c>
      <c r="T278" s="9">
        <v>153</v>
      </c>
      <c r="U278" s="9"/>
      <c r="V278" s="9"/>
      <c r="W278" s="9"/>
      <c r="X278" s="9"/>
      <c r="Y278" s="9">
        <v>308</v>
      </c>
      <c r="Z278" s="9"/>
      <c r="AA278" s="9"/>
      <c r="AB278" s="9"/>
      <c r="AC278" s="9"/>
      <c r="AD278" s="9"/>
      <c r="AE278" s="65"/>
      <c r="AF278" s="65"/>
      <c r="AG278" s="9">
        <f t="shared" si="9"/>
        <v>3</v>
      </c>
      <c r="AH278" s="62">
        <f t="shared" si="10"/>
        <v>243.33333333333334</v>
      </c>
      <c r="AI278" s="11" t="str">
        <f>IF(AH278&gt;='Aprovados Recursos do Fundo'!$AQ$1,"APROVADO","REPROVADO")</f>
        <v>APROVADO</v>
      </c>
    </row>
    <row r="279" spans="2:35" s="64" customFormat="1" ht="39.950000000000003" hidden="1" customHeight="1" x14ac:dyDescent="0.25">
      <c r="B279" s="5">
        <v>184</v>
      </c>
      <c r="C279" s="6" t="s">
        <v>985</v>
      </c>
      <c r="D279" s="5" t="s">
        <v>33</v>
      </c>
      <c r="E279" s="5" t="s">
        <v>986</v>
      </c>
      <c r="F279" s="5" t="s">
        <v>987</v>
      </c>
      <c r="G279" s="7" t="s">
        <v>107</v>
      </c>
      <c r="H279" s="8">
        <v>1347817.58</v>
      </c>
      <c r="I279" s="8"/>
      <c r="J279" s="8"/>
      <c r="K279" s="7" t="s">
        <v>73</v>
      </c>
      <c r="L279" s="5" t="s">
        <v>74</v>
      </c>
      <c r="M279" s="7" t="s">
        <v>988</v>
      </c>
      <c r="N279" s="9" t="s">
        <v>989</v>
      </c>
      <c r="O279" s="10">
        <v>45315</v>
      </c>
      <c r="P279" s="5" t="s">
        <v>67</v>
      </c>
      <c r="Q279" s="7" t="s">
        <v>375</v>
      </c>
      <c r="R279" s="7"/>
      <c r="S279" s="5">
        <v>322</v>
      </c>
      <c r="T279" s="9">
        <v>157</v>
      </c>
      <c r="U279" s="9">
        <v>249</v>
      </c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>
        <f t="shared" si="9"/>
        <v>3</v>
      </c>
      <c r="AH279" s="62">
        <f t="shared" si="10"/>
        <v>242.66666666666666</v>
      </c>
      <c r="AI279" s="11" t="str">
        <f>IF(AH279&gt;='Aprovados Recursos do Fundo'!$AQ$1,"APROVADO","REPROVADO")</f>
        <v>APROVADO</v>
      </c>
    </row>
    <row r="280" spans="2:35" s="64" customFormat="1" ht="25.5" hidden="1" x14ac:dyDescent="0.25">
      <c r="B280" s="5">
        <v>442</v>
      </c>
      <c r="C280" s="27" t="s">
        <v>2161</v>
      </c>
      <c r="D280" s="5" t="s">
        <v>33</v>
      </c>
      <c r="E280" s="5" t="s">
        <v>2162</v>
      </c>
      <c r="F280" s="7" t="s">
        <v>2163</v>
      </c>
      <c r="G280" s="7" t="s">
        <v>107</v>
      </c>
      <c r="H280" s="8">
        <v>500000</v>
      </c>
      <c r="I280" s="8"/>
      <c r="J280" s="8"/>
      <c r="K280" s="7" t="s">
        <v>253</v>
      </c>
      <c r="L280" s="7" t="s">
        <v>254</v>
      </c>
      <c r="M280" s="7" t="s">
        <v>2164</v>
      </c>
      <c r="N280" s="9" t="s">
        <v>2165</v>
      </c>
      <c r="O280" s="10">
        <v>45322</v>
      </c>
      <c r="P280" s="7" t="s">
        <v>41</v>
      </c>
      <c r="Q280" s="9"/>
      <c r="R280" s="65"/>
      <c r="S280" s="7">
        <v>294</v>
      </c>
      <c r="T280" s="9">
        <v>207</v>
      </c>
      <c r="U280" s="9"/>
      <c r="V280" s="9">
        <v>227</v>
      </c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>
        <f t="shared" si="9"/>
        <v>3</v>
      </c>
      <c r="AH280" s="62">
        <f t="shared" si="10"/>
        <v>242.66666666666666</v>
      </c>
      <c r="AI280" s="11" t="str">
        <f>IF(AH280&gt;='Aprovados Recursos do Fundo'!$AQ$1,"APROVADO","REPROVADO")</f>
        <v>APROVADO</v>
      </c>
    </row>
    <row r="281" spans="2:35" s="64" customFormat="1" ht="39.950000000000003" hidden="1" customHeight="1" x14ac:dyDescent="0.25">
      <c r="B281" s="5">
        <v>155</v>
      </c>
      <c r="C281" s="6" t="s">
        <v>823</v>
      </c>
      <c r="D281" s="5" t="s">
        <v>33</v>
      </c>
      <c r="E281" s="5" t="s">
        <v>824</v>
      </c>
      <c r="F281" s="7" t="s">
        <v>825</v>
      </c>
      <c r="G281" s="7" t="s">
        <v>36</v>
      </c>
      <c r="H281" s="8">
        <v>54100</v>
      </c>
      <c r="I281" s="8"/>
      <c r="J281" s="8"/>
      <c r="K281" s="7" t="s">
        <v>469</v>
      </c>
      <c r="L281" s="7" t="s">
        <v>95</v>
      </c>
      <c r="M281" s="7" t="s">
        <v>826</v>
      </c>
      <c r="N281" s="9" t="s">
        <v>827</v>
      </c>
      <c r="O281" s="10">
        <v>45308</v>
      </c>
      <c r="P281" s="7" t="s">
        <v>67</v>
      </c>
      <c r="Q281" s="7" t="s">
        <v>68</v>
      </c>
      <c r="R281" s="7"/>
      <c r="S281" s="9"/>
      <c r="T281" s="9">
        <v>155</v>
      </c>
      <c r="U281" s="9"/>
      <c r="V281" s="9"/>
      <c r="W281" s="9"/>
      <c r="X281" s="9"/>
      <c r="Y281" s="9"/>
      <c r="Z281" s="9">
        <v>299</v>
      </c>
      <c r="AA281" s="9">
        <v>272</v>
      </c>
      <c r="AB281" s="9"/>
      <c r="AC281" s="9"/>
      <c r="AD281" s="9"/>
      <c r="AE281" s="9"/>
      <c r="AF281" s="9"/>
      <c r="AG281" s="9">
        <f t="shared" si="9"/>
        <v>3</v>
      </c>
      <c r="AH281" s="62">
        <f t="shared" si="10"/>
        <v>242</v>
      </c>
      <c r="AI281" s="11" t="str">
        <f>IF(AH281&gt;='Aprovados Recursos do Fundo'!$AQ$1,"APROVADO","REPROVADO")</f>
        <v>APROVADO</v>
      </c>
    </row>
    <row r="282" spans="2:35" s="64" customFormat="1" ht="39.950000000000003" hidden="1" customHeight="1" x14ac:dyDescent="0.25">
      <c r="B282" s="5">
        <v>157</v>
      </c>
      <c r="C282" s="6" t="s">
        <v>830</v>
      </c>
      <c r="D282" s="5" t="s">
        <v>33</v>
      </c>
      <c r="E282" s="5" t="s">
        <v>831</v>
      </c>
      <c r="F282" s="5" t="s">
        <v>832</v>
      </c>
      <c r="G282" s="7" t="s">
        <v>36</v>
      </c>
      <c r="H282" s="8">
        <v>293034.33</v>
      </c>
      <c r="I282" s="8"/>
      <c r="J282" s="8"/>
      <c r="K282" s="7" t="s">
        <v>833</v>
      </c>
      <c r="L282" s="7" t="s">
        <v>254</v>
      </c>
      <c r="M282" s="7" t="s">
        <v>834</v>
      </c>
      <c r="N282" s="9" t="s">
        <v>835</v>
      </c>
      <c r="O282" s="10">
        <v>45308</v>
      </c>
      <c r="P282" s="5" t="s">
        <v>67</v>
      </c>
      <c r="Q282" s="7" t="s">
        <v>157</v>
      </c>
      <c r="R282" s="7" t="s">
        <v>836</v>
      </c>
      <c r="S282" s="9">
        <v>270</v>
      </c>
      <c r="T282" s="9">
        <v>222</v>
      </c>
      <c r="U282" s="9">
        <v>234</v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>
        <f t="shared" si="9"/>
        <v>3</v>
      </c>
      <c r="AH282" s="62">
        <f t="shared" si="10"/>
        <v>242</v>
      </c>
      <c r="AI282" s="11" t="str">
        <f>IF(AH282&gt;='Aprovados Recursos do Fundo'!$AQ$1,"APROVADO","REPROVADO")</f>
        <v>APROVADO</v>
      </c>
    </row>
    <row r="283" spans="2:35" s="64" customFormat="1" ht="39.950000000000003" hidden="1" customHeight="1" x14ac:dyDescent="0.25">
      <c r="B283" s="5">
        <v>516</v>
      </c>
      <c r="C283" s="6" t="s">
        <v>2526</v>
      </c>
      <c r="D283" s="5" t="s">
        <v>33</v>
      </c>
      <c r="E283" s="5" t="s">
        <v>2527</v>
      </c>
      <c r="F283" s="7" t="s">
        <v>2528</v>
      </c>
      <c r="G283" s="7" t="s">
        <v>2529</v>
      </c>
      <c r="H283" s="8">
        <v>738261.48</v>
      </c>
      <c r="I283" s="8"/>
      <c r="J283" s="8"/>
      <c r="K283" s="7" t="s">
        <v>73</v>
      </c>
      <c r="L283" s="5" t="s">
        <v>74</v>
      </c>
      <c r="M283" s="7" t="s">
        <v>2530</v>
      </c>
      <c r="N283" s="9" t="s">
        <v>2531</v>
      </c>
      <c r="O283" s="10">
        <v>45322</v>
      </c>
      <c r="P283" s="7" t="s">
        <v>41</v>
      </c>
      <c r="Q283" s="7"/>
      <c r="R283" s="7"/>
      <c r="S283" s="7">
        <v>275</v>
      </c>
      <c r="T283" s="9"/>
      <c r="U283" s="9"/>
      <c r="V283" s="9"/>
      <c r="W283" s="9"/>
      <c r="X283" s="9"/>
      <c r="Y283" s="9"/>
      <c r="Z283" s="9"/>
      <c r="AA283" s="9"/>
      <c r="AB283" s="9">
        <v>210</v>
      </c>
      <c r="AC283" s="9">
        <v>241</v>
      </c>
      <c r="AD283" s="9"/>
      <c r="AE283" s="9"/>
      <c r="AF283" s="9"/>
      <c r="AG283" s="9">
        <f t="shared" si="9"/>
        <v>3</v>
      </c>
      <c r="AH283" s="62">
        <f t="shared" si="10"/>
        <v>242</v>
      </c>
      <c r="AI283" s="11" t="str">
        <f>IF(AH283&gt;='Aprovados Recursos do Fundo'!$AQ$1,"APROVADO","REPROVADO")</f>
        <v>APROVADO</v>
      </c>
    </row>
    <row r="284" spans="2:35" s="64" customFormat="1" ht="39.950000000000003" hidden="1" customHeight="1" x14ac:dyDescent="0.25">
      <c r="B284" s="5">
        <v>536</v>
      </c>
      <c r="C284" s="6" t="s">
        <v>2610</v>
      </c>
      <c r="D284" s="5" t="s">
        <v>33</v>
      </c>
      <c r="E284" s="5" t="s">
        <v>2611</v>
      </c>
      <c r="F284" s="7" t="s">
        <v>2612</v>
      </c>
      <c r="G284" s="7" t="s">
        <v>107</v>
      </c>
      <c r="H284" s="8">
        <v>406060</v>
      </c>
      <c r="I284" s="8"/>
      <c r="J284" s="8"/>
      <c r="K284" s="7" t="s">
        <v>73</v>
      </c>
      <c r="L284" s="5" t="s">
        <v>74</v>
      </c>
      <c r="M284" s="7" t="s">
        <v>2613</v>
      </c>
      <c r="N284" s="9" t="s">
        <v>2614</v>
      </c>
      <c r="O284" s="10">
        <v>45322</v>
      </c>
      <c r="P284" s="7" t="s">
        <v>67</v>
      </c>
      <c r="Q284" s="7" t="s">
        <v>68</v>
      </c>
      <c r="R284" s="7"/>
      <c r="S284" s="7">
        <v>235</v>
      </c>
      <c r="T284" s="9"/>
      <c r="U284" s="9">
        <v>245</v>
      </c>
      <c r="V284" s="9"/>
      <c r="W284" s="9"/>
      <c r="X284" s="9"/>
      <c r="Y284" s="9"/>
      <c r="Z284" s="9">
        <v>245</v>
      </c>
      <c r="AA284" s="9"/>
      <c r="AB284" s="9"/>
      <c r="AC284" s="9"/>
      <c r="AD284" s="9"/>
      <c r="AE284" s="9"/>
      <c r="AF284" s="9"/>
      <c r="AG284" s="9">
        <f t="shared" si="9"/>
        <v>3</v>
      </c>
      <c r="AH284" s="62">
        <f t="shared" si="10"/>
        <v>241.66666666666666</v>
      </c>
      <c r="AI284" s="11" t="str">
        <f>IF(AH284&gt;=$AI$1,"APROVADO","REPROVADO")</f>
        <v>APROVADO</v>
      </c>
    </row>
    <row r="285" spans="2:35" s="64" customFormat="1" ht="39.950000000000003" hidden="1" customHeight="1" x14ac:dyDescent="0.25">
      <c r="B285" s="5">
        <v>218</v>
      </c>
      <c r="C285" s="6" t="s">
        <v>1143</v>
      </c>
      <c r="D285" s="5" t="s">
        <v>33</v>
      </c>
      <c r="E285" s="5" t="s">
        <v>1144</v>
      </c>
      <c r="F285" s="7" t="s">
        <v>1145</v>
      </c>
      <c r="G285" s="7" t="s">
        <v>107</v>
      </c>
      <c r="H285" s="8">
        <v>214900</v>
      </c>
      <c r="I285" s="8"/>
      <c r="J285" s="8"/>
      <c r="K285" s="7" t="s">
        <v>1146</v>
      </c>
      <c r="L285" s="7" t="s">
        <v>123</v>
      </c>
      <c r="M285" s="7" t="s">
        <v>1147</v>
      </c>
      <c r="N285" s="9" t="s">
        <v>1148</v>
      </c>
      <c r="O285" s="10">
        <v>45320</v>
      </c>
      <c r="P285" s="7" t="s">
        <v>67</v>
      </c>
      <c r="Q285" s="7"/>
      <c r="R285" s="65"/>
      <c r="S285" s="7"/>
      <c r="T285" s="9">
        <v>133</v>
      </c>
      <c r="U285" s="9"/>
      <c r="V285" s="9"/>
      <c r="W285" s="9"/>
      <c r="X285" s="9">
        <v>288</v>
      </c>
      <c r="Y285" s="9">
        <v>304</v>
      </c>
      <c r="Z285" s="9"/>
      <c r="AA285" s="9"/>
      <c r="AB285" s="9"/>
      <c r="AC285" s="9"/>
      <c r="AD285" s="9"/>
      <c r="AE285" s="9"/>
      <c r="AF285" s="9"/>
      <c r="AG285" s="9">
        <f t="shared" si="9"/>
        <v>3</v>
      </c>
      <c r="AH285" s="62">
        <f t="shared" si="10"/>
        <v>241.66666666666666</v>
      </c>
      <c r="AI285" s="11" t="str">
        <f>IF(AH285&gt;='Aprovados Recursos do Fundo'!$AQ$1,"APROVADO","REPROVADO")</f>
        <v>APROVADO</v>
      </c>
    </row>
    <row r="286" spans="2:35" s="64" customFormat="1" ht="39.950000000000003" hidden="1" customHeight="1" x14ac:dyDescent="0.25">
      <c r="B286" s="5">
        <v>342</v>
      </c>
      <c r="C286" s="22" t="s">
        <v>1744</v>
      </c>
      <c r="D286" s="5" t="s">
        <v>51</v>
      </c>
      <c r="E286" s="9" t="s">
        <v>1745</v>
      </c>
      <c r="F286" s="9" t="s">
        <v>526</v>
      </c>
      <c r="G286" s="11" t="s">
        <v>107</v>
      </c>
      <c r="H286" s="41">
        <v>94100</v>
      </c>
      <c r="I286" s="41"/>
      <c r="J286" s="41"/>
      <c r="K286" s="9" t="s">
        <v>1746</v>
      </c>
      <c r="L286" s="11" t="s">
        <v>123</v>
      </c>
      <c r="M286" s="9" t="s">
        <v>1747</v>
      </c>
      <c r="N286" s="68" t="s">
        <v>1748</v>
      </c>
      <c r="O286" s="34">
        <v>45321</v>
      </c>
      <c r="P286" s="9" t="s">
        <v>57</v>
      </c>
      <c r="Q286" s="65"/>
      <c r="R286" s="65"/>
      <c r="S286" s="9">
        <v>255</v>
      </c>
      <c r="T286" s="9"/>
      <c r="U286" s="9"/>
      <c r="V286" s="9"/>
      <c r="W286" s="9"/>
      <c r="X286" s="9">
        <v>260</v>
      </c>
      <c r="Y286" s="9">
        <v>210</v>
      </c>
      <c r="Z286" s="9"/>
      <c r="AA286" s="9"/>
      <c r="AB286" s="9"/>
      <c r="AC286" s="9"/>
      <c r="AD286" s="9"/>
      <c r="AE286" s="65"/>
      <c r="AF286" s="65"/>
      <c r="AG286" s="9">
        <f t="shared" si="9"/>
        <v>3</v>
      </c>
      <c r="AH286" s="62">
        <f t="shared" si="10"/>
        <v>241.66666666666666</v>
      </c>
      <c r="AI286" s="11" t="str">
        <f>IF(AH286&gt;='Aprovados Recursos do Fundo'!$AQ$1,"APROVADO","REPROVADO")</f>
        <v>APROVADO</v>
      </c>
    </row>
    <row r="287" spans="2:35" s="64" customFormat="1" ht="39.950000000000003" hidden="1" customHeight="1" x14ac:dyDescent="0.25">
      <c r="B287" s="5">
        <v>11</v>
      </c>
      <c r="C287" s="6" t="s">
        <v>104</v>
      </c>
      <c r="D287" s="5" t="s">
        <v>33</v>
      </c>
      <c r="E287" s="5" t="s">
        <v>105</v>
      </c>
      <c r="F287" s="7" t="s">
        <v>106</v>
      </c>
      <c r="G287" s="7" t="s">
        <v>107</v>
      </c>
      <c r="H287" s="8">
        <v>193281.12</v>
      </c>
      <c r="I287" s="8"/>
      <c r="J287" s="8"/>
      <c r="K287" s="7" t="s">
        <v>108</v>
      </c>
      <c r="L287" s="7" t="s">
        <v>95</v>
      </c>
      <c r="M287" s="7" t="s">
        <v>109</v>
      </c>
      <c r="N287" s="9" t="s">
        <v>110</v>
      </c>
      <c r="O287" s="10">
        <v>45296</v>
      </c>
      <c r="P287" s="7" t="s">
        <v>41</v>
      </c>
      <c r="Q287" s="7"/>
      <c r="R287" s="7"/>
      <c r="S287" s="9">
        <v>312</v>
      </c>
      <c r="T287" s="9"/>
      <c r="U287" s="9">
        <v>237</v>
      </c>
      <c r="V287" s="9">
        <v>174</v>
      </c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>
        <f t="shared" si="9"/>
        <v>3</v>
      </c>
      <c r="AH287" s="62">
        <f t="shared" si="10"/>
        <v>241</v>
      </c>
      <c r="AI287" s="11" t="str">
        <f>IF(AH287&gt;='Aprovados Recursos do Fundo'!$AQ$1,"APROVADO","REPROVADO")</f>
        <v>APROVADO</v>
      </c>
    </row>
    <row r="288" spans="2:35" s="64" customFormat="1" ht="39.950000000000003" hidden="1" customHeight="1" x14ac:dyDescent="0.25">
      <c r="B288" s="5">
        <v>249</v>
      </c>
      <c r="C288" s="22" t="s">
        <v>1285</v>
      </c>
      <c r="D288" s="5" t="s">
        <v>51</v>
      </c>
      <c r="E288" s="9" t="s">
        <v>1286</v>
      </c>
      <c r="F288" s="9" t="s">
        <v>1287</v>
      </c>
      <c r="G288" s="11" t="s">
        <v>107</v>
      </c>
      <c r="H288" s="41">
        <v>163000</v>
      </c>
      <c r="I288" s="41"/>
      <c r="J288" s="41"/>
      <c r="K288" s="9" t="s">
        <v>1288</v>
      </c>
      <c r="L288" s="11" t="s">
        <v>154</v>
      </c>
      <c r="M288" s="9" t="s">
        <v>1289</v>
      </c>
      <c r="N288" s="67" t="s">
        <v>1290</v>
      </c>
      <c r="O288" s="34">
        <v>45320</v>
      </c>
      <c r="P288" s="9" t="s">
        <v>57</v>
      </c>
      <c r="Q288" s="9"/>
      <c r="R288" s="65"/>
      <c r="S288" s="9">
        <v>292</v>
      </c>
      <c r="T288" s="9">
        <v>132</v>
      </c>
      <c r="U288" s="9"/>
      <c r="V288" s="9"/>
      <c r="W288" s="9"/>
      <c r="X288" s="9"/>
      <c r="Y288" s="9"/>
      <c r="Z288" s="9"/>
      <c r="AA288" s="9">
        <v>299</v>
      </c>
      <c r="AB288" s="9"/>
      <c r="AC288" s="9"/>
      <c r="AD288" s="9"/>
      <c r="AE288" s="65"/>
      <c r="AF288" s="65"/>
      <c r="AG288" s="9">
        <f t="shared" si="9"/>
        <v>3</v>
      </c>
      <c r="AH288" s="62">
        <f t="shared" si="10"/>
        <v>241</v>
      </c>
      <c r="AI288" s="11" t="str">
        <f>IF(AH288&gt;='Aprovados Recursos do Fundo'!$AQ$1,"APROVADO","REPROVADO")</f>
        <v>APROVADO</v>
      </c>
    </row>
    <row r="289" spans="2:35" s="64" customFormat="1" ht="39.950000000000003" hidden="1" customHeight="1" x14ac:dyDescent="0.25">
      <c r="B289" s="5">
        <v>49</v>
      </c>
      <c r="C289" s="6" t="s">
        <v>311</v>
      </c>
      <c r="D289" s="5" t="s">
        <v>33</v>
      </c>
      <c r="E289" s="5" t="s">
        <v>312</v>
      </c>
      <c r="F289" s="7" t="s">
        <v>313</v>
      </c>
      <c r="G289" s="7" t="s">
        <v>36</v>
      </c>
      <c r="H289" s="8">
        <v>37863.96</v>
      </c>
      <c r="I289" s="8"/>
      <c r="J289" s="8"/>
      <c r="K289" s="7" t="s">
        <v>290</v>
      </c>
      <c r="L289" s="7" t="s">
        <v>154</v>
      </c>
      <c r="M289" s="7" t="s">
        <v>314</v>
      </c>
      <c r="N289" s="9" t="s">
        <v>315</v>
      </c>
      <c r="O289" s="10">
        <v>45303</v>
      </c>
      <c r="P289" s="7" t="s">
        <v>41</v>
      </c>
      <c r="Q289" s="7" t="s">
        <v>316</v>
      </c>
      <c r="R289" s="65"/>
      <c r="S289" s="9">
        <v>340</v>
      </c>
      <c r="T289" s="9">
        <v>117</v>
      </c>
      <c r="U289" s="9"/>
      <c r="V289" s="9">
        <v>265</v>
      </c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>
        <f t="shared" si="9"/>
        <v>3</v>
      </c>
      <c r="AH289" s="62">
        <f t="shared" si="10"/>
        <v>240.66666666666666</v>
      </c>
      <c r="AI289" s="11" t="str">
        <f>IF(AH289&gt;='Aprovados Recursos do Fundo'!$AQ$1,"APROVADO","REPROVADO")</f>
        <v>APROVADO</v>
      </c>
    </row>
    <row r="290" spans="2:35" s="64" customFormat="1" ht="39.950000000000003" hidden="1" customHeight="1" x14ac:dyDescent="0.25">
      <c r="B290" s="5">
        <v>219</v>
      </c>
      <c r="C290" s="6" t="s">
        <v>1149</v>
      </c>
      <c r="D290" s="5" t="s">
        <v>33</v>
      </c>
      <c r="E290" s="5" t="s">
        <v>1144</v>
      </c>
      <c r="F290" s="7" t="s">
        <v>1150</v>
      </c>
      <c r="G290" s="7" t="s">
        <v>36</v>
      </c>
      <c r="H290" s="8">
        <v>256800</v>
      </c>
      <c r="I290" s="8"/>
      <c r="J290" s="8"/>
      <c r="K290" s="7" t="s">
        <v>1146</v>
      </c>
      <c r="L290" s="7" t="s">
        <v>123</v>
      </c>
      <c r="M290" s="7" t="s">
        <v>1147</v>
      </c>
      <c r="N290" s="9" t="s">
        <v>1148</v>
      </c>
      <c r="O290" s="10">
        <v>45320</v>
      </c>
      <c r="P290" s="7" t="s">
        <v>67</v>
      </c>
      <c r="Q290" s="7"/>
      <c r="R290" s="65"/>
      <c r="S290" s="7"/>
      <c r="T290" s="9">
        <v>91</v>
      </c>
      <c r="U290" s="9"/>
      <c r="V290" s="9"/>
      <c r="W290" s="9"/>
      <c r="X290" s="9"/>
      <c r="Y290" s="9"/>
      <c r="Z290" s="9">
        <v>318</v>
      </c>
      <c r="AA290" s="9">
        <v>312</v>
      </c>
      <c r="AB290" s="9"/>
      <c r="AC290" s="9"/>
      <c r="AD290" s="9"/>
      <c r="AE290" s="9"/>
      <c r="AF290" s="9"/>
      <c r="AG290" s="9">
        <f t="shared" si="9"/>
        <v>3</v>
      </c>
      <c r="AH290" s="62">
        <f t="shared" si="10"/>
        <v>240.33333333333334</v>
      </c>
      <c r="AI290" s="11" t="str">
        <f>IF(AH290&gt;=$AI$1,"APROVADO","REPROVADO")</f>
        <v>APROVADO</v>
      </c>
    </row>
    <row r="291" spans="2:35" s="64" customFormat="1" ht="39.950000000000003" hidden="1" customHeight="1" x14ac:dyDescent="0.25">
      <c r="B291" s="5">
        <v>406</v>
      </c>
      <c r="C291" s="27" t="s">
        <v>2021</v>
      </c>
      <c r="D291" s="5" t="s">
        <v>33</v>
      </c>
      <c r="E291" s="5" t="s">
        <v>2022</v>
      </c>
      <c r="F291" s="7" t="s">
        <v>2023</v>
      </c>
      <c r="G291" s="7" t="s">
        <v>36</v>
      </c>
      <c r="H291" s="8">
        <v>168000</v>
      </c>
      <c r="I291" s="8"/>
      <c r="J291" s="8"/>
      <c r="K291" s="7" t="s">
        <v>2024</v>
      </c>
      <c r="L291" s="7" t="s">
        <v>47</v>
      </c>
      <c r="M291" s="7" t="s">
        <v>2025</v>
      </c>
      <c r="N291" s="9" t="s">
        <v>2026</v>
      </c>
      <c r="O291" s="10">
        <v>45322</v>
      </c>
      <c r="P291" s="7" t="s">
        <v>41</v>
      </c>
      <c r="Q291" s="7"/>
      <c r="R291" s="65"/>
      <c r="S291" s="7">
        <v>340</v>
      </c>
      <c r="T291" s="9">
        <v>177</v>
      </c>
      <c r="U291" s="9"/>
      <c r="V291" s="9">
        <v>203</v>
      </c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>
        <f t="shared" si="9"/>
        <v>3</v>
      </c>
      <c r="AH291" s="62">
        <f t="shared" si="10"/>
        <v>240</v>
      </c>
      <c r="AI291" s="11" t="str">
        <f>IF(AH291&gt;='Aprovados Recursos do Fundo'!$AQ$1,"APROVADO","REPROVADO")</f>
        <v>APROVADO</v>
      </c>
    </row>
    <row r="292" spans="2:35" s="64" customFormat="1" ht="39.950000000000003" hidden="1" customHeight="1" x14ac:dyDescent="0.25">
      <c r="B292" s="5">
        <v>228</v>
      </c>
      <c r="C292" s="6" t="s">
        <v>1178</v>
      </c>
      <c r="D292" s="5" t="s">
        <v>33</v>
      </c>
      <c r="E292" s="5" t="s">
        <v>1179</v>
      </c>
      <c r="F292" s="5" t="s">
        <v>1180</v>
      </c>
      <c r="G292" s="7" t="s">
        <v>36</v>
      </c>
      <c r="H292" s="8">
        <v>600000</v>
      </c>
      <c r="I292" s="8"/>
      <c r="J292" s="8"/>
      <c r="K292" s="7" t="s">
        <v>201</v>
      </c>
      <c r="L292" s="7" t="s">
        <v>202</v>
      </c>
      <c r="M292" s="7" t="s">
        <v>1181</v>
      </c>
      <c r="N292" s="9" t="s">
        <v>1182</v>
      </c>
      <c r="O292" s="10">
        <v>45320</v>
      </c>
      <c r="P292" s="5" t="s">
        <v>67</v>
      </c>
      <c r="Q292" s="7"/>
      <c r="R292" s="65"/>
      <c r="S292" s="5">
        <v>327</v>
      </c>
      <c r="T292" s="9">
        <v>150</v>
      </c>
      <c r="U292" s="9">
        <v>239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>
        <f t="shared" si="9"/>
        <v>3</v>
      </c>
      <c r="AH292" s="62">
        <f t="shared" si="10"/>
        <v>238.66666666666666</v>
      </c>
      <c r="AI292" s="11" t="str">
        <f>IF(AH292&gt;='Aprovados Recursos do Fundo'!$AQ$1,"APROVADO","REPROVADO")</f>
        <v>APROVADO</v>
      </c>
    </row>
    <row r="293" spans="2:35" s="64" customFormat="1" ht="39.950000000000003" hidden="1" customHeight="1" x14ac:dyDescent="0.25">
      <c r="B293" s="5">
        <v>98</v>
      </c>
      <c r="C293" s="6" t="s">
        <v>564</v>
      </c>
      <c r="D293" s="5" t="s">
        <v>33</v>
      </c>
      <c r="E293" s="5" t="s">
        <v>565</v>
      </c>
      <c r="F293" s="7" t="s">
        <v>566</v>
      </c>
      <c r="G293" s="7" t="s">
        <v>107</v>
      </c>
      <c r="H293" s="8">
        <v>600000</v>
      </c>
      <c r="I293" s="8"/>
      <c r="J293" s="8"/>
      <c r="K293" s="7" t="s">
        <v>73</v>
      </c>
      <c r="L293" s="7" t="s">
        <v>74</v>
      </c>
      <c r="M293" s="7" t="s">
        <v>567</v>
      </c>
      <c r="N293" s="9" t="s">
        <v>568</v>
      </c>
      <c r="O293" s="10">
        <v>45307</v>
      </c>
      <c r="P293" s="7" t="s">
        <v>67</v>
      </c>
      <c r="Q293" s="7" t="s">
        <v>375</v>
      </c>
      <c r="R293" s="7"/>
      <c r="S293" s="9"/>
      <c r="T293" s="9">
        <v>122</v>
      </c>
      <c r="U293" s="9"/>
      <c r="V293" s="9"/>
      <c r="W293" s="9"/>
      <c r="X293" s="9">
        <v>298</v>
      </c>
      <c r="Y293" s="9">
        <v>295</v>
      </c>
      <c r="Z293" s="9"/>
      <c r="AA293" s="9"/>
      <c r="AB293" s="9"/>
      <c r="AC293" s="9"/>
      <c r="AD293" s="9"/>
      <c r="AE293" s="9"/>
      <c r="AF293" s="9"/>
      <c r="AG293" s="9">
        <f t="shared" si="9"/>
        <v>3</v>
      </c>
      <c r="AH293" s="62">
        <f t="shared" si="10"/>
        <v>238.33333333333334</v>
      </c>
      <c r="AI293" s="11" t="str">
        <f>IF(AH293&gt;=$AI$1,"APROVADO","REPROVADO")</f>
        <v>APROVADO</v>
      </c>
    </row>
    <row r="294" spans="2:35" s="64" customFormat="1" ht="39.950000000000003" hidden="1" customHeight="1" x14ac:dyDescent="0.25">
      <c r="B294" s="5">
        <v>167</v>
      </c>
      <c r="C294" s="6" t="s">
        <v>881</v>
      </c>
      <c r="D294" s="5" t="s">
        <v>33</v>
      </c>
      <c r="E294" s="5" t="s">
        <v>882</v>
      </c>
      <c r="F294" s="5" t="s">
        <v>883</v>
      </c>
      <c r="G294" s="7" t="s">
        <v>107</v>
      </c>
      <c r="H294" s="8">
        <v>234836</v>
      </c>
      <c r="I294" s="8"/>
      <c r="J294" s="8"/>
      <c r="K294" s="7" t="s">
        <v>884</v>
      </c>
      <c r="L294" s="7" t="s">
        <v>254</v>
      </c>
      <c r="M294" s="7" t="s">
        <v>885</v>
      </c>
      <c r="N294" s="7" t="s">
        <v>886</v>
      </c>
      <c r="O294" s="10">
        <v>45310</v>
      </c>
      <c r="P294" s="5" t="s">
        <v>67</v>
      </c>
      <c r="Q294" s="7" t="s">
        <v>89</v>
      </c>
      <c r="R294" s="7" t="s">
        <v>90</v>
      </c>
      <c r="S294" s="9">
        <v>302</v>
      </c>
      <c r="T294" s="9">
        <v>181</v>
      </c>
      <c r="U294" s="9">
        <v>232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>
        <f t="shared" si="9"/>
        <v>3</v>
      </c>
      <c r="AH294" s="62">
        <f t="shared" si="10"/>
        <v>238.33333333333334</v>
      </c>
      <c r="AI294" s="11" t="str">
        <f>IF(AH294&gt;='Aprovados Recursos do Fundo'!$AQ$1,"APROVADO","REPROVADO")</f>
        <v>APROVADO</v>
      </c>
    </row>
    <row r="295" spans="2:35" s="64" customFormat="1" ht="39.950000000000003" hidden="1" customHeight="1" x14ac:dyDescent="0.25">
      <c r="B295" s="5">
        <v>340</v>
      </c>
      <c r="C295" s="6" t="s">
        <v>1740</v>
      </c>
      <c r="D295" s="5" t="s">
        <v>33</v>
      </c>
      <c r="E295" s="5" t="s">
        <v>1736</v>
      </c>
      <c r="F295" s="7" t="s">
        <v>1741</v>
      </c>
      <c r="G295" s="5" t="s">
        <v>174</v>
      </c>
      <c r="H295" s="17">
        <v>535078</v>
      </c>
      <c r="I295" s="17"/>
      <c r="J295" s="17"/>
      <c r="K295" s="7" t="s">
        <v>1514</v>
      </c>
      <c r="L295" s="5" t="s">
        <v>95</v>
      </c>
      <c r="M295" s="5" t="s">
        <v>1738</v>
      </c>
      <c r="N295" s="9" t="s">
        <v>1739</v>
      </c>
      <c r="O295" s="10">
        <v>45321</v>
      </c>
      <c r="P295" s="7" t="s">
        <v>67</v>
      </c>
      <c r="Q295" s="7"/>
      <c r="R295" s="65"/>
      <c r="S295" s="7">
        <v>255</v>
      </c>
      <c r="T295" s="9">
        <v>241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>
        <v>217</v>
      </c>
      <c r="AG295" s="9">
        <f t="shared" si="9"/>
        <v>3</v>
      </c>
      <c r="AH295" s="62">
        <f t="shared" si="10"/>
        <v>237.66666666666666</v>
      </c>
      <c r="AI295" s="11" t="str">
        <f>IF(AH295&gt;=$AI$1,"APROVADO","REPROVADO")</f>
        <v>APROVADO</v>
      </c>
    </row>
    <row r="296" spans="2:35" s="64" customFormat="1" ht="39.950000000000003" hidden="1" customHeight="1" x14ac:dyDescent="0.25">
      <c r="B296" s="5">
        <v>186</v>
      </c>
      <c r="C296" s="22" t="s">
        <v>996</v>
      </c>
      <c r="D296" s="5" t="s">
        <v>51</v>
      </c>
      <c r="E296" s="9" t="s">
        <v>997</v>
      </c>
      <c r="F296" s="9" t="s">
        <v>998</v>
      </c>
      <c r="G296" s="11" t="s">
        <v>107</v>
      </c>
      <c r="H296" s="41">
        <v>270680</v>
      </c>
      <c r="I296" s="41"/>
      <c r="J296" s="41"/>
      <c r="K296" s="9" t="s">
        <v>999</v>
      </c>
      <c r="L296" s="11" t="s">
        <v>189</v>
      </c>
      <c r="M296" s="9" t="s">
        <v>1000</v>
      </c>
      <c r="N296" s="9" t="s">
        <v>1001</v>
      </c>
      <c r="O296" s="34">
        <v>45315</v>
      </c>
      <c r="P296" s="9" t="s">
        <v>41</v>
      </c>
      <c r="Q296" s="11"/>
      <c r="R296" s="9"/>
      <c r="S296" s="9">
        <v>291</v>
      </c>
      <c r="T296" s="9">
        <v>180</v>
      </c>
      <c r="U296" s="9"/>
      <c r="V296" s="9"/>
      <c r="W296" s="9"/>
      <c r="X296" s="9"/>
      <c r="Y296" s="9"/>
      <c r="Z296" s="9"/>
      <c r="AA296" s="9"/>
      <c r="AB296" s="9">
        <v>242</v>
      </c>
      <c r="AC296" s="9"/>
      <c r="AD296" s="9"/>
      <c r="AE296" s="65"/>
      <c r="AF296" s="65"/>
      <c r="AG296" s="9">
        <f t="shared" si="9"/>
        <v>3</v>
      </c>
      <c r="AH296" s="62">
        <f t="shared" si="10"/>
        <v>237.66666666666666</v>
      </c>
      <c r="AI296" s="11" t="str">
        <f>IF(AH296&gt;='Aprovados Recursos do Fundo'!$AQ$1,"APROVADO","REPROVADO")</f>
        <v>APROVADO</v>
      </c>
    </row>
    <row r="297" spans="2:35" s="64" customFormat="1" ht="39.950000000000003" hidden="1" customHeight="1" x14ac:dyDescent="0.25">
      <c r="B297" s="5">
        <v>411</v>
      </c>
      <c r="C297" s="27" t="s">
        <v>2038</v>
      </c>
      <c r="D297" s="5" t="s">
        <v>33</v>
      </c>
      <c r="E297" s="5" t="s">
        <v>2039</v>
      </c>
      <c r="F297" s="7" t="s">
        <v>2040</v>
      </c>
      <c r="G297" s="7" t="s">
        <v>36</v>
      </c>
      <c r="H297" s="8">
        <v>78400</v>
      </c>
      <c r="I297" s="8"/>
      <c r="J297" s="8"/>
      <c r="K297" s="7" t="s">
        <v>2024</v>
      </c>
      <c r="L297" s="7" t="s">
        <v>47</v>
      </c>
      <c r="M297" s="7" t="s">
        <v>2041</v>
      </c>
      <c r="N297" s="9" t="s">
        <v>2042</v>
      </c>
      <c r="O297" s="10">
        <v>45322</v>
      </c>
      <c r="P297" s="7" t="s">
        <v>41</v>
      </c>
      <c r="Q297" s="7"/>
      <c r="R297" s="65"/>
      <c r="S297" s="7">
        <v>335</v>
      </c>
      <c r="T297" s="9">
        <v>177</v>
      </c>
      <c r="U297" s="9"/>
      <c r="V297" s="9">
        <v>201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>
        <f t="shared" si="9"/>
        <v>3</v>
      </c>
      <c r="AH297" s="62">
        <f t="shared" si="10"/>
        <v>237.66666666666666</v>
      </c>
      <c r="AI297" s="11" t="str">
        <f>IF(AH297&gt;='Aprovados Recursos do Fundo'!$AQ$1,"APROVADO","REPROVADO")</f>
        <v>APROVADO</v>
      </c>
    </row>
    <row r="298" spans="2:35" s="64" customFormat="1" ht="39.950000000000003" hidden="1" customHeight="1" x14ac:dyDescent="0.25">
      <c r="B298" s="5">
        <v>156</v>
      </c>
      <c r="C298" s="6" t="s">
        <v>828</v>
      </c>
      <c r="D298" s="5" t="s">
        <v>33</v>
      </c>
      <c r="E298" s="5" t="s">
        <v>824</v>
      </c>
      <c r="F298" s="7" t="s">
        <v>829</v>
      </c>
      <c r="G298" s="7" t="s">
        <v>36</v>
      </c>
      <c r="H298" s="8">
        <v>105800</v>
      </c>
      <c r="I298" s="8"/>
      <c r="J298" s="8"/>
      <c r="K298" s="7" t="s">
        <v>469</v>
      </c>
      <c r="L298" s="7" t="s">
        <v>95</v>
      </c>
      <c r="M298" s="7" t="s">
        <v>826</v>
      </c>
      <c r="N298" s="9" t="s">
        <v>827</v>
      </c>
      <c r="O298" s="10">
        <v>45308</v>
      </c>
      <c r="P298" s="7" t="s">
        <v>67</v>
      </c>
      <c r="Q298" s="7" t="s">
        <v>68</v>
      </c>
      <c r="R298" s="7"/>
      <c r="S298" s="9">
        <v>314</v>
      </c>
      <c r="T298" s="9">
        <v>159</v>
      </c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>
        <v>238</v>
      </c>
      <c r="AG298" s="9">
        <f t="shared" si="9"/>
        <v>3</v>
      </c>
      <c r="AH298" s="62">
        <f t="shared" si="10"/>
        <v>237</v>
      </c>
      <c r="AI298" s="11" t="str">
        <f>IF(AH298&gt;=$AI$1,"APROVADO","REPROVADO")</f>
        <v>APROVADO</v>
      </c>
    </row>
    <row r="299" spans="2:35" s="64" customFormat="1" ht="39.950000000000003" hidden="1" customHeight="1" x14ac:dyDescent="0.25">
      <c r="B299" s="5">
        <v>92</v>
      </c>
      <c r="C299" s="27" t="s">
        <v>530</v>
      </c>
      <c r="D299" s="5" t="s">
        <v>33</v>
      </c>
      <c r="E299" s="5" t="s">
        <v>531</v>
      </c>
      <c r="F299" s="7" t="s">
        <v>532</v>
      </c>
      <c r="G299" s="7" t="s">
        <v>36</v>
      </c>
      <c r="H299" s="8">
        <v>500000</v>
      </c>
      <c r="I299" s="8"/>
      <c r="J299" s="8"/>
      <c r="K299" s="7" t="s">
        <v>253</v>
      </c>
      <c r="L299" s="7" t="s">
        <v>254</v>
      </c>
      <c r="M299" s="7" t="s">
        <v>533</v>
      </c>
      <c r="N299" s="9" t="s">
        <v>534</v>
      </c>
      <c r="O299" s="10">
        <v>45307</v>
      </c>
      <c r="P299" s="7" t="s">
        <v>41</v>
      </c>
      <c r="Q299" s="7"/>
      <c r="R299" s="7"/>
      <c r="S299" s="9">
        <v>295</v>
      </c>
      <c r="T299" s="9">
        <v>175</v>
      </c>
      <c r="U299" s="9">
        <v>241</v>
      </c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>
        <f t="shared" si="9"/>
        <v>3</v>
      </c>
      <c r="AH299" s="62">
        <f t="shared" si="10"/>
        <v>237</v>
      </c>
      <c r="AI299" s="11" t="str">
        <f>IF(AH299&gt;='Aprovados Recursos do Fundo'!$AQ$1,"APROVADO","REPROVADO")</f>
        <v>APROVADO</v>
      </c>
    </row>
    <row r="300" spans="2:35" s="64" customFormat="1" ht="39.950000000000003" hidden="1" customHeight="1" x14ac:dyDescent="0.25">
      <c r="B300" s="5">
        <v>239</v>
      </c>
      <c r="C300" s="22" t="s">
        <v>1231</v>
      </c>
      <c r="D300" s="5" t="s">
        <v>51</v>
      </c>
      <c r="E300" s="11" t="s">
        <v>1232</v>
      </c>
      <c r="F300" s="11" t="s">
        <v>1233</v>
      </c>
      <c r="G300" s="11" t="s">
        <v>36</v>
      </c>
      <c r="H300" s="41">
        <v>183800</v>
      </c>
      <c r="I300" s="41"/>
      <c r="J300" s="41"/>
      <c r="K300" s="11" t="s">
        <v>503</v>
      </c>
      <c r="L300" s="11" t="s">
        <v>154</v>
      </c>
      <c r="M300" s="9" t="s">
        <v>1234</v>
      </c>
      <c r="N300" s="67" t="s">
        <v>1235</v>
      </c>
      <c r="O300" s="34">
        <v>45320</v>
      </c>
      <c r="P300" s="9" t="s">
        <v>41</v>
      </c>
      <c r="Q300" s="11" t="s">
        <v>1236</v>
      </c>
      <c r="R300" s="65"/>
      <c r="S300" s="9">
        <v>297</v>
      </c>
      <c r="T300" s="9">
        <v>124</v>
      </c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65">
        <v>290</v>
      </c>
      <c r="AF300" s="65"/>
      <c r="AG300" s="9">
        <f t="shared" si="9"/>
        <v>3</v>
      </c>
      <c r="AH300" s="62">
        <f t="shared" si="10"/>
        <v>237</v>
      </c>
      <c r="AI300" s="11" t="str">
        <f>IF(AH300&gt;='Aprovados Recursos do Fundo'!$AQ$1,"APROVADO","REPROVADO")</f>
        <v>APROVADO</v>
      </c>
    </row>
    <row r="301" spans="2:35" s="64" customFormat="1" hidden="1" x14ac:dyDescent="0.25">
      <c r="B301" s="5">
        <v>274</v>
      </c>
      <c r="C301" s="27" t="s">
        <v>1406</v>
      </c>
      <c r="D301" s="5" t="s">
        <v>33</v>
      </c>
      <c r="E301" s="5" t="s">
        <v>1407</v>
      </c>
      <c r="F301" s="7" t="s">
        <v>1258</v>
      </c>
      <c r="G301" s="7" t="s">
        <v>107</v>
      </c>
      <c r="H301" s="8">
        <v>127800</v>
      </c>
      <c r="I301" s="8"/>
      <c r="J301" s="8"/>
      <c r="K301" s="7" t="s">
        <v>1408</v>
      </c>
      <c r="L301" s="7" t="s">
        <v>223</v>
      </c>
      <c r="M301" s="7" t="s">
        <v>1409</v>
      </c>
      <c r="N301" s="9" t="s">
        <v>1410</v>
      </c>
      <c r="O301" s="10">
        <v>45320</v>
      </c>
      <c r="P301" s="7" t="s">
        <v>41</v>
      </c>
      <c r="Q301" s="7"/>
      <c r="R301" s="65"/>
      <c r="S301" s="7">
        <v>330</v>
      </c>
      <c r="T301" s="9">
        <v>136</v>
      </c>
      <c r="U301" s="9">
        <v>245</v>
      </c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>
        <f t="shared" si="9"/>
        <v>3</v>
      </c>
      <c r="AH301" s="62">
        <f t="shared" si="10"/>
        <v>237</v>
      </c>
      <c r="AI301" s="11" t="str">
        <f>IF(AH301&gt;='Aprovados Recursos do Fundo'!$AQ$1,"APROVADO","REPROVADO")</f>
        <v>APROVADO</v>
      </c>
    </row>
    <row r="302" spans="2:35" s="64" customFormat="1" ht="39.950000000000003" hidden="1" customHeight="1" x14ac:dyDescent="0.25">
      <c r="B302" s="5">
        <v>510</v>
      </c>
      <c r="C302" s="27" t="s">
        <v>2492</v>
      </c>
      <c r="D302" s="5" t="s">
        <v>33</v>
      </c>
      <c r="E302" s="5" t="s">
        <v>2493</v>
      </c>
      <c r="F302" s="7" t="s">
        <v>2494</v>
      </c>
      <c r="G302" s="7" t="s">
        <v>107</v>
      </c>
      <c r="H302" s="8">
        <v>1224168</v>
      </c>
      <c r="I302" s="8"/>
      <c r="J302" s="8"/>
      <c r="K302" s="7" t="s">
        <v>1732</v>
      </c>
      <c r="L302" s="7" t="s">
        <v>235</v>
      </c>
      <c r="M302" s="7" t="s">
        <v>2495</v>
      </c>
      <c r="N302" s="9" t="s">
        <v>2496</v>
      </c>
      <c r="O302" s="10">
        <v>45322</v>
      </c>
      <c r="P302" s="7" t="s">
        <v>41</v>
      </c>
      <c r="Q302" s="7"/>
      <c r="R302" s="7"/>
      <c r="S302" s="7">
        <v>319</v>
      </c>
      <c r="T302" s="9">
        <v>109</v>
      </c>
      <c r="U302" s="9"/>
      <c r="V302" s="9"/>
      <c r="W302" s="9"/>
      <c r="X302" s="9"/>
      <c r="Y302" s="9"/>
      <c r="Z302" s="9"/>
      <c r="AA302" s="9"/>
      <c r="AB302" s="9">
        <v>283</v>
      </c>
      <c r="AC302" s="9"/>
      <c r="AD302" s="9"/>
      <c r="AE302" s="9"/>
      <c r="AF302" s="9"/>
      <c r="AG302" s="9">
        <f t="shared" si="9"/>
        <v>3</v>
      </c>
      <c r="AH302" s="62">
        <f t="shared" si="10"/>
        <v>237</v>
      </c>
      <c r="AI302" s="11" t="str">
        <f>IF(AH302&gt;='Aprovados Recursos do Fundo'!$AQ$1,"APROVADO","REPROVADO")</f>
        <v>APROVADO</v>
      </c>
    </row>
    <row r="303" spans="2:35" s="64" customFormat="1" ht="39.950000000000003" hidden="1" customHeight="1" x14ac:dyDescent="0.25">
      <c r="B303" s="5">
        <v>360</v>
      </c>
      <c r="C303" s="6" t="s">
        <v>1820</v>
      </c>
      <c r="D303" s="5" t="s">
        <v>33</v>
      </c>
      <c r="E303" s="5" t="s">
        <v>1821</v>
      </c>
      <c r="F303" s="5" t="s">
        <v>1822</v>
      </c>
      <c r="G303" s="5" t="s">
        <v>62</v>
      </c>
      <c r="H303" s="17">
        <v>277666.61</v>
      </c>
      <c r="I303" s="17"/>
      <c r="J303" s="17"/>
      <c r="K303" s="7" t="s">
        <v>73</v>
      </c>
      <c r="L303" s="5" t="s">
        <v>74</v>
      </c>
      <c r="M303" s="5" t="s">
        <v>1823</v>
      </c>
      <c r="N303" s="9" t="s">
        <v>1824</v>
      </c>
      <c r="O303" s="10">
        <v>45321</v>
      </c>
      <c r="P303" s="5" t="s">
        <v>67</v>
      </c>
      <c r="Q303" s="7" t="s">
        <v>1825</v>
      </c>
      <c r="R303" s="65"/>
      <c r="S303" s="5">
        <v>302</v>
      </c>
      <c r="T303" s="9">
        <v>112</v>
      </c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>
        <v>296</v>
      </c>
      <c r="AF303" s="9"/>
      <c r="AG303" s="9">
        <f t="shared" si="9"/>
        <v>3</v>
      </c>
      <c r="AH303" s="62">
        <f t="shared" si="10"/>
        <v>236.66666666666666</v>
      </c>
      <c r="AI303" s="11" t="str">
        <f>IF(AH303&gt;='Aprovados Recursos do Fundo'!$AQ$1,"APROVADO","REPROVADO")</f>
        <v>APROVADO</v>
      </c>
    </row>
    <row r="304" spans="2:35" s="64" customFormat="1" ht="39.950000000000003" hidden="1" customHeight="1" x14ac:dyDescent="0.25">
      <c r="B304" s="5">
        <v>393</v>
      </c>
      <c r="C304" s="27" t="s">
        <v>1972</v>
      </c>
      <c r="D304" s="5" t="s">
        <v>33</v>
      </c>
      <c r="E304" s="5" t="s">
        <v>1973</v>
      </c>
      <c r="F304" s="7" t="s">
        <v>1974</v>
      </c>
      <c r="G304" s="7" t="s">
        <v>36</v>
      </c>
      <c r="H304" s="8">
        <v>552712</v>
      </c>
      <c r="I304" s="8"/>
      <c r="J304" s="8"/>
      <c r="K304" s="7" t="s">
        <v>425</v>
      </c>
      <c r="L304" s="7" t="s">
        <v>348</v>
      </c>
      <c r="M304" s="7" t="s">
        <v>1975</v>
      </c>
      <c r="N304" s="9" t="s">
        <v>1976</v>
      </c>
      <c r="O304" s="10">
        <v>45322</v>
      </c>
      <c r="P304" s="7" t="s">
        <v>41</v>
      </c>
      <c r="Q304" s="7"/>
      <c r="R304" s="65"/>
      <c r="S304" s="7">
        <v>321</v>
      </c>
      <c r="T304" s="9">
        <v>194</v>
      </c>
      <c r="U304" s="9"/>
      <c r="V304" s="9">
        <v>194</v>
      </c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>
        <f t="shared" si="9"/>
        <v>3</v>
      </c>
      <c r="AH304" s="62">
        <f t="shared" si="10"/>
        <v>236.33333333333334</v>
      </c>
      <c r="AI304" s="11" t="str">
        <f>IF(AH304&gt;='Aprovados Recursos do Fundo'!$AQ$1,"APROVADO","REPROVADO")</f>
        <v>APROVADO</v>
      </c>
    </row>
    <row r="305" spans="2:35" s="64" customFormat="1" ht="39.950000000000003" hidden="1" customHeight="1" x14ac:dyDescent="0.25">
      <c r="B305" s="5">
        <v>283</v>
      </c>
      <c r="C305" s="6" t="s">
        <v>1456</v>
      </c>
      <c r="D305" s="5" t="s">
        <v>33</v>
      </c>
      <c r="E305" s="58" t="s">
        <v>1457</v>
      </c>
      <c r="F305" s="5" t="s">
        <v>1458</v>
      </c>
      <c r="G305" s="5" t="s">
        <v>36</v>
      </c>
      <c r="H305" s="17">
        <v>96807.1</v>
      </c>
      <c r="I305" s="17"/>
      <c r="J305" s="17"/>
      <c r="K305" s="5" t="s">
        <v>1459</v>
      </c>
      <c r="L305" s="45" t="s">
        <v>270</v>
      </c>
      <c r="M305" s="45" t="s">
        <v>1460</v>
      </c>
      <c r="N305" s="46" t="s">
        <v>1461</v>
      </c>
      <c r="O305" s="10">
        <v>45321</v>
      </c>
      <c r="P305" s="5" t="s">
        <v>41</v>
      </c>
      <c r="Q305" s="5"/>
      <c r="R305" s="65"/>
      <c r="S305" s="5">
        <v>265</v>
      </c>
      <c r="T305" s="9">
        <v>162</v>
      </c>
      <c r="U305" s="9"/>
      <c r="V305" s="9"/>
      <c r="W305" s="9"/>
      <c r="X305" s="9"/>
      <c r="Y305" s="9"/>
      <c r="Z305" s="9"/>
      <c r="AA305" s="9"/>
      <c r="AB305" s="9"/>
      <c r="AC305" s="9"/>
      <c r="AD305" s="9">
        <v>281</v>
      </c>
      <c r="AE305" s="9"/>
      <c r="AF305" s="9"/>
      <c r="AG305" s="9">
        <f t="shared" si="9"/>
        <v>3</v>
      </c>
      <c r="AH305" s="62">
        <f t="shared" si="10"/>
        <v>236</v>
      </c>
      <c r="AI305" s="11" t="str">
        <f>IF(AH305&gt;=$AI$1,"APROVADO","REPROVADO")</f>
        <v>APROVADO</v>
      </c>
    </row>
    <row r="306" spans="2:35" s="64" customFormat="1" ht="39.950000000000003" hidden="1" customHeight="1" x14ac:dyDescent="0.25">
      <c r="B306" s="5">
        <v>121</v>
      </c>
      <c r="C306" s="27" t="s">
        <v>662</v>
      </c>
      <c r="D306" s="5" t="s">
        <v>33</v>
      </c>
      <c r="E306" s="5" t="s">
        <v>658</v>
      </c>
      <c r="F306" s="7" t="s">
        <v>663</v>
      </c>
      <c r="G306" s="7" t="s">
        <v>107</v>
      </c>
      <c r="H306" s="8">
        <v>368150</v>
      </c>
      <c r="I306" s="8"/>
      <c r="J306" s="8"/>
      <c r="K306" s="7" t="s">
        <v>73</v>
      </c>
      <c r="L306" s="7" t="s">
        <v>74</v>
      </c>
      <c r="M306" s="7" t="s">
        <v>660</v>
      </c>
      <c r="N306" s="9" t="s">
        <v>661</v>
      </c>
      <c r="O306" s="10">
        <v>45308</v>
      </c>
      <c r="P306" s="7" t="s">
        <v>41</v>
      </c>
      <c r="Q306" s="7"/>
      <c r="R306" s="7"/>
      <c r="S306" s="9">
        <v>327</v>
      </c>
      <c r="T306" s="9">
        <v>187</v>
      </c>
      <c r="U306" s="9"/>
      <c r="V306" s="9"/>
      <c r="W306" s="9">
        <v>193</v>
      </c>
      <c r="X306" s="9"/>
      <c r="Y306" s="9"/>
      <c r="Z306" s="9"/>
      <c r="AA306" s="9"/>
      <c r="AB306" s="9"/>
      <c r="AC306" s="9"/>
      <c r="AD306" s="9"/>
      <c r="AE306" s="9"/>
      <c r="AF306" s="9"/>
      <c r="AG306" s="9">
        <f t="shared" si="9"/>
        <v>3</v>
      </c>
      <c r="AH306" s="62">
        <f t="shared" si="10"/>
        <v>235.66666666666666</v>
      </c>
      <c r="AI306" s="11" t="str">
        <f>IF(AH306&gt;='Aprovados Recursos do Fundo'!$AQ$1,"APROVADO","REPROVADO")</f>
        <v>APROVADO</v>
      </c>
    </row>
    <row r="307" spans="2:35" s="64" customFormat="1" ht="39.950000000000003" hidden="1" customHeight="1" x14ac:dyDescent="0.25">
      <c r="B307" s="5">
        <v>502</v>
      </c>
      <c r="C307" s="22" t="s">
        <v>2456</v>
      </c>
      <c r="D307" s="5" t="s">
        <v>51</v>
      </c>
      <c r="E307" s="9" t="s">
        <v>2457</v>
      </c>
      <c r="F307" s="9" t="s">
        <v>2458</v>
      </c>
      <c r="G307" s="11" t="s">
        <v>107</v>
      </c>
      <c r="H307" s="41">
        <v>150000</v>
      </c>
      <c r="I307" s="41"/>
      <c r="J307" s="41"/>
      <c r="K307" s="9" t="s">
        <v>2459</v>
      </c>
      <c r="L307" s="11" t="s">
        <v>47</v>
      </c>
      <c r="M307" s="9" t="s">
        <v>2460</v>
      </c>
      <c r="N307" s="67" t="s">
        <v>2461</v>
      </c>
      <c r="O307" s="34">
        <v>45322</v>
      </c>
      <c r="P307" s="9" t="s">
        <v>57</v>
      </c>
      <c r="Q307" s="11" t="s">
        <v>118</v>
      </c>
      <c r="R307" s="9"/>
      <c r="S307" s="9">
        <v>230</v>
      </c>
      <c r="T307" s="9"/>
      <c r="U307" s="9"/>
      <c r="V307" s="9"/>
      <c r="W307" s="9"/>
      <c r="X307" s="9">
        <v>236</v>
      </c>
      <c r="Y307" s="9">
        <v>240</v>
      </c>
      <c r="Z307" s="9"/>
      <c r="AA307" s="9"/>
      <c r="AB307" s="9"/>
      <c r="AC307" s="9"/>
      <c r="AD307" s="9"/>
      <c r="AE307" s="65"/>
      <c r="AF307" s="65"/>
      <c r="AG307" s="9">
        <f t="shared" si="9"/>
        <v>3</v>
      </c>
      <c r="AH307" s="62">
        <f t="shared" si="10"/>
        <v>235.33333333333334</v>
      </c>
      <c r="AI307" s="11" t="str">
        <f>IF(AH307&gt;='Aprovados Recursos do Fundo'!$AQ$1,"APROVADO","REPROVADO")</f>
        <v>APROVADO</v>
      </c>
    </row>
    <row r="308" spans="2:35" s="64" customFormat="1" ht="39.950000000000003" hidden="1" customHeight="1" x14ac:dyDescent="0.25">
      <c r="B308" s="5">
        <v>339</v>
      </c>
      <c r="C308" s="6" t="s">
        <v>1735</v>
      </c>
      <c r="D308" s="5" t="s">
        <v>33</v>
      </c>
      <c r="E308" s="5" t="s">
        <v>1736</v>
      </c>
      <c r="F308" s="7" t="s">
        <v>1737</v>
      </c>
      <c r="G308" s="5" t="s">
        <v>174</v>
      </c>
      <c r="H308" s="17">
        <v>181500</v>
      </c>
      <c r="I308" s="17"/>
      <c r="J308" s="17"/>
      <c r="K308" s="7" t="s">
        <v>1514</v>
      </c>
      <c r="L308" s="5" t="s">
        <v>95</v>
      </c>
      <c r="M308" s="5" t="s">
        <v>1738</v>
      </c>
      <c r="N308" s="9" t="s">
        <v>1739</v>
      </c>
      <c r="O308" s="10">
        <v>45321</v>
      </c>
      <c r="P308" s="7" t="s">
        <v>67</v>
      </c>
      <c r="Q308" s="7"/>
      <c r="R308" s="65"/>
      <c r="S308" s="7">
        <v>254</v>
      </c>
      <c r="T308" s="9">
        <v>269</v>
      </c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>
        <v>180</v>
      </c>
      <c r="AG308" s="9">
        <f t="shared" si="9"/>
        <v>3</v>
      </c>
      <c r="AH308" s="62">
        <f t="shared" si="10"/>
        <v>234.33333333333334</v>
      </c>
      <c r="AI308" s="11" t="str">
        <f>IF(AH308&gt;=$AI$1,"APROVADO","REPROVADO")</f>
        <v>APROVADO</v>
      </c>
    </row>
    <row r="309" spans="2:35" s="64" customFormat="1" ht="39.950000000000003" hidden="1" customHeight="1" x14ac:dyDescent="0.25">
      <c r="B309" s="5">
        <v>53</v>
      </c>
      <c r="C309" s="6" t="s">
        <v>333</v>
      </c>
      <c r="D309" s="5" t="s">
        <v>33</v>
      </c>
      <c r="E309" s="5" t="s">
        <v>334</v>
      </c>
      <c r="F309" s="5" t="s">
        <v>335</v>
      </c>
      <c r="G309" s="7" t="s">
        <v>336</v>
      </c>
      <c r="H309" s="8">
        <v>1111410.1299999999</v>
      </c>
      <c r="I309" s="8"/>
      <c r="J309" s="8"/>
      <c r="K309" s="7" t="s">
        <v>73</v>
      </c>
      <c r="L309" s="7" t="s">
        <v>74</v>
      </c>
      <c r="M309" s="7" t="s">
        <v>337</v>
      </c>
      <c r="N309" s="9" t="s">
        <v>338</v>
      </c>
      <c r="O309" s="10">
        <v>45303</v>
      </c>
      <c r="P309" s="5" t="s">
        <v>67</v>
      </c>
      <c r="Q309" s="7" t="s">
        <v>68</v>
      </c>
      <c r="R309" s="7"/>
      <c r="S309" s="9">
        <v>284</v>
      </c>
      <c r="T309" s="9"/>
      <c r="U309" s="9">
        <v>246</v>
      </c>
      <c r="V309" s="9">
        <v>172</v>
      </c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>
        <f t="shared" si="9"/>
        <v>3</v>
      </c>
      <c r="AH309" s="62">
        <f t="shared" si="10"/>
        <v>234</v>
      </c>
      <c r="AI309" s="11" t="str">
        <f>IF(AH309&gt;='Aprovados Recursos do Fundo'!$AQ$1,"APROVADO","REPROVADO")</f>
        <v>APROVADO</v>
      </c>
    </row>
    <row r="310" spans="2:35" s="64" customFormat="1" ht="39.950000000000003" hidden="1" customHeight="1" x14ac:dyDescent="0.25">
      <c r="B310" s="5">
        <v>370</v>
      </c>
      <c r="C310" s="22" t="s">
        <v>1864</v>
      </c>
      <c r="D310" s="5" t="s">
        <v>51</v>
      </c>
      <c r="E310" s="9" t="s">
        <v>1865</v>
      </c>
      <c r="F310" s="9" t="s">
        <v>1866</v>
      </c>
      <c r="G310" s="11" t="s">
        <v>107</v>
      </c>
      <c r="H310" s="41">
        <v>364200</v>
      </c>
      <c r="I310" s="41"/>
      <c r="J310" s="41"/>
      <c r="K310" s="9" t="s">
        <v>1867</v>
      </c>
      <c r="L310" s="11" t="s">
        <v>223</v>
      </c>
      <c r="M310" s="11" t="s">
        <v>1868</v>
      </c>
      <c r="N310" s="21" t="s">
        <v>1869</v>
      </c>
      <c r="O310" s="34">
        <v>45321</v>
      </c>
      <c r="P310" s="9" t="s">
        <v>41</v>
      </c>
      <c r="Q310" s="9"/>
      <c r="R310" s="65"/>
      <c r="S310" s="9">
        <v>337</v>
      </c>
      <c r="T310" s="9">
        <v>150</v>
      </c>
      <c r="U310" s="9"/>
      <c r="V310" s="9">
        <v>215</v>
      </c>
      <c r="W310" s="9"/>
      <c r="X310" s="9"/>
      <c r="Y310" s="9"/>
      <c r="Z310" s="9"/>
      <c r="AA310" s="9"/>
      <c r="AB310" s="9"/>
      <c r="AC310" s="9"/>
      <c r="AD310" s="9"/>
      <c r="AE310" s="65"/>
      <c r="AF310" s="65"/>
      <c r="AG310" s="9">
        <f t="shared" si="9"/>
        <v>3</v>
      </c>
      <c r="AH310" s="62">
        <f t="shared" si="10"/>
        <v>234</v>
      </c>
      <c r="AI310" s="11" t="str">
        <f>IF(AH310&gt;='Aprovados Recursos do Fundo'!$AQ$1,"APROVADO","REPROVADO")</f>
        <v>APROVADO</v>
      </c>
    </row>
    <row r="311" spans="2:35" s="64" customFormat="1" ht="39.950000000000003" hidden="1" customHeight="1" x14ac:dyDescent="0.25">
      <c r="B311" s="5">
        <v>45</v>
      </c>
      <c r="C311" s="6" t="s">
        <v>295</v>
      </c>
      <c r="D311" s="5" t="s">
        <v>33</v>
      </c>
      <c r="E311" s="5" t="s">
        <v>288</v>
      </c>
      <c r="F311" s="7" t="s">
        <v>296</v>
      </c>
      <c r="G311" s="7" t="s">
        <v>107</v>
      </c>
      <c r="H311" s="8">
        <v>240000</v>
      </c>
      <c r="I311" s="8"/>
      <c r="J311" s="8"/>
      <c r="K311" s="7" t="s">
        <v>290</v>
      </c>
      <c r="L311" s="7" t="s">
        <v>154</v>
      </c>
      <c r="M311" s="7" t="s">
        <v>291</v>
      </c>
      <c r="N311" s="9" t="s">
        <v>292</v>
      </c>
      <c r="O311" s="10">
        <v>45303</v>
      </c>
      <c r="P311" s="7" t="s">
        <v>41</v>
      </c>
      <c r="Q311" s="7"/>
      <c r="R311" s="65"/>
      <c r="S311" s="9">
        <v>333</v>
      </c>
      <c r="T311" s="9"/>
      <c r="U311" s="9">
        <v>200</v>
      </c>
      <c r="V311" s="9">
        <v>168</v>
      </c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>
        <f t="shared" si="9"/>
        <v>3</v>
      </c>
      <c r="AH311" s="62">
        <f t="shared" si="10"/>
        <v>233.66666666666666</v>
      </c>
      <c r="AI311" s="11" t="str">
        <f>IF(AH311&gt;=$AI$1,"APROVADO","REPROVADO")</f>
        <v>APROVADO</v>
      </c>
    </row>
    <row r="312" spans="2:35" s="64" customFormat="1" ht="39.950000000000003" hidden="1" customHeight="1" x14ac:dyDescent="0.25">
      <c r="B312" s="5">
        <v>39</v>
      </c>
      <c r="C312" s="6" t="s">
        <v>274</v>
      </c>
      <c r="D312" s="5" t="s">
        <v>33</v>
      </c>
      <c r="E312" s="5" t="s">
        <v>267</v>
      </c>
      <c r="F312" s="7" t="s">
        <v>275</v>
      </c>
      <c r="G312" s="5" t="s">
        <v>62</v>
      </c>
      <c r="H312" s="8">
        <v>220000</v>
      </c>
      <c r="I312" s="8"/>
      <c r="J312" s="8"/>
      <c r="K312" s="7" t="s">
        <v>269</v>
      </c>
      <c r="L312" s="7" t="s">
        <v>270</v>
      </c>
      <c r="M312" s="7" t="s">
        <v>271</v>
      </c>
      <c r="N312" s="9" t="s">
        <v>272</v>
      </c>
      <c r="O312" s="10">
        <v>45303</v>
      </c>
      <c r="P312" s="7" t="s">
        <v>67</v>
      </c>
      <c r="Q312" s="7"/>
      <c r="R312" s="65"/>
      <c r="S312" s="9">
        <v>340</v>
      </c>
      <c r="T312" s="9">
        <v>123</v>
      </c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>
        <v>238</v>
      </c>
      <c r="AG312" s="9">
        <f t="shared" si="9"/>
        <v>3</v>
      </c>
      <c r="AH312" s="62">
        <f t="shared" si="10"/>
        <v>233.66666666666666</v>
      </c>
      <c r="AI312" s="11" t="str">
        <f>IF(AH312&gt;='Aprovados Recursos do Fundo'!$AQ$1,"APROVADO","REPROVADO")</f>
        <v>APROVADO</v>
      </c>
    </row>
    <row r="313" spans="2:35" s="64" customFormat="1" ht="39.950000000000003" hidden="1" customHeight="1" x14ac:dyDescent="0.25">
      <c r="B313" s="5">
        <v>494</v>
      </c>
      <c r="C313" s="6" t="s">
        <v>2416</v>
      </c>
      <c r="D313" s="5" t="s">
        <v>33</v>
      </c>
      <c r="E313" s="5" t="s">
        <v>2417</v>
      </c>
      <c r="F313" s="7" t="s">
        <v>2418</v>
      </c>
      <c r="G313" s="7" t="s">
        <v>107</v>
      </c>
      <c r="H313" s="8">
        <v>1261817.04</v>
      </c>
      <c r="I313" s="8"/>
      <c r="J313" s="8"/>
      <c r="K313" s="7" t="s">
        <v>73</v>
      </c>
      <c r="L313" s="7" t="s">
        <v>74</v>
      </c>
      <c r="M313" s="7" t="s">
        <v>2419</v>
      </c>
      <c r="N313" s="9" t="s">
        <v>2420</v>
      </c>
      <c r="O313" s="10">
        <v>45322</v>
      </c>
      <c r="P313" s="7" t="s">
        <v>67</v>
      </c>
      <c r="Q313" s="7"/>
      <c r="R313" s="65"/>
      <c r="S313" s="7">
        <v>245</v>
      </c>
      <c r="T313" s="9"/>
      <c r="U313" s="9">
        <v>210</v>
      </c>
      <c r="V313" s="9"/>
      <c r="W313" s="9"/>
      <c r="X313" s="9"/>
      <c r="Y313" s="9"/>
      <c r="Z313" s="9"/>
      <c r="AA313" s="9">
        <v>245</v>
      </c>
      <c r="AB313" s="9"/>
      <c r="AC313" s="9"/>
      <c r="AD313" s="9"/>
      <c r="AE313" s="9"/>
      <c r="AF313" s="9"/>
      <c r="AG313" s="9">
        <f t="shared" si="9"/>
        <v>3</v>
      </c>
      <c r="AH313" s="62">
        <f t="shared" si="10"/>
        <v>233.33333333333334</v>
      </c>
      <c r="AI313" s="11" t="str">
        <f>IF(AH313&gt;='Aprovados Recursos do Fundo'!$AQ$1,"APROVADO","REPROVADO")</f>
        <v>APROVADO</v>
      </c>
    </row>
    <row r="314" spans="2:35" s="64" customFormat="1" ht="39.950000000000003" hidden="1" customHeight="1" x14ac:dyDescent="0.25">
      <c r="B314" s="5">
        <v>158</v>
      </c>
      <c r="C314" s="6" t="s">
        <v>837</v>
      </c>
      <c r="D314" s="5" t="s">
        <v>33</v>
      </c>
      <c r="E314" s="5" t="s">
        <v>831</v>
      </c>
      <c r="F314" s="7" t="s">
        <v>838</v>
      </c>
      <c r="G314" s="7" t="s">
        <v>36</v>
      </c>
      <c r="H314" s="8">
        <v>455848.37</v>
      </c>
      <c r="I314" s="8"/>
      <c r="J314" s="8"/>
      <c r="K314" s="7" t="s">
        <v>833</v>
      </c>
      <c r="L314" s="7" t="s">
        <v>254</v>
      </c>
      <c r="M314" s="7" t="s">
        <v>839</v>
      </c>
      <c r="N314" s="9" t="s">
        <v>840</v>
      </c>
      <c r="O314" s="10">
        <v>45308</v>
      </c>
      <c r="P314" s="7" t="s">
        <v>67</v>
      </c>
      <c r="Q314" s="7" t="s">
        <v>157</v>
      </c>
      <c r="R314" s="7"/>
      <c r="S314" s="9"/>
      <c r="T314" s="9">
        <v>174</v>
      </c>
      <c r="U314" s="9"/>
      <c r="V314" s="9"/>
      <c r="W314" s="9"/>
      <c r="X314" s="9">
        <v>275</v>
      </c>
      <c r="Y314" s="9">
        <v>250</v>
      </c>
      <c r="Z314" s="9"/>
      <c r="AA314" s="9"/>
      <c r="AB314" s="9"/>
      <c r="AC314" s="9"/>
      <c r="AD314" s="9"/>
      <c r="AE314" s="9"/>
      <c r="AF314" s="9"/>
      <c r="AG314" s="9">
        <f t="shared" si="9"/>
        <v>3</v>
      </c>
      <c r="AH314" s="62">
        <f t="shared" si="10"/>
        <v>233</v>
      </c>
      <c r="AI314" s="11" t="str">
        <f>IF(AH314&gt;=$AI$1,"APROVADO","REPROVADO")</f>
        <v>APROVADO</v>
      </c>
    </row>
    <row r="315" spans="2:35" s="64" customFormat="1" ht="39.950000000000003" hidden="1" customHeight="1" x14ac:dyDescent="0.25">
      <c r="B315" s="5">
        <v>145</v>
      </c>
      <c r="C315" s="22" t="s">
        <v>774</v>
      </c>
      <c r="D315" s="5" t="s">
        <v>51</v>
      </c>
      <c r="E315" s="9" t="s">
        <v>769</v>
      </c>
      <c r="F315" s="9" t="s">
        <v>775</v>
      </c>
      <c r="G315" s="11" t="s">
        <v>776</v>
      </c>
      <c r="H315" s="38">
        <v>212700.49</v>
      </c>
      <c r="I315" s="38"/>
      <c r="J315" s="38"/>
      <c r="K315" s="9" t="s">
        <v>771</v>
      </c>
      <c r="L315" s="11" t="s">
        <v>202</v>
      </c>
      <c r="M315" s="9" t="s">
        <v>772</v>
      </c>
      <c r="N315" s="9" t="s">
        <v>777</v>
      </c>
      <c r="O315" s="34">
        <v>45308</v>
      </c>
      <c r="P315" s="9" t="s">
        <v>41</v>
      </c>
      <c r="Q315" s="11"/>
      <c r="R315" s="9" t="s">
        <v>778</v>
      </c>
      <c r="S315" s="9">
        <v>253</v>
      </c>
      <c r="T315" s="9">
        <v>268</v>
      </c>
      <c r="U315" s="9"/>
      <c r="V315" s="9"/>
      <c r="W315" s="9">
        <v>177</v>
      </c>
      <c r="X315" s="9"/>
      <c r="Y315" s="9"/>
      <c r="Z315" s="9"/>
      <c r="AA315" s="9"/>
      <c r="AB315" s="9"/>
      <c r="AC315" s="9"/>
      <c r="AD315" s="9"/>
      <c r="AE315" s="9"/>
      <c r="AF315" s="9"/>
      <c r="AG315" s="9">
        <f t="shared" si="9"/>
        <v>3</v>
      </c>
      <c r="AH315" s="62">
        <f t="shared" si="10"/>
        <v>232.66666666666666</v>
      </c>
      <c r="AI315" s="11" t="str">
        <f>IF(AH315&gt;='Aprovados Recursos do Fundo'!$AQ$1,"APROVADO","REPROVADO")</f>
        <v>APROVADO</v>
      </c>
    </row>
    <row r="316" spans="2:35" s="64" customFormat="1" ht="39.950000000000003" hidden="1" customHeight="1" x14ac:dyDescent="0.25">
      <c r="B316" s="5">
        <v>35</v>
      </c>
      <c r="C316" s="6" t="s">
        <v>250</v>
      </c>
      <c r="D316" s="5" t="s">
        <v>33</v>
      </c>
      <c r="E316" s="5" t="s">
        <v>251</v>
      </c>
      <c r="F316" s="7" t="s">
        <v>252</v>
      </c>
      <c r="G316" s="7" t="s">
        <v>36</v>
      </c>
      <c r="H316" s="8">
        <v>283010</v>
      </c>
      <c r="I316" s="8"/>
      <c r="J316" s="8"/>
      <c r="K316" s="7" t="s">
        <v>253</v>
      </c>
      <c r="L316" s="7" t="s">
        <v>254</v>
      </c>
      <c r="M316" s="7" t="s">
        <v>255</v>
      </c>
      <c r="N316" s="9" t="s">
        <v>256</v>
      </c>
      <c r="O316" s="10">
        <v>45303</v>
      </c>
      <c r="P316" s="7" t="s">
        <v>41</v>
      </c>
      <c r="Q316" s="7"/>
      <c r="R316" s="65"/>
      <c r="S316" s="9">
        <v>312</v>
      </c>
      <c r="T316" s="9"/>
      <c r="U316" s="9">
        <v>222</v>
      </c>
      <c r="V316" s="9">
        <v>161</v>
      </c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>
        <f t="shared" si="9"/>
        <v>3</v>
      </c>
      <c r="AH316" s="62">
        <f t="shared" si="10"/>
        <v>231.66666666666666</v>
      </c>
      <c r="AI316" s="11" t="str">
        <f>IF(AH316&gt;='Aprovados Recursos do Fundo'!$AQ$1,"APROVADO","REPROVADO")</f>
        <v>APROVADO</v>
      </c>
    </row>
    <row r="317" spans="2:35" s="64" customFormat="1" ht="39.950000000000003" hidden="1" customHeight="1" x14ac:dyDescent="0.25">
      <c r="B317" s="5">
        <v>267</v>
      </c>
      <c r="C317" s="6" t="s">
        <v>1379</v>
      </c>
      <c r="D317" s="5" t="s">
        <v>33</v>
      </c>
      <c r="E317" s="5" t="s">
        <v>1375</v>
      </c>
      <c r="F317" s="5" t="s">
        <v>1380</v>
      </c>
      <c r="G317" s="7" t="s">
        <v>36</v>
      </c>
      <c r="H317" s="8">
        <v>212826.99</v>
      </c>
      <c r="I317" s="8"/>
      <c r="J317" s="8"/>
      <c r="K317" s="7" t="s">
        <v>1367</v>
      </c>
      <c r="L317" s="7" t="s">
        <v>453</v>
      </c>
      <c r="M317" s="7" t="s">
        <v>1377</v>
      </c>
      <c r="N317" s="9" t="s">
        <v>1378</v>
      </c>
      <c r="O317" s="10">
        <v>45320</v>
      </c>
      <c r="P317" s="5" t="s">
        <v>67</v>
      </c>
      <c r="Q317" s="7" t="s">
        <v>1357</v>
      </c>
      <c r="R317" s="65"/>
      <c r="S317" s="5">
        <v>315</v>
      </c>
      <c r="T317" s="9">
        <v>124</v>
      </c>
      <c r="U317" s="9">
        <v>254</v>
      </c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>
        <f t="shared" si="9"/>
        <v>3</v>
      </c>
      <c r="AH317" s="62">
        <f t="shared" si="10"/>
        <v>231</v>
      </c>
      <c r="AI317" s="11" t="str">
        <f>IF(AH317&gt;=$AI$1,"APROVADO","REPROVADO")</f>
        <v>APROVADO</v>
      </c>
    </row>
    <row r="318" spans="2:35" s="64" customFormat="1" ht="39.950000000000003" hidden="1" customHeight="1" x14ac:dyDescent="0.25">
      <c r="B318" s="5">
        <v>29</v>
      </c>
      <c r="C318" s="6" t="s">
        <v>217</v>
      </c>
      <c r="D318" s="5" t="s">
        <v>33</v>
      </c>
      <c r="E318" s="5" t="s">
        <v>210</v>
      </c>
      <c r="F318" s="7" t="s">
        <v>218</v>
      </c>
      <c r="G318" s="7" t="s">
        <v>174</v>
      </c>
      <c r="H318" s="8">
        <v>70000</v>
      </c>
      <c r="I318" s="8"/>
      <c r="J318" s="8"/>
      <c r="K318" s="7" t="s">
        <v>212</v>
      </c>
      <c r="L318" s="7" t="s">
        <v>123</v>
      </c>
      <c r="M318" s="7" t="s">
        <v>213</v>
      </c>
      <c r="N318" s="9" t="s">
        <v>214</v>
      </c>
      <c r="O318" s="10">
        <v>45303</v>
      </c>
      <c r="P318" s="7" t="s">
        <v>41</v>
      </c>
      <c r="Q318" s="7"/>
      <c r="R318" s="7"/>
      <c r="S318" s="9">
        <v>340</v>
      </c>
      <c r="T318" s="9"/>
      <c r="U318" s="9">
        <v>58</v>
      </c>
      <c r="V318" s="9"/>
      <c r="W318" s="9"/>
      <c r="X318" s="9"/>
      <c r="Y318" s="9"/>
      <c r="Z318" s="9"/>
      <c r="AA318" s="9"/>
      <c r="AB318" s="9"/>
      <c r="AC318" s="9"/>
      <c r="AD318" s="9">
        <v>295</v>
      </c>
      <c r="AE318" s="9"/>
      <c r="AF318" s="9"/>
      <c r="AG318" s="9">
        <f t="shared" si="9"/>
        <v>3</v>
      </c>
      <c r="AH318" s="62">
        <f t="shared" si="10"/>
        <v>231</v>
      </c>
      <c r="AI318" s="11" t="str">
        <f>IF(AH318&gt;='Aprovados Recursos do Fundo'!$AQ$1,"APROVADO","REPROVADO")</f>
        <v>APROVADO</v>
      </c>
    </row>
    <row r="319" spans="2:35" s="64" customFormat="1" ht="39.950000000000003" hidden="1" customHeight="1" x14ac:dyDescent="0.25">
      <c r="B319" s="5">
        <v>48</v>
      </c>
      <c r="C319" s="22" t="s">
        <v>306</v>
      </c>
      <c r="D319" s="5" t="s">
        <v>33</v>
      </c>
      <c r="E319" s="5" t="s">
        <v>307</v>
      </c>
      <c r="F319" s="7" t="s">
        <v>308</v>
      </c>
      <c r="G319" s="7" t="s">
        <v>36</v>
      </c>
      <c r="H319" s="8">
        <v>200000</v>
      </c>
      <c r="I319" s="8"/>
      <c r="J319" s="8"/>
      <c r="K319" s="7" t="s">
        <v>290</v>
      </c>
      <c r="L319" s="7" t="s">
        <v>154</v>
      </c>
      <c r="M319" s="7" t="s">
        <v>309</v>
      </c>
      <c r="N319" s="9" t="s">
        <v>310</v>
      </c>
      <c r="O319" s="10">
        <v>45303</v>
      </c>
      <c r="P319" s="7" t="s">
        <v>41</v>
      </c>
      <c r="Q319" s="7"/>
      <c r="R319" s="65"/>
      <c r="S319" s="9">
        <v>327</v>
      </c>
      <c r="T319" s="9"/>
      <c r="U319" s="9">
        <v>224</v>
      </c>
      <c r="V319" s="9">
        <v>142</v>
      </c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>
        <f t="shared" si="9"/>
        <v>3</v>
      </c>
      <c r="AH319" s="62">
        <f t="shared" si="10"/>
        <v>231</v>
      </c>
      <c r="AI319" s="11" t="str">
        <f>IF(AH319&gt;='Aprovados Recursos do Fundo'!$AQ$1,"APROVADO","REPROVADO")</f>
        <v>APROVADO</v>
      </c>
    </row>
    <row r="320" spans="2:35" s="64" customFormat="1" ht="39.950000000000003" hidden="1" customHeight="1" x14ac:dyDescent="0.25">
      <c r="B320" s="5">
        <v>424</v>
      </c>
      <c r="C320" s="27" t="s">
        <v>2093</v>
      </c>
      <c r="D320" s="5" t="s">
        <v>51</v>
      </c>
      <c r="E320" s="5" t="s">
        <v>2086</v>
      </c>
      <c r="F320" s="7" t="s">
        <v>2094</v>
      </c>
      <c r="G320" s="7" t="s">
        <v>107</v>
      </c>
      <c r="H320" s="41">
        <v>177890</v>
      </c>
      <c r="I320" s="41"/>
      <c r="J320" s="41"/>
      <c r="K320" s="7" t="s">
        <v>2088</v>
      </c>
      <c r="L320" s="7" t="s">
        <v>95</v>
      </c>
      <c r="M320" s="9" t="s">
        <v>2089</v>
      </c>
      <c r="N320" s="21" t="s">
        <v>2090</v>
      </c>
      <c r="O320" s="34">
        <v>45322</v>
      </c>
      <c r="P320" s="9" t="s">
        <v>41</v>
      </c>
      <c r="Q320" s="9"/>
      <c r="R320" s="65"/>
      <c r="S320" s="9">
        <v>309</v>
      </c>
      <c r="T320" s="9">
        <v>78</v>
      </c>
      <c r="U320" s="9"/>
      <c r="V320" s="9"/>
      <c r="W320" s="9"/>
      <c r="X320" s="9"/>
      <c r="Y320" s="9"/>
      <c r="Z320" s="9"/>
      <c r="AA320" s="9"/>
      <c r="AB320" s="9">
        <v>302</v>
      </c>
      <c r="AC320" s="9"/>
      <c r="AD320" s="9"/>
      <c r="AE320" s="65"/>
      <c r="AF320" s="65"/>
      <c r="AG320" s="9">
        <f t="shared" si="9"/>
        <v>3</v>
      </c>
      <c r="AH320" s="62">
        <f t="shared" si="10"/>
        <v>229.66666666666666</v>
      </c>
      <c r="AI320" s="11" t="str">
        <f>IF(AH320&gt;='Aprovados Recursos do Fundo'!$AQ$1,"APROVADO","REPROVADO")</f>
        <v>APROVADO</v>
      </c>
    </row>
    <row r="321" spans="2:35" s="64" customFormat="1" ht="39.950000000000003" hidden="1" customHeight="1" x14ac:dyDescent="0.25">
      <c r="B321" s="5">
        <v>453</v>
      </c>
      <c r="C321" s="6" t="s">
        <v>2215</v>
      </c>
      <c r="D321" s="5" t="s">
        <v>51</v>
      </c>
      <c r="E321" s="58" t="s">
        <v>2208</v>
      </c>
      <c r="F321" s="7" t="s">
        <v>2216</v>
      </c>
      <c r="G321" s="7" t="s">
        <v>107</v>
      </c>
      <c r="H321" s="41">
        <v>415522</v>
      </c>
      <c r="I321" s="41"/>
      <c r="J321" s="41"/>
      <c r="K321" s="9" t="s">
        <v>2210</v>
      </c>
      <c r="L321" s="11" t="s">
        <v>391</v>
      </c>
      <c r="M321" s="9" t="s">
        <v>2211</v>
      </c>
      <c r="N321" s="67" t="s">
        <v>2212</v>
      </c>
      <c r="O321" s="34">
        <v>45322</v>
      </c>
      <c r="P321" s="9" t="s">
        <v>57</v>
      </c>
      <c r="Q321" s="9"/>
      <c r="R321" s="65"/>
      <c r="S321" s="9">
        <v>223</v>
      </c>
      <c r="T321" s="9"/>
      <c r="U321" s="9"/>
      <c r="V321" s="9"/>
      <c r="W321" s="9"/>
      <c r="X321" s="9">
        <v>221</v>
      </c>
      <c r="Y321" s="9">
        <v>244</v>
      </c>
      <c r="Z321" s="9"/>
      <c r="AA321" s="9"/>
      <c r="AB321" s="9"/>
      <c r="AC321" s="9"/>
      <c r="AD321" s="9"/>
      <c r="AE321" s="65"/>
      <c r="AF321" s="65"/>
      <c r="AG321" s="9">
        <f t="shared" si="9"/>
        <v>3</v>
      </c>
      <c r="AH321" s="62">
        <f t="shared" si="10"/>
        <v>229.33333333333334</v>
      </c>
      <c r="AI321" s="11" t="str">
        <f>IF(AH321&gt;=$AI$1,"APROVADO","REPROVADO")</f>
        <v>APROVADO</v>
      </c>
    </row>
    <row r="322" spans="2:35" s="64" customFormat="1" ht="39.950000000000003" hidden="1" customHeight="1" x14ac:dyDescent="0.25">
      <c r="B322" s="5">
        <v>371</v>
      </c>
      <c r="C322" s="6" t="s">
        <v>1870</v>
      </c>
      <c r="D322" s="5" t="s">
        <v>33</v>
      </c>
      <c r="E322" s="5" t="s">
        <v>1871</v>
      </c>
      <c r="F322" s="5" t="s">
        <v>1872</v>
      </c>
      <c r="G322" s="7" t="s">
        <v>36</v>
      </c>
      <c r="H322" s="17">
        <v>749942.88</v>
      </c>
      <c r="I322" s="17"/>
      <c r="J322" s="17"/>
      <c r="K322" s="7" t="s">
        <v>73</v>
      </c>
      <c r="L322" s="5" t="s">
        <v>74</v>
      </c>
      <c r="M322" s="5" t="s">
        <v>1873</v>
      </c>
      <c r="N322" s="9" t="s">
        <v>1874</v>
      </c>
      <c r="O322" s="10">
        <v>45321</v>
      </c>
      <c r="P322" s="5" t="s">
        <v>67</v>
      </c>
      <c r="Q322" s="7" t="s">
        <v>90</v>
      </c>
      <c r="R322" s="65"/>
      <c r="S322" s="5">
        <v>277</v>
      </c>
      <c r="T322" s="9">
        <v>142</v>
      </c>
      <c r="U322" s="9"/>
      <c r="V322" s="9"/>
      <c r="W322" s="9"/>
      <c r="X322" s="9">
        <v>264</v>
      </c>
      <c r="Y322" s="9"/>
      <c r="Z322" s="9"/>
      <c r="AA322" s="9"/>
      <c r="AB322" s="9"/>
      <c r="AC322" s="9"/>
      <c r="AD322" s="9"/>
      <c r="AE322" s="9"/>
      <c r="AF322" s="9"/>
      <c r="AG322" s="9">
        <f t="shared" si="9"/>
        <v>3</v>
      </c>
      <c r="AH322" s="62">
        <f t="shared" si="10"/>
        <v>227.66666666666666</v>
      </c>
      <c r="AI322" s="11" t="str">
        <f>IF(AH322&gt;='Aprovados Recursos do Fundo'!$AQ$1,"APROVADO","REPROVADO")</f>
        <v>APROVADO</v>
      </c>
    </row>
    <row r="323" spans="2:35" s="64" customFormat="1" ht="39.950000000000003" hidden="1" customHeight="1" x14ac:dyDescent="0.25">
      <c r="B323" s="5">
        <v>310</v>
      </c>
      <c r="C323" s="6" t="s">
        <v>1595</v>
      </c>
      <c r="D323" s="5" t="s">
        <v>33</v>
      </c>
      <c r="E323" s="5" t="s">
        <v>1596</v>
      </c>
      <c r="F323" s="5" t="s">
        <v>1597</v>
      </c>
      <c r="G323" s="7" t="s">
        <v>107</v>
      </c>
      <c r="H323" s="8">
        <v>265000.03999999998</v>
      </c>
      <c r="I323" s="8"/>
      <c r="J323" s="8"/>
      <c r="K323" s="7" t="s">
        <v>859</v>
      </c>
      <c r="L323" s="7" t="s">
        <v>181</v>
      </c>
      <c r="M323" s="7" t="s">
        <v>1598</v>
      </c>
      <c r="N323" s="9" t="s">
        <v>1599</v>
      </c>
      <c r="O323" s="10">
        <v>45321</v>
      </c>
      <c r="P323" s="5" t="s">
        <v>67</v>
      </c>
      <c r="Q323" s="7"/>
      <c r="R323" s="65"/>
      <c r="S323" s="5">
        <v>285</v>
      </c>
      <c r="T323" s="9">
        <v>88</v>
      </c>
      <c r="U323" s="9"/>
      <c r="V323" s="9"/>
      <c r="W323" s="9"/>
      <c r="X323" s="9"/>
      <c r="Y323" s="9">
        <v>308</v>
      </c>
      <c r="Z323" s="9"/>
      <c r="AA323" s="9"/>
      <c r="AB323" s="9"/>
      <c r="AC323" s="9"/>
      <c r="AD323" s="9"/>
      <c r="AE323" s="9"/>
      <c r="AF323" s="9"/>
      <c r="AG323" s="9">
        <f t="shared" si="9"/>
        <v>3</v>
      </c>
      <c r="AH323" s="62">
        <f t="shared" si="10"/>
        <v>227</v>
      </c>
      <c r="AI323" s="11" t="str">
        <f>IF(AH323&gt;='Aprovados Recursos do Fundo'!$AQ$1,"APROVADO","REPROVADO")</f>
        <v>APROVADO</v>
      </c>
    </row>
    <row r="324" spans="2:35" s="64" customFormat="1" ht="39.950000000000003" hidden="1" customHeight="1" x14ac:dyDescent="0.25">
      <c r="B324" s="5">
        <v>419</v>
      </c>
      <c r="C324" s="6" t="s">
        <v>2069</v>
      </c>
      <c r="D324" s="5" t="s">
        <v>33</v>
      </c>
      <c r="E324" s="5" t="s">
        <v>2070</v>
      </c>
      <c r="F324" s="5" t="s">
        <v>2071</v>
      </c>
      <c r="G324" s="5" t="s">
        <v>36</v>
      </c>
      <c r="H324" s="17">
        <v>240000</v>
      </c>
      <c r="I324" s="17"/>
      <c r="J324" s="17"/>
      <c r="K324" s="7" t="s">
        <v>648</v>
      </c>
      <c r="L324" s="7" t="s">
        <v>254</v>
      </c>
      <c r="M324" s="5" t="s">
        <v>2072</v>
      </c>
      <c r="N324" s="9" t="s">
        <v>2073</v>
      </c>
      <c r="O324" s="10">
        <v>45322</v>
      </c>
      <c r="P324" s="5" t="s">
        <v>67</v>
      </c>
      <c r="Q324" s="7" t="s">
        <v>1357</v>
      </c>
      <c r="R324" s="65"/>
      <c r="S324" s="5">
        <v>183</v>
      </c>
      <c r="T324" s="9"/>
      <c r="U324" s="9"/>
      <c r="V324" s="9"/>
      <c r="W324" s="9"/>
      <c r="X324" s="9">
        <v>249</v>
      </c>
      <c r="Y324" s="9">
        <v>249</v>
      </c>
      <c r="Z324" s="9"/>
      <c r="AA324" s="9"/>
      <c r="AB324" s="9"/>
      <c r="AC324" s="9"/>
      <c r="AD324" s="9"/>
      <c r="AE324" s="9"/>
      <c r="AF324" s="9"/>
      <c r="AG324" s="9">
        <f t="shared" si="9"/>
        <v>3</v>
      </c>
      <c r="AH324" s="62">
        <f t="shared" si="10"/>
        <v>227</v>
      </c>
      <c r="AI324" s="11" t="str">
        <f>IF(AH324&gt;='Aprovados Recursos do Fundo'!$AQ$1,"APROVADO","REPROVADO")</f>
        <v>APROVADO</v>
      </c>
    </row>
    <row r="325" spans="2:35" s="64" customFormat="1" ht="39.950000000000003" customHeight="1" x14ac:dyDescent="0.25">
      <c r="B325" s="5">
        <v>143</v>
      </c>
      <c r="C325" s="27" t="s">
        <v>763</v>
      </c>
      <c r="D325" s="5" t="s">
        <v>33</v>
      </c>
      <c r="E325" s="5" t="s">
        <v>764</v>
      </c>
      <c r="F325" s="7" t="s">
        <v>765</v>
      </c>
      <c r="G325" s="7" t="s">
        <v>107</v>
      </c>
      <c r="H325" s="8">
        <v>290550.48</v>
      </c>
      <c r="I325" s="8"/>
      <c r="J325" s="8"/>
      <c r="K325" s="7" t="s">
        <v>73</v>
      </c>
      <c r="L325" s="7" t="s">
        <v>74</v>
      </c>
      <c r="M325" s="7" t="s">
        <v>766</v>
      </c>
      <c r="N325" s="9" t="s">
        <v>767</v>
      </c>
      <c r="O325" s="10">
        <v>45308</v>
      </c>
      <c r="P325" s="7" t="s">
        <v>41</v>
      </c>
      <c r="Q325" s="7"/>
      <c r="R325" s="7"/>
      <c r="S325" s="9">
        <v>324</v>
      </c>
      <c r="T325" s="9">
        <v>179</v>
      </c>
      <c r="U325" s="9"/>
      <c r="V325" s="9"/>
      <c r="W325" s="9">
        <v>177</v>
      </c>
      <c r="X325" s="9"/>
      <c r="Y325" s="9"/>
      <c r="Z325" s="9"/>
      <c r="AA325" s="9"/>
      <c r="AB325" s="9"/>
      <c r="AC325" s="9"/>
      <c r="AD325" s="9"/>
      <c r="AE325" s="9"/>
      <c r="AF325" s="9"/>
      <c r="AG325" s="9">
        <f t="shared" ref="AG325:AG355" si="11">COUNT(S325:AF325)</f>
        <v>3</v>
      </c>
      <c r="AH325" s="62">
        <f t="shared" ref="AH325:AH355" si="12">AVERAGE(S325:AF325)</f>
        <v>226.66666666666666</v>
      </c>
      <c r="AI325" s="11" t="str">
        <f>IF(AH325&gt;='Aprovados Recursos do Fundo'!$AQ$1,"APROVADO","REPROVADO")</f>
        <v>APROVADO</v>
      </c>
    </row>
    <row r="326" spans="2:35" s="64" customFormat="1" ht="39.950000000000003" hidden="1" customHeight="1" x14ac:dyDescent="0.25">
      <c r="B326" s="5">
        <v>294</v>
      </c>
      <c r="C326" s="6" t="s">
        <v>1506</v>
      </c>
      <c r="D326" s="5" t="s">
        <v>33</v>
      </c>
      <c r="E326" s="5" t="s">
        <v>1507</v>
      </c>
      <c r="F326" s="5" t="s">
        <v>1508</v>
      </c>
      <c r="G326" s="7" t="s">
        <v>36</v>
      </c>
      <c r="H326" s="8">
        <v>777859.48</v>
      </c>
      <c r="I326" s="8"/>
      <c r="J326" s="8"/>
      <c r="K326" s="7" t="s">
        <v>73</v>
      </c>
      <c r="L326" s="5" t="s">
        <v>74</v>
      </c>
      <c r="M326" s="7" t="s">
        <v>1509</v>
      </c>
      <c r="N326" s="9" t="s">
        <v>1510</v>
      </c>
      <c r="O326" s="10">
        <v>45321</v>
      </c>
      <c r="P326" s="5" t="s">
        <v>67</v>
      </c>
      <c r="Q326" s="7" t="s">
        <v>375</v>
      </c>
      <c r="R326" s="65"/>
      <c r="S326" s="5">
        <v>330</v>
      </c>
      <c r="T326" s="9">
        <v>107</v>
      </c>
      <c r="U326" s="9"/>
      <c r="V326" s="9"/>
      <c r="W326" s="9"/>
      <c r="X326" s="9"/>
      <c r="Y326" s="9">
        <v>242</v>
      </c>
      <c r="Z326" s="9"/>
      <c r="AA326" s="9"/>
      <c r="AB326" s="9"/>
      <c r="AC326" s="9"/>
      <c r="AD326" s="9"/>
      <c r="AE326" s="9"/>
      <c r="AF326" s="9"/>
      <c r="AG326" s="9">
        <f t="shared" si="11"/>
        <v>3</v>
      </c>
      <c r="AH326" s="62">
        <f t="shared" si="12"/>
        <v>226.33333333333334</v>
      </c>
      <c r="AI326" s="11" t="str">
        <f>IF(AH326&gt;='Aprovados Recursos do Fundo'!$AQ$1,"APROVADO","REPROVADO")</f>
        <v>APROVADO</v>
      </c>
    </row>
    <row r="327" spans="2:35" s="64" customFormat="1" ht="39.950000000000003" hidden="1" customHeight="1" x14ac:dyDescent="0.25">
      <c r="B327" s="5">
        <v>190</v>
      </c>
      <c r="C327" s="27" t="s">
        <v>1018</v>
      </c>
      <c r="D327" s="5" t="s">
        <v>33</v>
      </c>
      <c r="E327" s="5" t="s">
        <v>1014</v>
      </c>
      <c r="F327" s="7" t="s">
        <v>1019</v>
      </c>
      <c r="G327" s="7" t="s">
        <v>72</v>
      </c>
      <c r="H327" s="8">
        <v>1784430</v>
      </c>
      <c r="I327" s="8"/>
      <c r="J327" s="8"/>
      <c r="K327" s="7" t="s">
        <v>108</v>
      </c>
      <c r="L327" s="7" t="s">
        <v>95</v>
      </c>
      <c r="M327" s="7" t="s">
        <v>1016</v>
      </c>
      <c r="N327" s="9" t="s">
        <v>1017</v>
      </c>
      <c r="O327" s="10">
        <v>45315</v>
      </c>
      <c r="P327" s="7" t="s">
        <v>41</v>
      </c>
      <c r="Q327" s="7"/>
      <c r="R327" s="9"/>
      <c r="S327" s="7">
        <v>267</v>
      </c>
      <c r="T327" s="9">
        <v>169</v>
      </c>
      <c r="U327" s="9"/>
      <c r="V327" s="9"/>
      <c r="W327" s="9"/>
      <c r="X327" s="9"/>
      <c r="Y327" s="9"/>
      <c r="Z327" s="9"/>
      <c r="AA327" s="9"/>
      <c r="AB327" s="9">
        <v>241</v>
      </c>
      <c r="AC327" s="9"/>
      <c r="AD327" s="9"/>
      <c r="AE327" s="9"/>
      <c r="AF327" s="9"/>
      <c r="AG327" s="9">
        <f t="shared" si="11"/>
        <v>3</v>
      </c>
      <c r="AH327" s="62">
        <f t="shared" si="12"/>
        <v>225.66666666666666</v>
      </c>
      <c r="AI327" s="11" t="str">
        <f>IF(AH327&gt;=$AI$1,"APROVADO","REPROVADO")</f>
        <v>APROVADO</v>
      </c>
    </row>
    <row r="328" spans="2:35" s="64" customFormat="1" ht="39.950000000000003" hidden="1" customHeight="1" x14ac:dyDescent="0.25">
      <c r="B328" s="5">
        <v>422</v>
      </c>
      <c r="C328" s="27" t="s">
        <v>2085</v>
      </c>
      <c r="D328" s="5" t="s">
        <v>51</v>
      </c>
      <c r="E328" s="5" t="s">
        <v>2086</v>
      </c>
      <c r="F328" s="7" t="s">
        <v>2087</v>
      </c>
      <c r="G328" s="7" t="s">
        <v>36</v>
      </c>
      <c r="H328" s="41">
        <v>1046576.89</v>
      </c>
      <c r="I328" s="41"/>
      <c r="J328" s="41"/>
      <c r="K328" s="7" t="s">
        <v>2088</v>
      </c>
      <c r="L328" s="7" t="s">
        <v>95</v>
      </c>
      <c r="M328" s="9" t="s">
        <v>2089</v>
      </c>
      <c r="N328" s="21" t="s">
        <v>2090</v>
      </c>
      <c r="O328" s="34">
        <v>45322</v>
      </c>
      <c r="P328" s="9" t="s">
        <v>41</v>
      </c>
      <c r="Q328" s="9"/>
      <c r="R328" s="65"/>
      <c r="S328" s="9">
        <v>340</v>
      </c>
      <c r="T328" s="9">
        <v>84</v>
      </c>
      <c r="U328" s="9"/>
      <c r="V328" s="9"/>
      <c r="W328" s="9"/>
      <c r="X328" s="9"/>
      <c r="Y328" s="9"/>
      <c r="Z328" s="9"/>
      <c r="AA328" s="9"/>
      <c r="AB328" s="9">
        <v>253</v>
      </c>
      <c r="AC328" s="9"/>
      <c r="AD328" s="9"/>
      <c r="AE328" s="65"/>
      <c r="AF328" s="65"/>
      <c r="AG328" s="9">
        <f t="shared" si="11"/>
        <v>3</v>
      </c>
      <c r="AH328" s="62">
        <f t="shared" si="12"/>
        <v>225.66666666666666</v>
      </c>
      <c r="AI328" s="11" t="str">
        <f>IF(AH328&gt;=$AI$1,"APROVADO","REPROVADO")</f>
        <v>APROVADO</v>
      </c>
    </row>
    <row r="329" spans="2:35" s="64" customFormat="1" ht="39.950000000000003" hidden="1" customHeight="1" x14ac:dyDescent="0.25">
      <c r="B329" s="5">
        <v>373</v>
      </c>
      <c r="C329" s="27" t="s">
        <v>1880</v>
      </c>
      <c r="D329" s="5" t="s">
        <v>33</v>
      </c>
      <c r="E329" s="5" t="s">
        <v>1881</v>
      </c>
      <c r="F329" s="7" t="s">
        <v>1882</v>
      </c>
      <c r="G329" s="7" t="s">
        <v>36</v>
      </c>
      <c r="H329" s="8">
        <v>980304</v>
      </c>
      <c r="I329" s="8"/>
      <c r="J329" s="8"/>
      <c r="K329" s="7" t="s">
        <v>73</v>
      </c>
      <c r="L329" s="7" t="s">
        <v>74</v>
      </c>
      <c r="M329" s="7" t="s">
        <v>1883</v>
      </c>
      <c r="N329" s="9" t="s">
        <v>1884</v>
      </c>
      <c r="O329" s="10">
        <v>45321</v>
      </c>
      <c r="P329" s="7" t="s">
        <v>41</v>
      </c>
      <c r="Q329" s="7"/>
      <c r="R329" s="65"/>
      <c r="S329" s="7">
        <v>332</v>
      </c>
      <c r="T329" s="9">
        <v>147</v>
      </c>
      <c r="U329" s="9"/>
      <c r="V329" s="9">
        <v>197</v>
      </c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>
        <f t="shared" si="11"/>
        <v>3</v>
      </c>
      <c r="AH329" s="62">
        <f t="shared" si="12"/>
        <v>225.33333333333334</v>
      </c>
      <c r="AI329" s="11" t="str">
        <f>IF(AH329&gt;='Aprovados Recursos do Fundo'!$AQ$1,"APROVADO","REPROVADO")</f>
        <v>APROVADO</v>
      </c>
    </row>
    <row r="330" spans="2:35" s="64" customFormat="1" ht="39.950000000000003" hidden="1" customHeight="1" x14ac:dyDescent="0.25">
      <c r="B330" s="5">
        <v>401</v>
      </c>
      <c r="C330" s="27" t="s">
        <v>1998</v>
      </c>
      <c r="D330" s="5" t="s">
        <v>33</v>
      </c>
      <c r="E330" s="5" t="s">
        <v>1999</v>
      </c>
      <c r="F330" s="7" t="s">
        <v>2000</v>
      </c>
      <c r="G330" s="7" t="s">
        <v>36</v>
      </c>
      <c r="H330" s="8">
        <v>250000</v>
      </c>
      <c r="I330" s="8"/>
      <c r="J330" s="8"/>
      <c r="K330" s="7" t="s">
        <v>94</v>
      </c>
      <c r="L330" s="5" t="s">
        <v>95</v>
      </c>
      <c r="M330" s="7" t="s">
        <v>2001</v>
      </c>
      <c r="N330" s="9" t="s">
        <v>2002</v>
      </c>
      <c r="O330" s="10">
        <v>45322</v>
      </c>
      <c r="P330" s="7" t="s">
        <v>41</v>
      </c>
      <c r="Q330" s="7"/>
      <c r="R330" s="65"/>
      <c r="S330" s="7">
        <v>312</v>
      </c>
      <c r="T330" s="9">
        <v>161</v>
      </c>
      <c r="U330" s="9"/>
      <c r="V330" s="9">
        <v>202</v>
      </c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>
        <f t="shared" si="11"/>
        <v>3</v>
      </c>
      <c r="AH330" s="62">
        <f t="shared" si="12"/>
        <v>225</v>
      </c>
      <c r="AI330" s="11" t="str">
        <f>IF(AH330&gt;=$AI$1,"APROVADO","REPROVADO")</f>
        <v>APROVADO</v>
      </c>
    </row>
    <row r="331" spans="2:35" s="64" customFormat="1" ht="39.950000000000003" hidden="1" customHeight="1" x14ac:dyDescent="0.25">
      <c r="B331" s="5">
        <v>44</v>
      </c>
      <c r="C331" s="6" t="s">
        <v>293</v>
      </c>
      <c r="D331" s="5" t="s">
        <v>33</v>
      </c>
      <c r="E331" s="5" t="s">
        <v>288</v>
      </c>
      <c r="F331" s="7" t="s">
        <v>294</v>
      </c>
      <c r="G331" s="5" t="s">
        <v>62</v>
      </c>
      <c r="H331" s="8">
        <v>188640</v>
      </c>
      <c r="I331" s="8"/>
      <c r="J331" s="8"/>
      <c r="K331" s="7" t="s">
        <v>290</v>
      </c>
      <c r="L331" s="7" t="s">
        <v>154</v>
      </c>
      <c r="M331" s="7" t="s">
        <v>291</v>
      </c>
      <c r="N331" s="9" t="s">
        <v>292</v>
      </c>
      <c r="O331" s="10">
        <v>45303</v>
      </c>
      <c r="P331" s="7" t="s">
        <v>41</v>
      </c>
      <c r="Q331" s="7"/>
      <c r="R331" s="65"/>
      <c r="S331" s="9">
        <v>327</v>
      </c>
      <c r="T331" s="9"/>
      <c r="U331" s="9">
        <v>190</v>
      </c>
      <c r="V331" s="9">
        <v>153</v>
      </c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>
        <f t="shared" si="11"/>
        <v>3</v>
      </c>
      <c r="AH331" s="62">
        <f t="shared" si="12"/>
        <v>223.33333333333334</v>
      </c>
      <c r="AI331" s="11" t="str">
        <f>IF(AH331&gt;=$AI$1,"APROVADO","REPROVADO")</f>
        <v>APROVADO</v>
      </c>
    </row>
    <row r="332" spans="2:35" s="64" customFormat="1" ht="39.950000000000003" hidden="1" customHeight="1" x14ac:dyDescent="0.25">
      <c r="B332" s="5">
        <v>128</v>
      </c>
      <c r="C332" s="27" t="s">
        <v>696</v>
      </c>
      <c r="D332" s="5" t="s">
        <v>33</v>
      </c>
      <c r="E332" s="5" t="s">
        <v>692</v>
      </c>
      <c r="F332" s="7" t="s">
        <v>697</v>
      </c>
      <c r="G332" s="7" t="s">
        <v>36</v>
      </c>
      <c r="H332" s="8">
        <v>738607</v>
      </c>
      <c r="I332" s="8"/>
      <c r="J332" s="8"/>
      <c r="K332" s="7" t="s">
        <v>73</v>
      </c>
      <c r="L332" s="7" t="s">
        <v>74</v>
      </c>
      <c r="M332" s="7" t="s">
        <v>694</v>
      </c>
      <c r="N332" s="9" t="s">
        <v>695</v>
      </c>
      <c r="O332" s="10">
        <v>45308</v>
      </c>
      <c r="P332" s="7" t="s">
        <v>41</v>
      </c>
      <c r="Q332" s="7"/>
      <c r="R332" s="7"/>
      <c r="S332" s="9">
        <v>314</v>
      </c>
      <c r="T332" s="9">
        <v>164</v>
      </c>
      <c r="U332" s="9"/>
      <c r="V332" s="9"/>
      <c r="W332" s="9">
        <v>187</v>
      </c>
      <c r="X332" s="9"/>
      <c r="Y332" s="9"/>
      <c r="Z332" s="9"/>
      <c r="AA332" s="9"/>
      <c r="AB332" s="9"/>
      <c r="AC332" s="9"/>
      <c r="AD332" s="9"/>
      <c r="AE332" s="9"/>
      <c r="AF332" s="9"/>
      <c r="AG332" s="9">
        <f t="shared" si="11"/>
        <v>3</v>
      </c>
      <c r="AH332" s="62">
        <f t="shared" si="12"/>
        <v>221.66666666666666</v>
      </c>
      <c r="AI332" s="11" t="str">
        <f>IF(AH332&gt;='Aprovados Recursos do Fundo'!$AQ$1,"APROVADO","REPROVADO")</f>
        <v>APROVADO</v>
      </c>
    </row>
    <row r="333" spans="2:35" s="64" customFormat="1" ht="39.950000000000003" hidden="1" customHeight="1" x14ac:dyDescent="0.25">
      <c r="B333" s="5">
        <v>153</v>
      </c>
      <c r="C333" s="22" t="s">
        <v>815</v>
      </c>
      <c r="D333" s="5" t="s">
        <v>51</v>
      </c>
      <c r="E333" s="9" t="s">
        <v>808</v>
      </c>
      <c r="F333" s="11" t="s">
        <v>816</v>
      </c>
      <c r="G333" s="11" t="s">
        <v>36</v>
      </c>
      <c r="H333" s="41">
        <v>360000</v>
      </c>
      <c r="I333" s="41"/>
      <c r="J333" s="41"/>
      <c r="K333" s="9" t="s">
        <v>810</v>
      </c>
      <c r="L333" s="11" t="s">
        <v>95</v>
      </c>
      <c r="M333" s="9" t="s">
        <v>811</v>
      </c>
      <c r="N333" s="9" t="s">
        <v>777</v>
      </c>
      <c r="O333" s="34">
        <v>45308</v>
      </c>
      <c r="P333" s="7" t="s">
        <v>41</v>
      </c>
      <c r="Q333" s="11" t="s">
        <v>813</v>
      </c>
      <c r="R333" s="9" t="s">
        <v>817</v>
      </c>
      <c r="S333" s="9">
        <v>224</v>
      </c>
      <c r="T333" s="9"/>
      <c r="U333" s="9">
        <v>223</v>
      </c>
      <c r="V333" s="9"/>
      <c r="W333" s="9"/>
      <c r="X333" s="9"/>
      <c r="Y333" s="9"/>
      <c r="Z333" s="9"/>
      <c r="AA333" s="9"/>
      <c r="AB333" s="9"/>
      <c r="AC333" s="9"/>
      <c r="AD333" s="9">
        <v>217</v>
      </c>
      <c r="AE333" s="9"/>
      <c r="AF333" s="9"/>
      <c r="AG333" s="9">
        <f t="shared" si="11"/>
        <v>3</v>
      </c>
      <c r="AH333" s="62">
        <f t="shared" si="12"/>
        <v>221.33333333333334</v>
      </c>
      <c r="AI333" s="11" t="str">
        <f>IF(AH333&gt;=$AI$1,"APROVADO","REPROVADO")</f>
        <v>APROVADO</v>
      </c>
    </row>
    <row r="334" spans="2:35" s="64" customFormat="1" ht="39.950000000000003" hidden="1" customHeight="1" x14ac:dyDescent="0.25">
      <c r="B334" s="5">
        <v>118</v>
      </c>
      <c r="C334" s="6" t="s">
        <v>645</v>
      </c>
      <c r="D334" s="5" t="s">
        <v>33</v>
      </c>
      <c r="E334" s="5" t="s">
        <v>646</v>
      </c>
      <c r="F334" s="7" t="s">
        <v>647</v>
      </c>
      <c r="G334" s="7" t="s">
        <v>36</v>
      </c>
      <c r="H334" s="17">
        <v>1704249.92</v>
      </c>
      <c r="I334" s="17"/>
      <c r="J334" s="17"/>
      <c r="K334" s="7" t="s">
        <v>648</v>
      </c>
      <c r="L334" s="7" t="s">
        <v>254</v>
      </c>
      <c r="M334" s="7" t="s">
        <v>649</v>
      </c>
      <c r="N334" s="23" t="s">
        <v>650</v>
      </c>
      <c r="O334" s="10">
        <v>45308</v>
      </c>
      <c r="P334" s="7" t="s">
        <v>67</v>
      </c>
      <c r="Q334" s="7" t="s">
        <v>375</v>
      </c>
      <c r="R334" s="65"/>
      <c r="S334" s="9">
        <v>205</v>
      </c>
      <c r="T334" s="9"/>
      <c r="U334" s="9"/>
      <c r="V334" s="9"/>
      <c r="W334" s="9"/>
      <c r="X334" s="9">
        <v>225</v>
      </c>
      <c r="Y334" s="9">
        <v>234</v>
      </c>
      <c r="Z334" s="9"/>
      <c r="AA334" s="9"/>
      <c r="AB334" s="9"/>
      <c r="AC334" s="9"/>
      <c r="AD334" s="9"/>
      <c r="AE334" s="9"/>
      <c r="AF334" s="9"/>
      <c r="AG334" s="9">
        <f t="shared" si="11"/>
        <v>3</v>
      </c>
      <c r="AH334" s="62">
        <f t="shared" si="12"/>
        <v>221.33333333333334</v>
      </c>
      <c r="AI334" s="11" t="str">
        <f>IF(AH334&gt;='Aprovados Recursos do Fundo'!$AQ$1,"APROVADO","REPROVADO")</f>
        <v>APROVADO</v>
      </c>
    </row>
    <row r="335" spans="2:35" s="64" customFormat="1" ht="25.5" hidden="1" x14ac:dyDescent="0.25">
      <c r="B335" s="5">
        <v>149</v>
      </c>
      <c r="C335" s="27" t="s">
        <v>798</v>
      </c>
      <c r="D335" s="5" t="s">
        <v>33</v>
      </c>
      <c r="E335" s="5" t="s">
        <v>799</v>
      </c>
      <c r="F335" s="7" t="s">
        <v>800</v>
      </c>
      <c r="G335" s="7" t="s">
        <v>36</v>
      </c>
      <c r="H335" s="8">
        <v>212001.12</v>
      </c>
      <c r="I335" s="8"/>
      <c r="J335" s="8"/>
      <c r="K335" s="7" t="s">
        <v>73</v>
      </c>
      <c r="L335" s="7" t="s">
        <v>74</v>
      </c>
      <c r="M335" s="7" t="s">
        <v>801</v>
      </c>
      <c r="N335" s="9" t="s">
        <v>802</v>
      </c>
      <c r="O335" s="10">
        <v>45308</v>
      </c>
      <c r="P335" s="7" t="s">
        <v>41</v>
      </c>
      <c r="Q335" s="7"/>
      <c r="R335" s="7"/>
      <c r="S335" s="9">
        <v>322</v>
      </c>
      <c r="T335" s="9">
        <v>174</v>
      </c>
      <c r="U335" s="9"/>
      <c r="V335" s="9"/>
      <c r="W335" s="9">
        <v>164</v>
      </c>
      <c r="X335" s="9"/>
      <c r="Y335" s="9"/>
      <c r="Z335" s="9"/>
      <c r="AA335" s="9"/>
      <c r="AB335" s="9"/>
      <c r="AC335" s="9"/>
      <c r="AD335" s="9"/>
      <c r="AE335" s="9"/>
      <c r="AF335" s="9"/>
      <c r="AG335" s="9">
        <f t="shared" si="11"/>
        <v>3</v>
      </c>
      <c r="AH335" s="62">
        <f t="shared" si="12"/>
        <v>220</v>
      </c>
      <c r="AI335" s="11" t="str">
        <f>IF(AH335&gt;=$AI$1,"APROVADO","REPROVADO")</f>
        <v>APROVADO</v>
      </c>
    </row>
    <row r="336" spans="2:35" s="64" customFormat="1" ht="39.950000000000003" hidden="1" customHeight="1" x14ac:dyDescent="0.25">
      <c r="B336" s="5">
        <v>42</v>
      </c>
      <c r="C336" s="6" t="s">
        <v>284</v>
      </c>
      <c r="D336" s="5" t="s">
        <v>51</v>
      </c>
      <c r="E336" s="5" t="s">
        <v>277</v>
      </c>
      <c r="F336" s="7" t="s">
        <v>285</v>
      </c>
      <c r="G336" s="7" t="s">
        <v>36</v>
      </c>
      <c r="H336" s="8">
        <v>400000</v>
      </c>
      <c r="I336" s="8"/>
      <c r="J336" s="8"/>
      <c r="K336" s="7" t="s">
        <v>269</v>
      </c>
      <c r="L336" s="7" t="s">
        <v>270</v>
      </c>
      <c r="M336" s="7" t="s">
        <v>279</v>
      </c>
      <c r="N336" s="31" t="s">
        <v>286</v>
      </c>
      <c r="O336" s="10">
        <v>45303</v>
      </c>
      <c r="P336" s="9" t="s">
        <v>57</v>
      </c>
      <c r="Q336" s="9"/>
      <c r="R336" s="65"/>
      <c r="S336" s="9">
        <v>277</v>
      </c>
      <c r="T336" s="9">
        <v>91</v>
      </c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>
        <v>292</v>
      </c>
      <c r="AF336" s="9"/>
      <c r="AG336" s="9">
        <f t="shared" si="11"/>
        <v>3</v>
      </c>
      <c r="AH336" s="62">
        <f t="shared" si="12"/>
        <v>220</v>
      </c>
      <c r="AI336" s="11" t="str">
        <f>IF(AH336&gt;='Aprovados Recursos do Fundo'!$AQ$1,"APROVADO","REPROVADO")</f>
        <v>APROVADO</v>
      </c>
    </row>
    <row r="337" spans="2:35" s="64" customFormat="1" ht="39.950000000000003" hidden="1" customHeight="1" x14ac:dyDescent="0.25">
      <c r="B337" s="5">
        <v>67</v>
      </c>
      <c r="C337" s="6" t="s">
        <v>400</v>
      </c>
      <c r="D337" s="5" t="s">
        <v>51</v>
      </c>
      <c r="E337" s="5" t="s">
        <v>401</v>
      </c>
      <c r="F337" s="7" t="s">
        <v>402</v>
      </c>
      <c r="G337" s="7" t="s">
        <v>36</v>
      </c>
      <c r="H337" s="8">
        <v>188300</v>
      </c>
      <c r="I337" s="8"/>
      <c r="J337" s="8"/>
      <c r="K337" s="7" t="s">
        <v>403</v>
      </c>
      <c r="L337" s="7" t="s">
        <v>154</v>
      </c>
      <c r="M337" s="7" t="s">
        <v>404</v>
      </c>
      <c r="N337" s="31" t="s">
        <v>358</v>
      </c>
      <c r="O337" s="34">
        <v>45306</v>
      </c>
      <c r="P337" s="9" t="s">
        <v>57</v>
      </c>
      <c r="Q337" s="11" t="s">
        <v>89</v>
      </c>
      <c r="R337" s="9"/>
      <c r="S337" s="9">
        <v>235</v>
      </c>
      <c r="T337" s="9"/>
      <c r="U337" s="9"/>
      <c r="V337" s="9"/>
      <c r="W337" s="9"/>
      <c r="X337" s="9">
        <v>213</v>
      </c>
      <c r="Y337" s="9">
        <v>212</v>
      </c>
      <c r="Z337" s="9"/>
      <c r="AA337" s="9"/>
      <c r="AB337" s="9"/>
      <c r="AC337" s="9"/>
      <c r="AD337" s="9"/>
      <c r="AE337" s="9"/>
      <c r="AF337" s="9"/>
      <c r="AG337" s="9">
        <f t="shared" si="11"/>
        <v>3</v>
      </c>
      <c r="AH337" s="62">
        <f t="shared" si="12"/>
        <v>220</v>
      </c>
      <c r="AI337" s="11" t="str">
        <f>IF(AH337&gt;='Aprovados Recursos do Fundo'!$AQ$1,"APROVADO","REPROVADO")</f>
        <v>APROVADO</v>
      </c>
    </row>
    <row r="338" spans="2:35" s="64" customFormat="1" ht="39.950000000000003" hidden="1" customHeight="1" x14ac:dyDescent="0.25">
      <c r="B338" s="5">
        <v>240</v>
      </c>
      <c r="C338" s="22" t="s">
        <v>1231</v>
      </c>
      <c r="D338" s="5" t="s">
        <v>51</v>
      </c>
      <c r="E338" s="11" t="s">
        <v>1232</v>
      </c>
      <c r="F338" s="11" t="s">
        <v>1237</v>
      </c>
      <c r="G338" s="11" t="s">
        <v>36</v>
      </c>
      <c r="H338" s="41">
        <v>469800</v>
      </c>
      <c r="I338" s="41"/>
      <c r="J338" s="41"/>
      <c r="K338" s="11" t="s">
        <v>503</v>
      </c>
      <c r="L338" s="11" t="s">
        <v>154</v>
      </c>
      <c r="M338" s="9" t="s">
        <v>1234</v>
      </c>
      <c r="N338" s="67" t="s">
        <v>1235</v>
      </c>
      <c r="O338" s="34">
        <v>45320</v>
      </c>
      <c r="P338" s="9" t="s">
        <v>41</v>
      </c>
      <c r="Q338" s="11" t="s">
        <v>1236</v>
      </c>
      <c r="R338" s="65"/>
      <c r="S338" s="9">
        <v>305</v>
      </c>
      <c r="T338" s="9">
        <v>130</v>
      </c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65">
        <v>224</v>
      </c>
      <c r="AF338" s="65"/>
      <c r="AG338" s="9">
        <f t="shared" si="11"/>
        <v>3</v>
      </c>
      <c r="AH338" s="62">
        <f t="shared" si="12"/>
        <v>219.66666666666666</v>
      </c>
      <c r="AI338" s="11" t="str">
        <f>IF(AH338&gt;=$AI$1,"APROVADO","REPROVADO")</f>
        <v>APROVADO</v>
      </c>
    </row>
    <row r="339" spans="2:35" s="64" customFormat="1" ht="39.950000000000003" hidden="1" customHeight="1" x14ac:dyDescent="0.25">
      <c r="B339" s="5">
        <v>198</v>
      </c>
      <c r="C339" s="6" t="s">
        <v>1052</v>
      </c>
      <c r="D339" s="5" t="s">
        <v>33</v>
      </c>
      <c r="E339" s="5" t="s">
        <v>1048</v>
      </c>
      <c r="F339" s="7" t="s">
        <v>1053</v>
      </c>
      <c r="G339" s="7" t="s">
        <v>107</v>
      </c>
      <c r="H339" s="8">
        <v>377065.43</v>
      </c>
      <c r="I339" s="8"/>
      <c r="J339" s="8"/>
      <c r="K339" s="7" t="s">
        <v>390</v>
      </c>
      <c r="L339" s="7" t="s">
        <v>391</v>
      </c>
      <c r="M339" s="7" t="s">
        <v>1050</v>
      </c>
      <c r="N339" s="9" t="s">
        <v>1051</v>
      </c>
      <c r="O339" s="10">
        <v>45315</v>
      </c>
      <c r="P339" s="9" t="s">
        <v>41</v>
      </c>
      <c r="Q339" s="7"/>
      <c r="R339" s="65"/>
      <c r="S339" s="7">
        <v>268</v>
      </c>
      <c r="T339" s="9"/>
      <c r="U339" s="9"/>
      <c r="V339" s="9"/>
      <c r="W339" s="9">
        <v>151</v>
      </c>
      <c r="X339" s="9"/>
      <c r="Y339" s="9"/>
      <c r="Z339" s="9"/>
      <c r="AA339" s="9"/>
      <c r="AB339" s="9">
        <v>238</v>
      </c>
      <c r="AC339" s="9"/>
      <c r="AD339" s="9"/>
      <c r="AE339" s="9"/>
      <c r="AF339" s="9"/>
      <c r="AG339" s="9">
        <f t="shared" si="11"/>
        <v>3</v>
      </c>
      <c r="AH339" s="62">
        <f t="shared" si="12"/>
        <v>219</v>
      </c>
      <c r="AI339" s="11" t="str">
        <f>IF(AH339&gt;=$AI$1,"APROVADO","REPROVADO")</f>
        <v>APROVADO</v>
      </c>
    </row>
    <row r="340" spans="2:35" s="64" customFormat="1" ht="39.950000000000003" hidden="1" customHeight="1" x14ac:dyDescent="0.25">
      <c r="B340" s="5">
        <v>322</v>
      </c>
      <c r="C340" s="6" t="s">
        <v>1655</v>
      </c>
      <c r="D340" s="5" t="s">
        <v>33</v>
      </c>
      <c r="E340" s="5" t="s">
        <v>1656</v>
      </c>
      <c r="F340" s="5" t="s">
        <v>1657</v>
      </c>
      <c r="G340" s="7" t="s">
        <v>36</v>
      </c>
      <c r="H340" s="8">
        <v>489600</v>
      </c>
      <c r="I340" s="8"/>
      <c r="J340" s="8"/>
      <c r="K340" s="7" t="s">
        <v>201</v>
      </c>
      <c r="L340" s="7" t="s">
        <v>202</v>
      </c>
      <c r="M340" s="7" t="s">
        <v>1658</v>
      </c>
      <c r="N340" s="9" t="s">
        <v>1659</v>
      </c>
      <c r="O340" s="10">
        <v>45321</v>
      </c>
      <c r="P340" s="5" t="s">
        <v>67</v>
      </c>
      <c r="Q340" s="7"/>
      <c r="R340" s="65"/>
      <c r="S340" s="5">
        <v>235</v>
      </c>
      <c r="T340" s="9">
        <v>98</v>
      </c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>
        <v>323</v>
      </c>
      <c r="AF340" s="9"/>
      <c r="AG340" s="9">
        <f t="shared" si="11"/>
        <v>3</v>
      </c>
      <c r="AH340" s="62">
        <f t="shared" si="12"/>
        <v>218.66666666666666</v>
      </c>
      <c r="AI340" s="11" t="str">
        <f>IF(AH340&gt;='Aprovados Recursos do Fundo'!$AQ$1,"APROVADO","REPROVADO")</f>
        <v>APROVADO</v>
      </c>
    </row>
    <row r="341" spans="2:35" s="64" customFormat="1" ht="39.950000000000003" hidden="1" customHeight="1" x14ac:dyDescent="0.25">
      <c r="B341" s="5">
        <v>423</v>
      </c>
      <c r="C341" s="27" t="s">
        <v>2091</v>
      </c>
      <c r="D341" s="5" t="s">
        <v>51</v>
      </c>
      <c r="E341" s="5" t="s">
        <v>2086</v>
      </c>
      <c r="F341" s="7" t="s">
        <v>2092</v>
      </c>
      <c r="G341" s="7" t="s">
        <v>1453</v>
      </c>
      <c r="H341" s="41">
        <v>250000</v>
      </c>
      <c r="I341" s="41"/>
      <c r="J341" s="41"/>
      <c r="K341" s="7" t="s">
        <v>2088</v>
      </c>
      <c r="L341" s="7" t="s">
        <v>95</v>
      </c>
      <c r="M341" s="9" t="s">
        <v>2089</v>
      </c>
      <c r="N341" s="21" t="s">
        <v>2090</v>
      </c>
      <c r="O341" s="34">
        <v>45322</v>
      </c>
      <c r="P341" s="9" t="s">
        <v>41</v>
      </c>
      <c r="Q341" s="9"/>
      <c r="R341" s="65"/>
      <c r="S341" s="9">
        <v>312</v>
      </c>
      <c r="T341" s="9">
        <v>84</v>
      </c>
      <c r="U341" s="9"/>
      <c r="V341" s="9"/>
      <c r="W341" s="9"/>
      <c r="X341" s="9"/>
      <c r="Y341" s="9"/>
      <c r="Z341" s="9"/>
      <c r="AA341" s="9"/>
      <c r="AB341" s="9">
        <v>259</v>
      </c>
      <c r="AC341" s="9"/>
      <c r="AD341" s="9"/>
      <c r="AE341" s="65"/>
      <c r="AF341" s="65"/>
      <c r="AG341" s="9">
        <f t="shared" si="11"/>
        <v>3</v>
      </c>
      <c r="AH341" s="62">
        <f t="shared" si="12"/>
        <v>218.33333333333334</v>
      </c>
      <c r="AI341" s="11" t="str">
        <f>IF(AH341&gt;=$AI$1,"APROVADO","REPROVADO")</f>
        <v>APROVADO</v>
      </c>
    </row>
    <row r="342" spans="2:35" s="64" customFormat="1" ht="39.950000000000003" hidden="1" customHeight="1" x14ac:dyDescent="0.25">
      <c r="B342" s="5">
        <v>151</v>
      </c>
      <c r="C342" s="27" t="s">
        <v>805</v>
      </c>
      <c r="D342" s="5" t="s">
        <v>33</v>
      </c>
      <c r="E342" s="5" t="s">
        <v>799</v>
      </c>
      <c r="F342" s="7" t="s">
        <v>806</v>
      </c>
      <c r="G342" s="7" t="s">
        <v>36</v>
      </c>
      <c r="H342" s="8">
        <v>482556.27</v>
      </c>
      <c r="I342" s="8"/>
      <c r="J342" s="8"/>
      <c r="K342" s="7" t="s">
        <v>73</v>
      </c>
      <c r="L342" s="7" t="s">
        <v>74</v>
      </c>
      <c r="M342" s="7" t="s">
        <v>801</v>
      </c>
      <c r="N342" s="9" t="s">
        <v>802</v>
      </c>
      <c r="O342" s="10">
        <v>45308</v>
      </c>
      <c r="P342" s="7" t="s">
        <v>41</v>
      </c>
      <c r="Q342" s="7"/>
      <c r="R342" s="7"/>
      <c r="S342" s="9">
        <v>327</v>
      </c>
      <c r="T342" s="9">
        <v>152</v>
      </c>
      <c r="U342" s="9"/>
      <c r="V342" s="9"/>
      <c r="W342" s="9"/>
      <c r="X342" s="9"/>
      <c r="Y342" s="9"/>
      <c r="Z342" s="9"/>
      <c r="AA342" s="9"/>
      <c r="AB342" s="9">
        <v>173</v>
      </c>
      <c r="AC342" s="9"/>
      <c r="AD342" s="9"/>
      <c r="AE342" s="9"/>
      <c r="AF342" s="9"/>
      <c r="AG342" s="9">
        <f t="shared" si="11"/>
        <v>3</v>
      </c>
      <c r="AH342" s="62">
        <f t="shared" si="12"/>
        <v>217.33333333333334</v>
      </c>
      <c r="AI342" s="11" t="str">
        <f>IF(AH342&gt;=$AI$1,"APROVADO","REPROVADO")</f>
        <v>APROVADO</v>
      </c>
    </row>
    <row r="343" spans="2:35" s="64" customFormat="1" ht="39.950000000000003" hidden="1" customHeight="1" x14ac:dyDescent="0.25">
      <c r="B343" s="5">
        <v>346</v>
      </c>
      <c r="C343" s="6" t="s">
        <v>1762</v>
      </c>
      <c r="D343" s="5" t="s">
        <v>33</v>
      </c>
      <c r="E343" s="5" t="s">
        <v>1763</v>
      </c>
      <c r="F343" s="5" t="s">
        <v>1764</v>
      </c>
      <c r="G343" s="7" t="s">
        <v>45</v>
      </c>
      <c r="H343" s="8">
        <v>1215394.8999999999</v>
      </c>
      <c r="I343" s="8"/>
      <c r="J343" s="8"/>
      <c r="K343" s="7" t="s">
        <v>1752</v>
      </c>
      <c r="L343" s="7" t="s">
        <v>154</v>
      </c>
      <c r="M343" s="7" t="s">
        <v>1765</v>
      </c>
      <c r="N343" s="9" t="s">
        <v>1766</v>
      </c>
      <c r="O343" s="10">
        <v>45321</v>
      </c>
      <c r="P343" s="5" t="s">
        <v>67</v>
      </c>
      <c r="Q343" s="7" t="s">
        <v>1767</v>
      </c>
      <c r="R343" s="65"/>
      <c r="S343" s="5">
        <v>255</v>
      </c>
      <c r="T343" s="9">
        <v>121</v>
      </c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>
        <v>271</v>
      </c>
      <c r="AF343" s="9"/>
      <c r="AG343" s="9">
        <f t="shared" si="11"/>
        <v>3</v>
      </c>
      <c r="AH343" s="62">
        <f t="shared" si="12"/>
        <v>215.66666666666666</v>
      </c>
      <c r="AI343" s="11" t="str">
        <f>IF(AH343&gt;='Aprovados Recursos do Fundo'!$AQ$1,"APROVADO","REPROVADO")</f>
        <v>APROVADO</v>
      </c>
    </row>
    <row r="344" spans="2:35" s="64" customFormat="1" ht="39.950000000000003" hidden="1" customHeight="1" x14ac:dyDescent="0.25">
      <c r="B344" s="5">
        <v>260</v>
      </c>
      <c r="C344" s="27" t="s">
        <v>1345</v>
      </c>
      <c r="D344" s="5" t="s">
        <v>33</v>
      </c>
      <c r="E344" s="5" t="s">
        <v>1346</v>
      </c>
      <c r="F344" s="7" t="s">
        <v>1347</v>
      </c>
      <c r="G344" s="7" t="s">
        <v>36</v>
      </c>
      <c r="H344" s="8">
        <v>200000</v>
      </c>
      <c r="I344" s="8"/>
      <c r="J344" s="8"/>
      <c r="K344" s="7" t="s">
        <v>1342</v>
      </c>
      <c r="L344" s="7" t="s">
        <v>95</v>
      </c>
      <c r="M344" s="7" t="s">
        <v>1348</v>
      </c>
      <c r="N344" s="7" t="s">
        <v>1349</v>
      </c>
      <c r="O344" s="10">
        <v>45320</v>
      </c>
      <c r="P344" s="7" t="s">
        <v>41</v>
      </c>
      <c r="Q344" s="7" t="s">
        <v>1350</v>
      </c>
      <c r="R344" s="65"/>
      <c r="S344" s="7">
        <v>326</v>
      </c>
      <c r="T344" s="9">
        <v>115</v>
      </c>
      <c r="U344" s="9"/>
      <c r="V344" s="9"/>
      <c r="W344" s="9"/>
      <c r="X344" s="9"/>
      <c r="Y344" s="9"/>
      <c r="Z344" s="9"/>
      <c r="AA344" s="9"/>
      <c r="AB344" s="9"/>
      <c r="AC344" s="9"/>
      <c r="AD344" s="9">
        <v>201</v>
      </c>
      <c r="AE344" s="9"/>
      <c r="AF344" s="9"/>
      <c r="AG344" s="9">
        <f t="shared" si="11"/>
        <v>3</v>
      </c>
      <c r="AH344" s="62">
        <f t="shared" si="12"/>
        <v>214</v>
      </c>
      <c r="AI344" s="11" t="str">
        <f>IF(AH344&gt;='Aprovados Recursos do Fundo'!$AQ$1,"APROVADO","REPROVADO")</f>
        <v>APROVADO</v>
      </c>
    </row>
    <row r="345" spans="2:35" s="64" customFormat="1" ht="39.950000000000003" hidden="1" customHeight="1" x14ac:dyDescent="0.25">
      <c r="B345" s="5">
        <v>120</v>
      </c>
      <c r="C345" s="27" t="s">
        <v>657</v>
      </c>
      <c r="D345" s="5" t="s">
        <v>33</v>
      </c>
      <c r="E345" s="5" t="s">
        <v>658</v>
      </c>
      <c r="F345" s="7" t="s">
        <v>659</v>
      </c>
      <c r="G345" s="7" t="s">
        <v>36</v>
      </c>
      <c r="H345" s="8">
        <v>821650</v>
      </c>
      <c r="I345" s="8"/>
      <c r="J345" s="8"/>
      <c r="K345" s="7" t="s">
        <v>73</v>
      </c>
      <c r="L345" s="7" t="s">
        <v>74</v>
      </c>
      <c r="M345" s="7" t="s">
        <v>660</v>
      </c>
      <c r="N345" s="9" t="s">
        <v>661</v>
      </c>
      <c r="O345" s="10">
        <v>45308</v>
      </c>
      <c r="P345" s="7" t="s">
        <v>41</v>
      </c>
      <c r="Q345" s="7"/>
      <c r="R345" s="7"/>
      <c r="S345" s="9">
        <v>335</v>
      </c>
      <c r="T345" s="9">
        <v>112</v>
      </c>
      <c r="U345" s="9"/>
      <c r="V345" s="9"/>
      <c r="W345" s="9">
        <v>193</v>
      </c>
      <c r="X345" s="9"/>
      <c r="Y345" s="9"/>
      <c r="Z345" s="9"/>
      <c r="AA345" s="9"/>
      <c r="AB345" s="9"/>
      <c r="AC345" s="9"/>
      <c r="AD345" s="9"/>
      <c r="AE345" s="9"/>
      <c r="AF345" s="9"/>
      <c r="AG345" s="9">
        <f t="shared" si="11"/>
        <v>3</v>
      </c>
      <c r="AH345" s="62">
        <f t="shared" si="12"/>
        <v>213.33333333333334</v>
      </c>
      <c r="AI345" s="11" t="str">
        <f>IF(AH345&gt;=$AI$1,"APROVADO","REPROVADO")</f>
        <v>APROVADO</v>
      </c>
    </row>
    <row r="346" spans="2:35" s="64" customFormat="1" ht="39.950000000000003" hidden="1" customHeight="1" x14ac:dyDescent="0.25">
      <c r="B346" s="5">
        <v>146</v>
      </c>
      <c r="C346" s="6" t="s">
        <v>779</v>
      </c>
      <c r="D346" s="5" t="s">
        <v>33</v>
      </c>
      <c r="E346" s="5" t="s">
        <v>780</v>
      </c>
      <c r="F346" s="7" t="s">
        <v>781</v>
      </c>
      <c r="G346" s="7" t="s">
        <v>107</v>
      </c>
      <c r="H346" s="8">
        <v>0</v>
      </c>
      <c r="I346" s="8"/>
      <c r="J346" s="8"/>
      <c r="K346" s="7" t="s">
        <v>73</v>
      </c>
      <c r="L346" s="7" t="s">
        <v>74</v>
      </c>
      <c r="M346" s="7" t="s">
        <v>782</v>
      </c>
      <c r="N346" s="9" t="s">
        <v>783</v>
      </c>
      <c r="O346" s="10">
        <v>45308</v>
      </c>
      <c r="P346" s="7" t="s">
        <v>67</v>
      </c>
      <c r="Q346" s="7" t="s">
        <v>375</v>
      </c>
      <c r="R346" s="7" t="s">
        <v>784</v>
      </c>
      <c r="S346" s="9">
        <v>269</v>
      </c>
      <c r="T346" s="9">
        <v>86</v>
      </c>
      <c r="U346" s="9"/>
      <c r="V346" s="9"/>
      <c r="W346" s="9"/>
      <c r="X346" s="9"/>
      <c r="Y346" s="9"/>
      <c r="Z346" s="9"/>
      <c r="AA346" s="9">
        <v>285</v>
      </c>
      <c r="AB346" s="9"/>
      <c r="AC346" s="9"/>
      <c r="AD346" s="9"/>
      <c r="AE346" s="9"/>
      <c r="AF346" s="9"/>
      <c r="AG346" s="9">
        <f t="shared" si="11"/>
        <v>3</v>
      </c>
      <c r="AH346" s="62">
        <f t="shared" si="12"/>
        <v>213.33333333333334</v>
      </c>
      <c r="AI346" s="11" t="str">
        <f>IF(AH346&gt;='Aprovados Recursos do Fundo'!$AQ$1,"APROVADO","REPROVADO")</f>
        <v>APROVADO</v>
      </c>
    </row>
    <row r="347" spans="2:35" s="64" customFormat="1" ht="39.950000000000003" hidden="1" customHeight="1" x14ac:dyDescent="0.25">
      <c r="B347" s="5">
        <v>587</v>
      </c>
      <c r="C347" s="6" t="s">
        <v>2802</v>
      </c>
      <c r="D347" s="5" t="s">
        <v>33</v>
      </c>
      <c r="E347" s="58" t="s">
        <v>2798</v>
      </c>
      <c r="F347" s="7" t="s">
        <v>2803</v>
      </c>
      <c r="G347" s="7" t="s">
        <v>107</v>
      </c>
      <c r="H347" s="8">
        <v>397080</v>
      </c>
      <c r="I347" s="8"/>
      <c r="J347" s="8"/>
      <c r="K347" s="7" t="s">
        <v>73</v>
      </c>
      <c r="L347" s="5" t="s">
        <v>74</v>
      </c>
      <c r="M347" s="7" t="s">
        <v>2800</v>
      </c>
      <c r="N347" s="9" t="s">
        <v>2801</v>
      </c>
      <c r="O347" s="10">
        <v>45322</v>
      </c>
      <c r="P347" s="7" t="s">
        <v>67</v>
      </c>
      <c r="Q347" s="7" t="s">
        <v>68</v>
      </c>
      <c r="R347" s="9"/>
      <c r="S347" s="7">
        <v>292</v>
      </c>
      <c r="T347" s="9">
        <v>170</v>
      </c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>
        <v>177</v>
      </c>
      <c r="AG347" s="9">
        <f t="shared" si="11"/>
        <v>3</v>
      </c>
      <c r="AH347" s="62">
        <f t="shared" si="12"/>
        <v>213</v>
      </c>
      <c r="AI347" s="11" t="str">
        <f>IF(AH347&gt;=$AI$1,"APROVADO","REPROVADO")</f>
        <v>APROVADO</v>
      </c>
    </row>
    <row r="348" spans="2:35" s="64" customFormat="1" ht="39.950000000000003" hidden="1" customHeight="1" x14ac:dyDescent="0.25">
      <c r="B348" s="5">
        <v>139</v>
      </c>
      <c r="C348" s="6" t="s">
        <v>741</v>
      </c>
      <c r="D348" s="5" t="s">
        <v>33</v>
      </c>
      <c r="E348" s="5" t="s">
        <v>742</v>
      </c>
      <c r="F348" s="5" t="s">
        <v>743</v>
      </c>
      <c r="G348" s="7" t="s">
        <v>107</v>
      </c>
      <c r="H348" s="8">
        <v>195000</v>
      </c>
      <c r="I348" s="8"/>
      <c r="J348" s="8"/>
      <c r="K348" s="7" t="s">
        <v>73</v>
      </c>
      <c r="L348" s="7" t="s">
        <v>74</v>
      </c>
      <c r="M348" s="7" t="s">
        <v>744</v>
      </c>
      <c r="N348" s="9" t="s">
        <v>745</v>
      </c>
      <c r="O348" s="10">
        <v>45308</v>
      </c>
      <c r="P348" s="5" t="s">
        <v>67</v>
      </c>
      <c r="Q348" s="7" t="s">
        <v>746</v>
      </c>
      <c r="R348" s="7"/>
      <c r="S348" s="9">
        <v>223</v>
      </c>
      <c r="T348" s="9">
        <v>242</v>
      </c>
      <c r="U348" s="9">
        <v>170</v>
      </c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>
        <f t="shared" si="11"/>
        <v>3</v>
      </c>
      <c r="AH348" s="62">
        <f t="shared" si="12"/>
        <v>211.66666666666666</v>
      </c>
      <c r="AI348" s="11" t="str">
        <f>IF(AH348&gt;='Aprovados Recursos do Fundo'!$AQ$1,"APROVADO","REPROVADO")</f>
        <v>APROVADO</v>
      </c>
    </row>
    <row r="349" spans="2:35" s="64" customFormat="1" ht="39.950000000000003" hidden="1" customHeight="1" x14ac:dyDescent="0.25">
      <c r="B349" s="5">
        <v>354</v>
      </c>
      <c r="C349" s="22" t="s">
        <v>1792</v>
      </c>
      <c r="D349" s="5" t="s">
        <v>51</v>
      </c>
      <c r="E349" s="9" t="s">
        <v>1793</v>
      </c>
      <c r="F349" s="11" t="s">
        <v>1794</v>
      </c>
      <c r="G349" s="11" t="s">
        <v>36</v>
      </c>
      <c r="H349" s="41">
        <v>2321073.5299999998</v>
      </c>
      <c r="I349" s="41"/>
      <c r="J349" s="41"/>
      <c r="K349" s="9" t="s">
        <v>1795</v>
      </c>
      <c r="L349" s="11" t="s">
        <v>254</v>
      </c>
      <c r="M349" s="9" t="s">
        <v>1796</v>
      </c>
      <c r="N349" s="67" t="s">
        <v>1797</v>
      </c>
      <c r="O349" s="34">
        <v>45321</v>
      </c>
      <c r="P349" s="9" t="s">
        <v>57</v>
      </c>
      <c r="Q349" s="9"/>
      <c r="R349" s="65"/>
      <c r="S349" s="9">
        <v>192</v>
      </c>
      <c r="T349" s="9"/>
      <c r="U349" s="9"/>
      <c r="V349" s="9"/>
      <c r="W349" s="9"/>
      <c r="X349" s="9">
        <v>217</v>
      </c>
      <c r="Y349" s="9">
        <v>222</v>
      </c>
      <c r="Z349" s="9"/>
      <c r="AA349" s="9"/>
      <c r="AB349" s="9"/>
      <c r="AC349" s="9"/>
      <c r="AD349" s="9"/>
      <c r="AE349" s="65"/>
      <c r="AF349" s="65"/>
      <c r="AG349" s="9">
        <f t="shared" si="11"/>
        <v>3</v>
      </c>
      <c r="AH349" s="62">
        <f t="shared" si="12"/>
        <v>210.33333333333334</v>
      </c>
      <c r="AI349" s="11" t="str">
        <f>IF(AH349&gt;='Aprovados Recursos do Fundo'!$AQ$1,"APROVADO","REPROVADO")</f>
        <v>APROVADO</v>
      </c>
    </row>
    <row r="350" spans="2:35" s="64" customFormat="1" ht="39.950000000000003" hidden="1" customHeight="1" x14ac:dyDescent="0.25">
      <c r="B350" s="5">
        <v>441</v>
      </c>
      <c r="C350" s="27" t="s">
        <v>2159</v>
      </c>
      <c r="D350" s="5" t="s">
        <v>33</v>
      </c>
      <c r="E350" s="5" t="s">
        <v>3932</v>
      </c>
      <c r="F350" s="7" t="s">
        <v>2160</v>
      </c>
      <c r="G350" s="7" t="s">
        <v>36</v>
      </c>
      <c r="H350" s="8">
        <v>106832</v>
      </c>
      <c r="I350" s="8"/>
      <c r="J350" s="8"/>
      <c r="K350" s="7" t="s">
        <v>73</v>
      </c>
      <c r="L350" s="7" t="s">
        <v>74</v>
      </c>
      <c r="M350" s="7" t="s">
        <v>2157</v>
      </c>
      <c r="N350" s="9" t="s">
        <v>2158</v>
      </c>
      <c r="O350" s="10">
        <v>45322</v>
      </c>
      <c r="P350" s="7" t="s">
        <v>41</v>
      </c>
      <c r="Q350" s="9"/>
      <c r="R350" s="65"/>
      <c r="S350" s="7">
        <v>330</v>
      </c>
      <c r="T350" s="9">
        <v>147</v>
      </c>
      <c r="U350" s="9"/>
      <c r="V350" s="9">
        <v>152</v>
      </c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>
        <f t="shared" si="11"/>
        <v>3</v>
      </c>
      <c r="AH350" s="62">
        <f t="shared" si="12"/>
        <v>209.66666666666666</v>
      </c>
      <c r="AI350" s="11" t="str">
        <f>IF(AH350&gt;='Aprovados Recursos do Fundo'!$AQ$1,"APROVADO","REPROVADO")</f>
        <v>APROVADO</v>
      </c>
    </row>
    <row r="351" spans="2:35" s="64" customFormat="1" ht="39.950000000000003" hidden="1" customHeight="1" x14ac:dyDescent="0.25">
      <c r="B351" s="5">
        <v>563</v>
      </c>
      <c r="C351" s="6" t="s">
        <v>2700</v>
      </c>
      <c r="D351" s="5" t="s">
        <v>33</v>
      </c>
      <c r="E351" s="5" t="s">
        <v>2701</v>
      </c>
      <c r="F351" s="7" t="s">
        <v>2702</v>
      </c>
      <c r="G351" s="7" t="s">
        <v>107</v>
      </c>
      <c r="H351" s="8">
        <v>1067863.3700000001</v>
      </c>
      <c r="I351" s="8"/>
      <c r="J351" s="8"/>
      <c r="K351" s="7" t="s">
        <v>1033</v>
      </c>
      <c r="L351" s="7" t="s">
        <v>445</v>
      </c>
      <c r="M351" s="7" t="s">
        <v>2703</v>
      </c>
      <c r="N351" s="9" t="s">
        <v>2704</v>
      </c>
      <c r="O351" s="10">
        <v>45322</v>
      </c>
      <c r="P351" s="7" t="s">
        <v>41</v>
      </c>
      <c r="Q351" s="9" t="s">
        <v>83</v>
      </c>
      <c r="R351" s="9" t="s">
        <v>2705</v>
      </c>
      <c r="S351" s="7">
        <v>229</v>
      </c>
      <c r="T351" s="9"/>
      <c r="U351" s="9">
        <v>181</v>
      </c>
      <c r="V351" s="9"/>
      <c r="W351" s="9"/>
      <c r="X351" s="9"/>
      <c r="Y351" s="9"/>
      <c r="Z351" s="9"/>
      <c r="AA351" s="9"/>
      <c r="AB351" s="9"/>
      <c r="AC351" s="9"/>
      <c r="AD351" s="9">
        <v>214</v>
      </c>
      <c r="AE351" s="9"/>
      <c r="AF351" s="9"/>
      <c r="AG351" s="9">
        <f t="shared" si="11"/>
        <v>3</v>
      </c>
      <c r="AH351" s="62">
        <f t="shared" si="12"/>
        <v>208</v>
      </c>
      <c r="AI351" s="11" t="str">
        <f>IF(AH351&gt;='Aprovados Recursos do Fundo'!$AQ$1,"APROVADO","REPROVADO")</f>
        <v>APROVADO</v>
      </c>
    </row>
    <row r="352" spans="2:35" s="64" customFormat="1" ht="39.950000000000003" hidden="1" customHeight="1" x14ac:dyDescent="0.25">
      <c r="B352" s="5">
        <v>256</v>
      </c>
      <c r="C352" s="6" t="s">
        <v>1323</v>
      </c>
      <c r="D352" s="5" t="s">
        <v>33</v>
      </c>
      <c r="E352" s="5" t="s">
        <v>1324</v>
      </c>
      <c r="F352" s="5" t="s">
        <v>1325</v>
      </c>
      <c r="G352" s="5" t="s">
        <v>62</v>
      </c>
      <c r="H352" s="8">
        <v>583526.5</v>
      </c>
      <c r="I352" s="8"/>
      <c r="J352" s="8"/>
      <c r="K352" s="7" t="s">
        <v>859</v>
      </c>
      <c r="L352" s="7" t="s">
        <v>181</v>
      </c>
      <c r="M352" s="7" t="s">
        <v>1326</v>
      </c>
      <c r="N352" s="9" t="s">
        <v>1327</v>
      </c>
      <c r="O352" s="10">
        <v>45320</v>
      </c>
      <c r="P352" s="5" t="s">
        <v>67</v>
      </c>
      <c r="Q352" s="7"/>
      <c r="R352" s="65"/>
      <c r="S352" s="5">
        <v>305</v>
      </c>
      <c r="T352" s="9">
        <v>89</v>
      </c>
      <c r="U352" s="9">
        <v>222</v>
      </c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>
        <f t="shared" si="11"/>
        <v>3</v>
      </c>
      <c r="AH352" s="62">
        <f t="shared" si="12"/>
        <v>205.33333333333334</v>
      </c>
      <c r="AI352" s="11" t="str">
        <f>IF(AH352&gt;='Aprovados Recursos do Fundo'!$AQ$1,"APROVADO","REPROVADO")</f>
        <v>APROVADO</v>
      </c>
    </row>
    <row r="353" spans="2:35" s="64" customFormat="1" ht="39.950000000000003" hidden="1" customHeight="1" x14ac:dyDescent="0.25">
      <c r="B353" s="5">
        <v>440</v>
      </c>
      <c r="C353" s="27" t="s">
        <v>2154</v>
      </c>
      <c r="D353" s="5" t="s">
        <v>33</v>
      </c>
      <c r="E353" s="5" t="s">
        <v>3932</v>
      </c>
      <c r="F353" s="7" t="s">
        <v>2156</v>
      </c>
      <c r="G353" s="7" t="s">
        <v>36</v>
      </c>
      <c r="H353" s="8">
        <v>307058.67</v>
      </c>
      <c r="I353" s="8"/>
      <c r="J353" s="8"/>
      <c r="K353" s="7" t="s">
        <v>73</v>
      </c>
      <c r="L353" s="7" t="s">
        <v>74</v>
      </c>
      <c r="M353" s="7" t="s">
        <v>2157</v>
      </c>
      <c r="N353" s="9" t="s">
        <v>2158</v>
      </c>
      <c r="O353" s="10">
        <v>45322</v>
      </c>
      <c r="P353" s="7" t="s">
        <v>41</v>
      </c>
      <c r="Q353" s="9"/>
      <c r="R353" s="65"/>
      <c r="S353" s="7">
        <v>326</v>
      </c>
      <c r="T353" s="9">
        <v>140</v>
      </c>
      <c r="U353" s="9"/>
      <c r="V353" s="9">
        <v>149</v>
      </c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>
        <f t="shared" si="11"/>
        <v>3</v>
      </c>
      <c r="AH353" s="62">
        <f t="shared" si="12"/>
        <v>205</v>
      </c>
      <c r="AI353" s="11" t="str">
        <f>IF(AH353&gt;=$AI$1,"APROVADO","REPROVADO")</f>
        <v>APROVADO</v>
      </c>
    </row>
    <row r="354" spans="2:35" s="64" customFormat="1" ht="39.950000000000003" hidden="1" customHeight="1" x14ac:dyDescent="0.25">
      <c r="B354" s="5">
        <v>20</v>
      </c>
      <c r="C354" s="6" t="s">
        <v>165</v>
      </c>
      <c r="D354" s="5" t="s">
        <v>51</v>
      </c>
      <c r="E354" s="5" t="s">
        <v>166</v>
      </c>
      <c r="F354" s="7" t="s">
        <v>167</v>
      </c>
      <c r="G354" s="7" t="s">
        <v>36</v>
      </c>
      <c r="H354" s="8">
        <v>267000</v>
      </c>
      <c r="I354" s="8"/>
      <c r="J354" s="8"/>
      <c r="K354" s="7" t="s">
        <v>168</v>
      </c>
      <c r="L354" s="7" t="s">
        <v>64</v>
      </c>
      <c r="M354" s="7" t="s">
        <v>169</v>
      </c>
      <c r="N354" s="9" t="s">
        <v>170</v>
      </c>
      <c r="O354" s="10">
        <v>45302</v>
      </c>
      <c r="P354" s="9" t="s">
        <v>41</v>
      </c>
      <c r="Q354" s="11"/>
      <c r="R354" s="9"/>
      <c r="S354" s="9">
        <v>330</v>
      </c>
      <c r="T354" s="9"/>
      <c r="U354" s="9">
        <v>160</v>
      </c>
      <c r="V354" s="9">
        <v>125</v>
      </c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>
        <f t="shared" si="11"/>
        <v>3</v>
      </c>
      <c r="AH354" s="62">
        <f t="shared" si="12"/>
        <v>205</v>
      </c>
      <c r="AI354" s="11" t="str">
        <f>IF(AH354&gt;='Aprovados Recursos do Fundo'!$AQ$1,"APROVADO","REPROVADO")</f>
        <v>APROVADO</v>
      </c>
    </row>
    <row r="355" spans="2:35" s="64" customFormat="1" ht="39.950000000000003" hidden="1" customHeight="1" x14ac:dyDescent="0.25">
      <c r="B355" s="5">
        <v>147</v>
      </c>
      <c r="C355" s="6" t="s">
        <v>785</v>
      </c>
      <c r="D355" s="5" t="s">
        <v>33</v>
      </c>
      <c r="E355" s="5" t="s">
        <v>786</v>
      </c>
      <c r="F355" s="7" t="s">
        <v>787</v>
      </c>
      <c r="G355" s="7" t="s">
        <v>107</v>
      </c>
      <c r="H355" s="8">
        <v>698651</v>
      </c>
      <c r="I355" s="8"/>
      <c r="J355" s="8"/>
      <c r="K355" s="7" t="s">
        <v>73</v>
      </c>
      <c r="L355" s="7" t="s">
        <v>74</v>
      </c>
      <c r="M355" s="7" t="s">
        <v>788</v>
      </c>
      <c r="N355" s="9" t="s">
        <v>789</v>
      </c>
      <c r="O355" s="10">
        <v>45308</v>
      </c>
      <c r="P355" s="7" t="s">
        <v>67</v>
      </c>
      <c r="Q355" s="7" t="s">
        <v>68</v>
      </c>
      <c r="R355" s="7"/>
      <c r="S355" s="9"/>
      <c r="T355" s="9">
        <v>82</v>
      </c>
      <c r="U355" s="9"/>
      <c r="V355" s="9"/>
      <c r="W355" s="9"/>
      <c r="X355" s="9">
        <v>296</v>
      </c>
      <c r="Y355" s="9">
        <v>237</v>
      </c>
      <c r="Z355" s="9"/>
      <c r="AA355" s="9"/>
      <c r="AB355" s="9"/>
      <c r="AC355" s="9"/>
      <c r="AD355" s="9"/>
      <c r="AE355" s="9"/>
      <c r="AF355" s="9"/>
      <c r="AG355" s="9">
        <f t="shared" si="11"/>
        <v>3</v>
      </c>
      <c r="AH355" s="62">
        <f t="shared" si="12"/>
        <v>205</v>
      </c>
      <c r="AI355" s="11" t="str">
        <f>IF(AH355&gt;='Aprovados Recursos do Fundo'!$AQ$1,"APROVADO","REPROVADO")</f>
        <v>APROVADO</v>
      </c>
    </row>
  </sheetData>
  <autoFilter ref="B4:AI355" xr:uid="{4236D1EC-F48A-4690-BC1C-BCC1124A5676}">
    <filterColumn colId="3">
      <colorFilter dxfId="75"/>
    </filterColumn>
    <filterColumn colId="4">
      <filters>
        <filter val="Projeto Guardiões do Brincar"/>
      </filters>
    </filterColumn>
  </autoFilter>
  <mergeCells count="2">
    <mergeCell ref="B2:AH2"/>
    <mergeCell ref="B3:AI3"/>
  </mergeCells>
  <conditionalFormatting sqref="E124:E126">
    <cfRule type="duplicateValues" dxfId="3" priority="1"/>
  </conditionalFormatting>
  <hyperlinks>
    <hyperlink ref="N116" r:id="rId1" xr:uid="{9E9E0026-7F9C-4D64-928A-93758D48E12D}"/>
    <hyperlink ref="N9" r:id="rId2" xr:uid="{F4B5793C-5291-421D-B305-50A81A1EA4B3}"/>
    <hyperlink ref="N162" r:id="rId3" xr:uid="{08F261D3-61E0-454B-BA8F-D684638B61DA}"/>
    <hyperlink ref="N39" r:id="rId4" xr:uid="{E21E0C80-9D5C-4984-BA02-39BE9ABFD1BF}"/>
    <hyperlink ref="N221" r:id="rId5" display="captaoderecursos@sorocaba.sp.gov.br" xr:uid="{85B32DC2-EF1F-4B40-A226-79DC2D00706D}"/>
    <hyperlink ref="N12" r:id="rId6" xr:uid="{1A80B0C9-C096-4762-A0C5-BA0B7EB46940}"/>
    <hyperlink ref="N328" r:id="rId7" xr:uid="{D1AD571F-DF43-421F-A0C6-B9D962C9526E}"/>
    <hyperlink ref="N32" r:id="rId8" display="sepedi.departamentoidoso@saosebastiao.sp.gov.br" xr:uid="{52D1C5A9-C5A8-4FC8-9E9C-2D778818055B}"/>
    <hyperlink ref="N22" r:id="rId9" xr:uid="{CEC8F001-74FD-496F-A599-4948F0E32685}"/>
    <hyperlink ref="N321" r:id="rId10" xr:uid="{23226736-B8D1-4CC1-9957-87B57BA70895}"/>
    <hyperlink ref="N53" r:id="rId11" xr:uid="{A55E55E7-1984-4B48-9CC0-CBAA1EE01531}"/>
    <hyperlink ref="N338" r:id="rId12" xr:uid="{E2887CD7-AF2A-4A78-BA81-A91BB4B1F0E0}"/>
    <hyperlink ref="N89" r:id="rId13" xr:uid="{E5299249-57CE-494C-B524-2BD571DC8B10}"/>
    <hyperlink ref="N82" r:id="rId14" xr:uid="{259143AA-C25E-45DE-8092-AD0377C4F958}"/>
    <hyperlink ref="N20" r:id="rId15" xr:uid="{D22FBF4F-1AC3-42B2-846D-F59AAE657D90}"/>
    <hyperlink ref="N27" r:id="rId16" display="municipio@indiapora.sp.gov.br" xr:uid="{CD674BB4-5987-4DEE-8426-2EDAC1BF3A70}"/>
    <hyperlink ref="N115" r:id="rId17" xr:uid="{25430421-B475-4CEE-9230-DDF6677113B4}"/>
    <hyperlink ref="N61" r:id="rId18" xr:uid="{6EB43F44-3A3D-4502-9505-A170B2FF02BE}"/>
    <hyperlink ref="N257" r:id="rId19" xr:uid="{6A20597E-F7CE-4DCE-A430-5204213A3664}"/>
    <hyperlink ref="N101" r:id="rId20" xr:uid="{2F5EE866-A6D8-4067-AA17-A0C4BED6AE6F}"/>
    <hyperlink ref="N179" r:id="rId21" xr:uid="{1EEA7F2A-7BA9-4522-9AE2-1D2B5F7C596E}"/>
    <hyperlink ref="N183" r:id="rId22" xr:uid="{6A32BFD6-D6E6-4573-A639-6C919C64535F}"/>
    <hyperlink ref="N256" r:id="rId23" xr:uid="{881A36CB-4902-43AD-AC2D-78A6BB7C840F}"/>
    <hyperlink ref="N203" r:id="rId24" xr:uid="{E5E5419E-A0FE-4CA0-ABE1-8E65D3BFAD55}"/>
    <hyperlink ref="N300" r:id="rId25" xr:uid="{3B33DBED-EBEA-47A1-B43D-409ED6860D14}"/>
    <hyperlink ref="N226" r:id="rId26" xr:uid="{62362973-A8DE-4CFC-9136-7F32D7735227}"/>
    <hyperlink ref="N288" r:id="rId27" xr:uid="{403E2921-CA86-481B-BCD9-EF464F0C54E6}"/>
    <hyperlink ref="N263" r:id="rId28" xr:uid="{A973B38E-2CEF-4C15-A0FB-67DA9357764D}"/>
    <hyperlink ref="N184" r:id="rId29" xr:uid="{84B4B03A-3894-4D16-906E-672EF1B356F4}"/>
    <hyperlink ref="N214" r:id="rId30" xr:uid="{9136A428-4A5C-4946-B706-DB2019912059}"/>
    <hyperlink ref="N175" r:id="rId31" xr:uid="{67CE6CAE-5F4A-4FA8-9E3C-11BA792F7D5E}"/>
    <hyperlink ref="N310" r:id="rId32" xr:uid="{0AC256F1-AA30-47F1-97CD-8D4E6A79C441}"/>
    <hyperlink ref="N229" r:id="rId33" xr:uid="{4233A087-E5AE-4ED8-8E90-049025D855D2}"/>
    <hyperlink ref="N164" r:id="rId34" xr:uid="{328EE517-54B1-4D44-B633-C5D3CFEF9655}"/>
    <hyperlink ref="N137" r:id="rId35" xr:uid="{F24D29EE-F8AA-4EFC-8863-80A9A14C95D1}"/>
    <hyperlink ref="N117" r:id="rId36" xr:uid="{051B5E2E-8B26-4217-99AC-9ACA0ED76AFC}"/>
    <hyperlink ref="N286" r:id="rId37" xr:uid="{1B173324-6E4A-4A2C-854F-86EEDC80B760}"/>
    <hyperlink ref="N233" r:id="rId38" xr:uid="{B7C0D92A-7845-471A-87BE-4C7471A70593}"/>
    <hyperlink ref="N52" r:id="rId39" xr:uid="{0512B098-7678-4F40-A37F-C3477479CECC}"/>
    <hyperlink ref="N182" r:id="rId40" xr:uid="{A06A4EBA-70BA-492A-AFFA-1D784EC4F9DD}"/>
    <hyperlink ref="N155" r:id="rId41" xr:uid="{AFF3208C-A301-46CF-A901-8C690A342D0F}"/>
    <hyperlink ref="N157" r:id="rId42" xr:uid="{4934B8D7-D66B-472E-BDF9-C7CD78EA4AFD}"/>
    <hyperlink ref="N124" r:id="rId43" xr:uid="{977455D6-ECDD-4767-B6F3-F0A8675CDF5D}"/>
    <hyperlink ref="N104" r:id="rId44" xr:uid="{B173D0E1-C1C5-46DD-BF27-A575CB8C5751}"/>
    <hyperlink ref="N129" r:id="rId45" xr:uid="{5A1AD81D-38F4-481D-8DD9-03DD46A353A3}"/>
    <hyperlink ref="N177" r:id="rId46" xr:uid="{6412F29D-494D-481D-B4B0-5A2CFB6544A9}"/>
    <hyperlink ref="N195" r:id="rId47" xr:uid="{0E0FC240-B1D2-47B6-8082-37DE25E5B73A}"/>
    <hyperlink ref="N349" r:id="rId48" xr:uid="{0FD3934D-4622-4D5A-8DD7-C46304F337B5}"/>
    <hyperlink ref="N207" r:id="rId49" xr:uid="{5F112DF3-520C-4E25-83F3-D9459631384A}"/>
    <hyperlink ref="N118" r:id="rId50" xr:uid="{66B69E60-938F-458B-A165-F0634ED26874}"/>
    <hyperlink ref="N337" r:id="rId51" xr:uid="{9A65C746-D028-4C81-B455-2F81706CE321}"/>
    <hyperlink ref="N336" r:id="rId52" xr:uid="{174529F9-A992-474D-B95B-1829BC4B826D}"/>
    <hyperlink ref="N28" r:id="rId53" xr:uid="{FB13EFEC-CF8A-48F7-A4BB-9D697BA68864}"/>
  </hyperlinks>
  <pageMargins left="0.15" right="0.13" top="0.18" bottom="0.2" header="0.17" footer="0.17"/>
  <pageSetup paperSize="9" orientation="landscape" horizontalDpi="300" verticalDpi="300" r:id="rId54"/>
  <drawing r:id="rId5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095A-924C-4CAF-95B5-2FD5ABC19CBB}">
  <dimension ref="A1:M630"/>
  <sheetViews>
    <sheetView showGridLines="0" zoomScaleNormal="100" workbookViewId="0">
      <selection activeCell="F14" sqref="F14"/>
    </sheetView>
  </sheetViews>
  <sheetFormatPr defaultRowHeight="15" x14ac:dyDescent="0.25"/>
  <cols>
    <col min="1" max="2" width="14.7109375" customWidth="1"/>
    <col min="3" max="3" width="32.140625" customWidth="1"/>
    <col min="4" max="4" width="55.28515625" customWidth="1"/>
    <col min="5" max="5" width="20.85546875" customWidth="1"/>
    <col min="6" max="6" width="23.42578125" customWidth="1"/>
    <col min="7" max="7" width="21.140625" customWidth="1"/>
    <col min="8" max="8" width="10.42578125" style="61" customWidth="1"/>
    <col min="9" max="9" width="13.85546875" style="2" customWidth="1"/>
    <col min="10" max="23" width="9.140625" customWidth="1"/>
  </cols>
  <sheetData>
    <row r="1" spans="1:9" ht="28.5" customHeight="1" x14ac:dyDescent="0.35">
      <c r="A1" s="184" t="s">
        <v>3933</v>
      </c>
      <c r="B1" s="184"/>
      <c r="C1" s="184"/>
      <c r="D1" s="184"/>
      <c r="E1" s="184"/>
      <c r="F1" s="184"/>
    </row>
    <row r="2" spans="1:9" ht="41.2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7</v>
      </c>
      <c r="F2" s="4" t="s">
        <v>8</v>
      </c>
      <c r="G2" s="4" t="s">
        <v>14</v>
      </c>
      <c r="H2" s="4" t="s">
        <v>30</v>
      </c>
      <c r="I2" s="4" t="s">
        <v>31</v>
      </c>
    </row>
    <row r="3" spans="1:9" s="64" customFormat="1" ht="39.950000000000003" customHeight="1" x14ac:dyDescent="0.25">
      <c r="A3" s="5" t="s">
        <v>725</v>
      </c>
      <c r="B3" s="5" t="s">
        <v>51</v>
      </c>
      <c r="C3" s="5" t="s">
        <v>726</v>
      </c>
      <c r="D3" s="5" t="s">
        <v>727</v>
      </c>
      <c r="E3" s="38">
        <v>465571.15</v>
      </c>
      <c r="F3" s="5" t="s">
        <v>728</v>
      </c>
      <c r="G3" s="5"/>
      <c r="H3" s="74">
        <v>340</v>
      </c>
      <c r="I3" s="75" t="s">
        <v>2965</v>
      </c>
    </row>
    <row r="4" spans="1:9" s="64" customFormat="1" ht="39.950000000000003" customHeight="1" x14ac:dyDescent="0.25">
      <c r="A4" s="9" t="s">
        <v>960</v>
      </c>
      <c r="B4" s="5" t="s">
        <v>51</v>
      </c>
      <c r="C4" s="9" t="s">
        <v>961</v>
      </c>
      <c r="D4" s="9" t="s">
        <v>962</v>
      </c>
      <c r="E4" s="38">
        <v>79666.17</v>
      </c>
      <c r="F4" s="9" t="s">
        <v>963</v>
      </c>
      <c r="G4" s="11"/>
      <c r="H4" s="74">
        <v>340</v>
      </c>
      <c r="I4" s="75" t="s">
        <v>2965</v>
      </c>
    </row>
    <row r="5" spans="1:9" s="64" customFormat="1" ht="39.950000000000003" customHeight="1" x14ac:dyDescent="0.25">
      <c r="A5" s="5" t="s">
        <v>1054</v>
      </c>
      <c r="B5" s="5" t="s">
        <v>51</v>
      </c>
      <c r="C5" s="5" t="s">
        <v>1055</v>
      </c>
      <c r="D5" s="5" t="s">
        <v>1056</v>
      </c>
      <c r="E5" s="38">
        <v>70311.8</v>
      </c>
      <c r="F5" s="9" t="s">
        <v>1057</v>
      </c>
      <c r="G5" s="9"/>
      <c r="H5" s="74">
        <v>340</v>
      </c>
      <c r="I5" s="75" t="s">
        <v>2965</v>
      </c>
    </row>
    <row r="6" spans="1:9" s="64" customFormat="1" ht="39.950000000000003" customHeight="1" x14ac:dyDescent="0.25">
      <c r="A6" s="5" t="s">
        <v>1372</v>
      </c>
      <c r="B6" s="5" t="s">
        <v>33</v>
      </c>
      <c r="C6" s="5" t="s">
        <v>1365</v>
      </c>
      <c r="D6" s="5" t="s">
        <v>1373</v>
      </c>
      <c r="E6" s="17">
        <v>253465</v>
      </c>
      <c r="F6" s="5" t="s">
        <v>1367</v>
      </c>
      <c r="G6" s="5"/>
      <c r="H6" s="74">
        <v>340</v>
      </c>
      <c r="I6" s="75" t="s">
        <v>2965</v>
      </c>
    </row>
    <row r="7" spans="1:9" s="64" customFormat="1" ht="39.950000000000003" customHeight="1" x14ac:dyDescent="0.25">
      <c r="A7" s="5" t="s">
        <v>1464</v>
      </c>
      <c r="B7" s="5" t="s">
        <v>33</v>
      </c>
      <c r="C7" s="5" t="s">
        <v>1457</v>
      </c>
      <c r="D7" s="5" t="s">
        <v>1465</v>
      </c>
      <c r="E7" s="17">
        <v>141000</v>
      </c>
      <c r="F7" s="5" t="s">
        <v>1459</v>
      </c>
      <c r="G7" s="5"/>
      <c r="H7" s="74">
        <v>340</v>
      </c>
      <c r="I7" s="75" t="s">
        <v>2965</v>
      </c>
    </row>
    <row r="8" spans="1:9" s="64" customFormat="1" ht="39.950000000000003" customHeight="1" x14ac:dyDescent="0.25">
      <c r="A8" s="9" t="s">
        <v>1522</v>
      </c>
      <c r="B8" s="5" t="s">
        <v>51</v>
      </c>
      <c r="C8" s="9" t="s">
        <v>1523</v>
      </c>
      <c r="D8" s="9" t="s">
        <v>1524</v>
      </c>
      <c r="E8" s="38">
        <v>35000</v>
      </c>
      <c r="F8" s="9" t="s">
        <v>1525</v>
      </c>
      <c r="G8" s="65"/>
      <c r="H8" s="74">
        <v>340</v>
      </c>
      <c r="I8" s="75" t="s">
        <v>2965</v>
      </c>
    </row>
    <row r="9" spans="1:9" s="64" customFormat="1" ht="39.950000000000003" customHeight="1" x14ac:dyDescent="0.25">
      <c r="A9" s="9" t="s">
        <v>1712</v>
      </c>
      <c r="B9" s="5" t="s">
        <v>51</v>
      </c>
      <c r="C9" s="9" t="s">
        <v>1713</v>
      </c>
      <c r="D9" s="11" t="s">
        <v>1714</v>
      </c>
      <c r="E9" s="38">
        <v>218000</v>
      </c>
      <c r="F9" s="9" t="s">
        <v>1715</v>
      </c>
      <c r="G9" s="9"/>
      <c r="H9" s="74">
        <v>340</v>
      </c>
      <c r="I9" s="75" t="s">
        <v>2965</v>
      </c>
    </row>
    <row r="10" spans="1:9" s="64" customFormat="1" ht="39.950000000000003" customHeight="1" x14ac:dyDescent="0.25">
      <c r="A10" s="9" t="s">
        <v>1798</v>
      </c>
      <c r="B10" s="5" t="s">
        <v>51</v>
      </c>
      <c r="C10" s="5" t="s">
        <v>1799</v>
      </c>
      <c r="D10" s="5" t="s">
        <v>1800</v>
      </c>
      <c r="E10" s="38">
        <v>35000</v>
      </c>
      <c r="F10" s="5" t="s">
        <v>926</v>
      </c>
      <c r="G10" s="65"/>
      <c r="H10" s="74">
        <v>340</v>
      </c>
      <c r="I10" s="75" t="s">
        <v>2965</v>
      </c>
    </row>
    <row r="11" spans="1:9" s="64" customFormat="1" ht="39.950000000000003" customHeight="1" x14ac:dyDescent="0.25">
      <c r="A11" s="9" t="s">
        <v>1826</v>
      </c>
      <c r="B11" s="5" t="s">
        <v>51</v>
      </c>
      <c r="C11" s="9" t="s">
        <v>1827</v>
      </c>
      <c r="D11" s="9" t="s">
        <v>1828</v>
      </c>
      <c r="E11" s="38">
        <v>40000</v>
      </c>
      <c r="F11" s="9" t="s">
        <v>1829</v>
      </c>
      <c r="G11" s="65"/>
      <c r="H11" s="74">
        <v>340</v>
      </c>
      <c r="I11" s="75" t="s">
        <v>2965</v>
      </c>
    </row>
    <row r="12" spans="1:9" s="64" customFormat="1" ht="39.950000000000003" customHeight="1" x14ac:dyDescent="0.25">
      <c r="A12" s="5" t="s">
        <v>1905</v>
      </c>
      <c r="B12" s="5" t="s">
        <v>51</v>
      </c>
      <c r="C12" s="5" t="s">
        <v>1906</v>
      </c>
      <c r="D12" s="5" t="s">
        <v>1907</v>
      </c>
      <c r="E12" s="38">
        <v>156000</v>
      </c>
      <c r="F12" s="9" t="s">
        <v>1908</v>
      </c>
      <c r="G12" s="9"/>
      <c r="H12" s="74">
        <v>340</v>
      </c>
      <c r="I12" s="75" t="s">
        <v>2965</v>
      </c>
    </row>
    <row r="13" spans="1:9" s="64" customFormat="1" ht="39.950000000000003" customHeight="1" x14ac:dyDescent="0.25">
      <c r="A13" s="5" t="s">
        <v>1950</v>
      </c>
      <c r="B13" s="5" t="s">
        <v>33</v>
      </c>
      <c r="C13" s="5" t="s">
        <v>1951</v>
      </c>
      <c r="D13" s="5" t="s">
        <v>1952</v>
      </c>
      <c r="E13" s="17">
        <v>40500</v>
      </c>
      <c r="F13" s="5" t="s">
        <v>1939</v>
      </c>
      <c r="G13" s="9"/>
      <c r="H13" s="74">
        <v>340</v>
      </c>
      <c r="I13" s="75" t="s">
        <v>2965</v>
      </c>
    </row>
    <row r="14" spans="1:9" s="64" customFormat="1" ht="39.950000000000003" customHeight="1" x14ac:dyDescent="0.25">
      <c r="A14" s="5" t="s">
        <v>2074</v>
      </c>
      <c r="B14" s="5" t="s">
        <v>51</v>
      </c>
      <c r="C14" s="5" t="s">
        <v>2075</v>
      </c>
      <c r="D14" s="5" t="s">
        <v>2076</v>
      </c>
      <c r="E14" s="38">
        <v>515500</v>
      </c>
      <c r="F14" s="5" t="s">
        <v>648</v>
      </c>
      <c r="G14" s="9"/>
      <c r="H14" s="74">
        <v>340</v>
      </c>
      <c r="I14" s="75" t="s">
        <v>2965</v>
      </c>
    </row>
    <row r="15" spans="1:9" s="64" customFormat="1" ht="39.950000000000003" customHeight="1" x14ac:dyDescent="0.25">
      <c r="A15" s="5" t="s">
        <v>2193</v>
      </c>
      <c r="B15" s="5" t="s">
        <v>33</v>
      </c>
      <c r="C15" s="5" t="s">
        <v>2194</v>
      </c>
      <c r="D15" s="5" t="s">
        <v>2195</v>
      </c>
      <c r="E15" s="71">
        <v>16476.169999999998</v>
      </c>
      <c r="F15" s="5" t="s">
        <v>2196</v>
      </c>
      <c r="G15" s="9"/>
      <c r="H15" s="74">
        <v>340</v>
      </c>
      <c r="I15" s="75" t="s">
        <v>2965</v>
      </c>
    </row>
    <row r="16" spans="1:9" s="64" customFormat="1" ht="39.950000000000003" customHeight="1" x14ac:dyDescent="0.25">
      <c r="A16" s="5" t="s">
        <v>2199</v>
      </c>
      <c r="B16" s="5" t="s">
        <v>33</v>
      </c>
      <c r="C16" s="9" t="s">
        <v>2200</v>
      </c>
      <c r="D16" s="11" t="s">
        <v>2201</v>
      </c>
      <c r="E16" s="71">
        <v>111000</v>
      </c>
      <c r="F16" s="5" t="s">
        <v>2202</v>
      </c>
      <c r="G16" s="9"/>
      <c r="H16" s="74">
        <v>340</v>
      </c>
      <c r="I16" s="75" t="s">
        <v>2965</v>
      </c>
    </row>
    <row r="17" spans="1:9" s="64" customFormat="1" ht="39.950000000000003" customHeight="1" x14ac:dyDescent="0.25">
      <c r="A17" s="5" t="s">
        <v>2250</v>
      </c>
      <c r="B17" s="5" t="s">
        <v>33</v>
      </c>
      <c r="C17" s="5" t="s">
        <v>2251</v>
      </c>
      <c r="D17" s="5" t="s">
        <v>2252</v>
      </c>
      <c r="E17" s="17">
        <v>213318.26</v>
      </c>
      <c r="F17" s="5" t="s">
        <v>2253</v>
      </c>
      <c r="G17" s="5"/>
      <c r="H17" s="74">
        <v>340</v>
      </c>
      <c r="I17" s="75" t="s">
        <v>2965</v>
      </c>
    </row>
    <row r="18" spans="1:9" s="64" customFormat="1" ht="39.950000000000003" customHeight="1" x14ac:dyDescent="0.25">
      <c r="A18" s="9" t="s">
        <v>2325</v>
      </c>
      <c r="B18" s="5" t="s">
        <v>51</v>
      </c>
      <c r="C18" s="9" t="s">
        <v>2326</v>
      </c>
      <c r="D18" s="11" t="s">
        <v>2327</v>
      </c>
      <c r="E18" s="38">
        <v>50000</v>
      </c>
      <c r="F18" s="9" t="s">
        <v>2328</v>
      </c>
      <c r="G18" s="9"/>
      <c r="H18" s="74">
        <v>340</v>
      </c>
      <c r="I18" s="75" t="s">
        <v>2965</v>
      </c>
    </row>
    <row r="19" spans="1:9" s="64" customFormat="1" ht="39.950000000000003" customHeight="1" x14ac:dyDescent="0.25">
      <c r="A19" s="9" t="s">
        <v>2489</v>
      </c>
      <c r="B19" s="5" t="s">
        <v>51</v>
      </c>
      <c r="C19" s="9" t="s">
        <v>2482</v>
      </c>
      <c r="D19" s="9" t="s">
        <v>357</v>
      </c>
      <c r="E19" s="38">
        <v>1884000</v>
      </c>
      <c r="F19" s="9" t="s">
        <v>390</v>
      </c>
      <c r="G19" s="11"/>
      <c r="H19" s="74">
        <v>340</v>
      </c>
      <c r="I19" s="75" t="s">
        <v>2965</v>
      </c>
    </row>
    <row r="20" spans="1:9" s="64" customFormat="1" ht="39.950000000000003" customHeight="1" x14ac:dyDescent="0.25">
      <c r="A20" s="5" t="s">
        <v>2630</v>
      </c>
      <c r="B20" s="5" t="s">
        <v>33</v>
      </c>
      <c r="C20" s="5" t="s">
        <v>2625</v>
      </c>
      <c r="D20" s="5" t="s">
        <v>2631</v>
      </c>
      <c r="E20" s="17">
        <v>101246.7</v>
      </c>
      <c r="F20" s="5" t="s">
        <v>2627</v>
      </c>
      <c r="G20" s="5"/>
      <c r="H20" s="74">
        <v>340</v>
      </c>
      <c r="I20" s="75" t="s">
        <v>2965</v>
      </c>
    </row>
    <row r="21" spans="1:9" s="64" customFormat="1" ht="39.950000000000003" customHeight="1" x14ac:dyDescent="0.25">
      <c r="A21" s="5" t="s">
        <v>2698</v>
      </c>
      <c r="B21" s="5" t="s">
        <v>33</v>
      </c>
      <c r="C21" s="5" t="s">
        <v>2693</v>
      </c>
      <c r="D21" s="5" t="s">
        <v>2699</v>
      </c>
      <c r="E21" s="17">
        <v>261889.72</v>
      </c>
      <c r="F21" s="5" t="s">
        <v>253</v>
      </c>
      <c r="G21" s="5"/>
      <c r="H21" s="74">
        <v>340</v>
      </c>
      <c r="I21" s="75" t="s">
        <v>2965</v>
      </c>
    </row>
    <row r="22" spans="1:9" s="64" customFormat="1" ht="39.950000000000003" customHeight="1" x14ac:dyDescent="0.25">
      <c r="A22" s="9" t="s">
        <v>1250</v>
      </c>
      <c r="B22" s="5" t="s">
        <v>51</v>
      </c>
      <c r="C22" s="9" t="s">
        <v>1251</v>
      </c>
      <c r="D22" s="11" t="s">
        <v>1252</v>
      </c>
      <c r="E22" s="38">
        <v>100000</v>
      </c>
      <c r="F22" s="9" t="s">
        <v>1253</v>
      </c>
      <c r="G22" s="11"/>
      <c r="H22" s="74">
        <v>339</v>
      </c>
      <c r="I22" s="75" t="s">
        <v>2965</v>
      </c>
    </row>
    <row r="23" spans="1:9" s="64" customFormat="1" ht="39.950000000000003" customHeight="1" x14ac:dyDescent="0.25">
      <c r="A23" s="5" t="s">
        <v>2135</v>
      </c>
      <c r="B23" s="5" t="s">
        <v>33</v>
      </c>
      <c r="C23" s="5" t="s">
        <v>2136</v>
      </c>
      <c r="D23" s="5" t="s">
        <v>2137</v>
      </c>
      <c r="E23" s="17">
        <v>306290</v>
      </c>
      <c r="F23" s="5" t="s">
        <v>2138</v>
      </c>
      <c r="G23" s="9"/>
      <c r="H23" s="74">
        <v>338.66666666666669</v>
      </c>
      <c r="I23" s="75" t="s">
        <v>2965</v>
      </c>
    </row>
    <row r="24" spans="1:9" s="64" customFormat="1" ht="39.950000000000003" customHeight="1" x14ac:dyDescent="0.25">
      <c r="A24" s="5" t="s">
        <v>2708</v>
      </c>
      <c r="B24" s="5" t="s">
        <v>51</v>
      </c>
      <c r="C24" s="5" t="s">
        <v>2709</v>
      </c>
      <c r="D24" s="5" t="s">
        <v>1281</v>
      </c>
      <c r="E24" s="38">
        <v>40275</v>
      </c>
      <c r="F24" s="9" t="s">
        <v>134</v>
      </c>
      <c r="G24" s="11"/>
      <c r="H24" s="74">
        <v>338</v>
      </c>
      <c r="I24" s="75" t="s">
        <v>2965</v>
      </c>
    </row>
    <row r="25" spans="1:9" s="64" customFormat="1" ht="39.950000000000003" customHeight="1" x14ac:dyDescent="0.25">
      <c r="A25" s="9" t="s">
        <v>990</v>
      </c>
      <c r="B25" s="5" t="s">
        <v>51</v>
      </c>
      <c r="C25" s="11" t="s">
        <v>991</v>
      </c>
      <c r="D25" s="11" t="s">
        <v>992</v>
      </c>
      <c r="E25" s="38">
        <v>515262.2</v>
      </c>
      <c r="F25" s="9" t="s">
        <v>993</v>
      </c>
      <c r="G25" s="11"/>
      <c r="H25" s="74">
        <v>337.66666666666669</v>
      </c>
      <c r="I25" s="75" t="s">
        <v>2965</v>
      </c>
    </row>
    <row r="26" spans="1:9" s="64" customFormat="1" ht="39.950000000000003" customHeight="1" x14ac:dyDescent="0.25">
      <c r="A26" s="60" t="s">
        <v>2224</v>
      </c>
      <c r="B26" s="5" t="s">
        <v>33</v>
      </c>
      <c r="C26" s="5" t="s">
        <v>2225</v>
      </c>
      <c r="D26" s="5" t="s">
        <v>2226</v>
      </c>
      <c r="E26" s="17">
        <v>821100</v>
      </c>
      <c r="F26" s="5" t="s">
        <v>2220</v>
      </c>
      <c r="G26" s="9"/>
      <c r="H26" s="74">
        <v>337.33333333333331</v>
      </c>
      <c r="I26" s="75" t="s">
        <v>2965</v>
      </c>
    </row>
    <row r="27" spans="1:9" s="64" customFormat="1" ht="39.950000000000003" customHeight="1" x14ac:dyDescent="0.25">
      <c r="A27" s="5" t="s">
        <v>864</v>
      </c>
      <c r="B27" s="5" t="s">
        <v>33</v>
      </c>
      <c r="C27" s="5" t="s">
        <v>865</v>
      </c>
      <c r="D27" s="5" t="s">
        <v>866</v>
      </c>
      <c r="E27" s="38">
        <v>90060.26</v>
      </c>
      <c r="F27" s="5" t="s">
        <v>867</v>
      </c>
      <c r="G27" s="5"/>
      <c r="H27" s="74">
        <v>336</v>
      </c>
      <c r="I27" s="75" t="s">
        <v>2965</v>
      </c>
    </row>
    <row r="28" spans="1:9" s="64" customFormat="1" ht="39.950000000000003" customHeight="1" x14ac:dyDescent="0.25">
      <c r="A28" s="5" t="s">
        <v>1511</v>
      </c>
      <c r="B28" s="5" t="s">
        <v>33</v>
      </c>
      <c r="C28" s="5" t="s">
        <v>1512</v>
      </c>
      <c r="D28" s="5" t="s">
        <v>1513</v>
      </c>
      <c r="E28" s="17">
        <v>85411.67</v>
      </c>
      <c r="F28" s="5" t="s">
        <v>1514</v>
      </c>
      <c r="G28" s="5"/>
      <c r="H28" s="74">
        <v>336</v>
      </c>
      <c r="I28" s="75" t="s">
        <v>2965</v>
      </c>
    </row>
    <row r="29" spans="1:9" s="64" customFormat="1" ht="39.950000000000003" customHeight="1" x14ac:dyDescent="0.25">
      <c r="A29" s="5" t="s">
        <v>2239</v>
      </c>
      <c r="B29" s="5" t="s">
        <v>51</v>
      </c>
      <c r="C29" s="5" t="s">
        <v>2240</v>
      </c>
      <c r="D29" s="5" t="s">
        <v>2241</v>
      </c>
      <c r="E29" s="38">
        <v>75600</v>
      </c>
      <c r="F29" s="9" t="s">
        <v>2242</v>
      </c>
      <c r="G29" s="9"/>
      <c r="H29" s="74">
        <v>336</v>
      </c>
      <c r="I29" s="75" t="s">
        <v>2965</v>
      </c>
    </row>
    <row r="30" spans="1:9" s="64" customFormat="1" ht="39.950000000000003" customHeight="1" x14ac:dyDescent="0.25">
      <c r="A30" s="9" t="s">
        <v>875</v>
      </c>
      <c r="B30" s="5" t="s">
        <v>51</v>
      </c>
      <c r="C30" s="9" t="s">
        <v>876</v>
      </c>
      <c r="D30" s="11" t="s">
        <v>877</v>
      </c>
      <c r="E30" s="38">
        <v>123093.54</v>
      </c>
      <c r="F30" s="9" t="s">
        <v>878</v>
      </c>
      <c r="G30" s="11"/>
      <c r="H30" s="74">
        <v>335.33333333333331</v>
      </c>
      <c r="I30" s="75" t="s">
        <v>2965</v>
      </c>
    </row>
    <row r="31" spans="1:9" s="64" customFormat="1" ht="39.950000000000003" customHeight="1" x14ac:dyDescent="0.25">
      <c r="A31" s="5" t="s">
        <v>1517</v>
      </c>
      <c r="B31" s="5" t="s">
        <v>33</v>
      </c>
      <c r="C31" s="5" t="s">
        <v>1518</v>
      </c>
      <c r="D31" s="5" t="s">
        <v>1519</v>
      </c>
      <c r="E31" s="17">
        <v>150000</v>
      </c>
      <c r="F31" s="5" t="s">
        <v>147</v>
      </c>
      <c r="G31" s="5"/>
      <c r="H31" s="74">
        <v>334.66666666666669</v>
      </c>
      <c r="I31" s="75" t="s">
        <v>2965</v>
      </c>
    </row>
    <row r="32" spans="1:9" s="64" customFormat="1" ht="39.950000000000003" customHeight="1" x14ac:dyDescent="0.25">
      <c r="A32" s="5" t="s">
        <v>2166</v>
      </c>
      <c r="B32" s="5" t="s">
        <v>33</v>
      </c>
      <c r="C32" s="5" t="s">
        <v>2167</v>
      </c>
      <c r="D32" s="5" t="s">
        <v>2168</v>
      </c>
      <c r="E32" s="17">
        <v>220000</v>
      </c>
      <c r="F32" s="5" t="s">
        <v>290</v>
      </c>
      <c r="G32" s="5"/>
      <c r="H32" s="74">
        <v>334.66666666666669</v>
      </c>
      <c r="I32" s="75" t="s">
        <v>2965</v>
      </c>
    </row>
    <row r="33" spans="1:9" s="64" customFormat="1" ht="39.950000000000003" customHeight="1" x14ac:dyDescent="0.25">
      <c r="A33" s="9" t="s">
        <v>2293</v>
      </c>
      <c r="B33" s="5" t="s">
        <v>51</v>
      </c>
      <c r="C33" s="9" t="s">
        <v>2294</v>
      </c>
      <c r="D33" s="11" t="s">
        <v>2295</v>
      </c>
      <c r="E33" s="38">
        <v>100000</v>
      </c>
      <c r="F33" s="9" t="s">
        <v>2296</v>
      </c>
      <c r="G33" s="9"/>
      <c r="H33" s="74">
        <v>334.33333333333331</v>
      </c>
      <c r="I33" s="74" t="s">
        <v>2965</v>
      </c>
    </row>
    <row r="34" spans="1:9" s="64" customFormat="1" ht="39.950000000000003" customHeight="1" x14ac:dyDescent="0.25">
      <c r="A34" s="9" t="s">
        <v>870</v>
      </c>
      <c r="B34" s="5" t="s">
        <v>51</v>
      </c>
      <c r="C34" s="9" t="s">
        <v>871</v>
      </c>
      <c r="D34" s="9" t="s">
        <v>872</v>
      </c>
      <c r="E34" s="38">
        <v>569175.64</v>
      </c>
      <c r="F34" s="9" t="s">
        <v>873</v>
      </c>
      <c r="G34" s="11"/>
      <c r="H34" s="74">
        <v>334</v>
      </c>
      <c r="I34" s="75" t="s">
        <v>2965</v>
      </c>
    </row>
    <row r="35" spans="1:9" s="64" customFormat="1" ht="39.950000000000003" customHeight="1" x14ac:dyDescent="0.25">
      <c r="A35" s="9" t="s">
        <v>893</v>
      </c>
      <c r="B35" s="5" t="s">
        <v>51</v>
      </c>
      <c r="C35" s="9" t="s">
        <v>894</v>
      </c>
      <c r="D35" s="9" t="s">
        <v>895</v>
      </c>
      <c r="E35" s="38">
        <v>188750</v>
      </c>
      <c r="F35" s="5" t="s">
        <v>896</v>
      </c>
      <c r="G35" s="9"/>
      <c r="H35" s="74">
        <v>333</v>
      </c>
      <c r="I35" s="75" t="s">
        <v>2965</v>
      </c>
    </row>
    <row r="36" spans="1:9" s="64" customFormat="1" ht="39.950000000000003" customHeight="1" x14ac:dyDescent="0.25">
      <c r="A36" s="5" t="s">
        <v>2571</v>
      </c>
      <c r="B36" s="5" t="s">
        <v>33</v>
      </c>
      <c r="C36" s="5" t="s">
        <v>2572</v>
      </c>
      <c r="D36" s="5" t="s">
        <v>2573</v>
      </c>
      <c r="E36" s="17">
        <v>702740.64</v>
      </c>
      <c r="F36" s="5" t="s">
        <v>253</v>
      </c>
      <c r="G36" s="5"/>
      <c r="H36" s="74">
        <v>332.66666666666669</v>
      </c>
      <c r="I36" s="75" t="s">
        <v>2965</v>
      </c>
    </row>
    <row r="37" spans="1:9" s="64" customFormat="1" ht="39.950000000000003" customHeight="1" x14ac:dyDescent="0.25">
      <c r="A37" s="5" t="s">
        <v>111</v>
      </c>
      <c r="B37" s="5" t="s">
        <v>51</v>
      </c>
      <c r="C37" s="5" t="s">
        <v>112</v>
      </c>
      <c r="D37" s="5" t="s">
        <v>113</v>
      </c>
      <c r="E37" s="17">
        <v>244231.32</v>
      </c>
      <c r="F37" s="5" t="s">
        <v>114</v>
      </c>
      <c r="G37" s="11"/>
      <c r="H37" s="74">
        <v>330.66666666666669</v>
      </c>
      <c r="I37" s="75" t="s">
        <v>2965</v>
      </c>
    </row>
    <row r="38" spans="1:9" s="64" customFormat="1" ht="39.950000000000003" customHeight="1" x14ac:dyDescent="0.25">
      <c r="A38" s="5" t="s">
        <v>264</v>
      </c>
      <c r="B38" s="5" t="s">
        <v>33</v>
      </c>
      <c r="C38" s="5" t="s">
        <v>258</v>
      </c>
      <c r="D38" s="5" t="s">
        <v>265</v>
      </c>
      <c r="E38" s="17">
        <v>28000</v>
      </c>
      <c r="F38" s="5" t="s">
        <v>261</v>
      </c>
      <c r="G38" s="65"/>
      <c r="H38" s="74">
        <v>330.66666666666669</v>
      </c>
      <c r="I38" s="75" t="s">
        <v>2965</v>
      </c>
    </row>
    <row r="39" spans="1:9" s="64" customFormat="1" ht="39.950000000000003" customHeight="1" x14ac:dyDescent="0.25">
      <c r="A39" s="5" t="s">
        <v>2245</v>
      </c>
      <c r="B39" s="5" t="s">
        <v>33</v>
      </c>
      <c r="C39" s="5" t="s">
        <v>2246</v>
      </c>
      <c r="D39" s="5" t="s">
        <v>2247</v>
      </c>
      <c r="E39" s="17">
        <v>300000</v>
      </c>
      <c r="F39" s="5" t="s">
        <v>1442</v>
      </c>
      <c r="G39" s="5"/>
      <c r="H39" s="74">
        <v>330.66666666666669</v>
      </c>
      <c r="I39" s="75" t="s">
        <v>2965</v>
      </c>
    </row>
    <row r="40" spans="1:9" s="64" customFormat="1" ht="39.950000000000003" customHeight="1" x14ac:dyDescent="0.25">
      <c r="A40" s="5" t="s">
        <v>1772</v>
      </c>
      <c r="B40" s="5" t="s">
        <v>33</v>
      </c>
      <c r="C40" s="5" t="s">
        <v>1773</v>
      </c>
      <c r="D40" s="5" t="s">
        <v>1774</v>
      </c>
      <c r="E40" s="17">
        <v>395360</v>
      </c>
      <c r="F40" s="5" t="s">
        <v>73</v>
      </c>
      <c r="G40" s="5"/>
      <c r="H40" s="74">
        <v>330.33333333333331</v>
      </c>
      <c r="I40" s="75" t="s">
        <v>2965</v>
      </c>
    </row>
    <row r="41" spans="1:9" s="64" customFormat="1" ht="39.950000000000003" customHeight="1" x14ac:dyDescent="0.25">
      <c r="A41" s="9" t="s">
        <v>1423</v>
      </c>
      <c r="B41" s="5" t="s">
        <v>51</v>
      </c>
      <c r="C41" s="9" t="s">
        <v>1424</v>
      </c>
      <c r="D41" s="9" t="s">
        <v>1425</v>
      </c>
      <c r="E41" s="38">
        <v>445040.3</v>
      </c>
      <c r="F41" s="9" t="s">
        <v>1426</v>
      </c>
      <c r="G41" s="9"/>
      <c r="H41" s="74">
        <v>329.33333333333331</v>
      </c>
      <c r="I41" s="75" t="s">
        <v>2965</v>
      </c>
    </row>
    <row r="42" spans="1:9" s="64" customFormat="1" ht="39.950000000000003" customHeight="1" x14ac:dyDescent="0.25">
      <c r="A42" s="5" t="s">
        <v>2304</v>
      </c>
      <c r="B42" s="5" t="s">
        <v>33</v>
      </c>
      <c r="C42" s="5" t="s">
        <v>2305</v>
      </c>
      <c r="D42" s="5" t="s">
        <v>2306</v>
      </c>
      <c r="E42" s="17">
        <v>150000</v>
      </c>
      <c r="F42" s="5" t="s">
        <v>2307</v>
      </c>
      <c r="G42" s="5"/>
      <c r="H42" s="74">
        <v>329.33333333333331</v>
      </c>
      <c r="I42" s="75" t="s">
        <v>2965</v>
      </c>
    </row>
    <row r="43" spans="1:9" s="64" customFormat="1" ht="39.950000000000003" customHeight="1" x14ac:dyDescent="0.25">
      <c r="A43" s="5" t="s">
        <v>2285</v>
      </c>
      <c r="B43" s="5" t="s">
        <v>33</v>
      </c>
      <c r="C43" s="5" t="s">
        <v>2286</v>
      </c>
      <c r="D43" s="63" t="s">
        <v>2292</v>
      </c>
      <c r="E43" s="17">
        <v>600000</v>
      </c>
      <c r="F43" s="5" t="s">
        <v>2288</v>
      </c>
      <c r="G43" s="5"/>
      <c r="H43" s="74">
        <v>328.33333333333331</v>
      </c>
      <c r="I43" s="75" t="s">
        <v>2965</v>
      </c>
    </row>
    <row r="44" spans="1:9" s="64" customFormat="1" ht="39.950000000000003" customHeight="1" x14ac:dyDescent="0.25">
      <c r="A44" s="5" t="s">
        <v>2320</v>
      </c>
      <c r="B44" s="5" t="s">
        <v>33</v>
      </c>
      <c r="C44" s="5" t="s">
        <v>2321</v>
      </c>
      <c r="D44" s="5" t="s">
        <v>2322</v>
      </c>
      <c r="E44" s="17">
        <v>350000</v>
      </c>
      <c r="F44" s="5" t="s">
        <v>290</v>
      </c>
      <c r="G44" s="5"/>
      <c r="H44" s="74">
        <v>328.33333333333331</v>
      </c>
      <c r="I44" s="75" t="s">
        <v>2965</v>
      </c>
    </row>
    <row r="45" spans="1:9" s="64" customFormat="1" ht="39.950000000000003" customHeight="1" x14ac:dyDescent="0.25">
      <c r="A45" s="60" t="s">
        <v>1979</v>
      </c>
      <c r="B45" s="5" t="s">
        <v>33</v>
      </c>
      <c r="C45" s="5" t="s">
        <v>1959</v>
      </c>
      <c r="D45" s="5" t="s">
        <v>1980</v>
      </c>
      <c r="E45" s="17">
        <v>254000</v>
      </c>
      <c r="F45" s="5" t="s">
        <v>290</v>
      </c>
      <c r="G45" s="5"/>
      <c r="H45" s="74">
        <v>327.33333333333331</v>
      </c>
      <c r="I45" s="75" t="s">
        <v>2965</v>
      </c>
    </row>
    <row r="46" spans="1:9" s="64" customFormat="1" ht="39.950000000000003" customHeight="1" x14ac:dyDescent="0.25">
      <c r="A46" s="9" t="s">
        <v>2534</v>
      </c>
      <c r="B46" s="5" t="s">
        <v>51</v>
      </c>
      <c r="C46" s="9" t="s">
        <v>2535</v>
      </c>
      <c r="D46" s="11" t="s">
        <v>2536</v>
      </c>
      <c r="E46" s="38">
        <v>329350</v>
      </c>
      <c r="F46" s="9" t="s">
        <v>2138</v>
      </c>
      <c r="G46" s="11"/>
      <c r="H46" s="74">
        <v>326.33333333333331</v>
      </c>
      <c r="I46" s="75" t="s">
        <v>2965</v>
      </c>
    </row>
    <row r="47" spans="1:9" s="64" customFormat="1" ht="39.950000000000003" customHeight="1" x14ac:dyDescent="0.25">
      <c r="A47" s="5" t="s">
        <v>1757</v>
      </c>
      <c r="B47" s="5" t="s">
        <v>33</v>
      </c>
      <c r="C47" s="5" t="s">
        <v>172</v>
      </c>
      <c r="D47" s="5" t="s">
        <v>1758</v>
      </c>
      <c r="E47" s="17">
        <v>120720</v>
      </c>
      <c r="F47" s="5" t="s">
        <v>1759</v>
      </c>
      <c r="G47" s="5"/>
      <c r="H47" s="74">
        <v>326</v>
      </c>
      <c r="I47" s="75" t="s">
        <v>2965</v>
      </c>
    </row>
    <row r="48" spans="1:9" s="64" customFormat="1" ht="39.950000000000003" customHeight="1" x14ac:dyDescent="0.25">
      <c r="A48" s="9" t="s">
        <v>2339</v>
      </c>
      <c r="B48" s="5" t="s">
        <v>51</v>
      </c>
      <c r="C48" s="9" t="s">
        <v>2332</v>
      </c>
      <c r="D48" s="9" t="s">
        <v>2340</v>
      </c>
      <c r="E48" s="38">
        <v>107340</v>
      </c>
      <c r="F48" s="9" t="s">
        <v>2334</v>
      </c>
      <c r="G48" s="9"/>
      <c r="H48" s="74">
        <v>325</v>
      </c>
      <c r="I48" s="75" t="s">
        <v>2965</v>
      </c>
    </row>
    <row r="49" spans="1:9" s="64" customFormat="1" ht="76.5" x14ac:dyDescent="0.25">
      <c r="A49" s="5" t="s">
        <v>2100</v>
      </c>
      <c r="B49" s="5" t="s">
        <v>33</v>
      </c>
      <c r="C49" s="5" t="s">
        <v>1964</v>
      </c>
      <c r="D49" s="5" t="s">
        <v>2101</v>
      </c>
      <c r="E49" s="17">
        <v>328800</v>
      </c>
      <c r="F49" s="5" t="s">
        <v>63</v>
      </c>
      <c r="G49" s="9"/>
      <c r="H49" s="74">
        <v>324.66666666666669</v>
      </c>
      <c r="I49" s="75" t="s">
        <v>2965</v>
      </c>
    </row>
    <row r="50" spans="1:9" s="64" customFormat="1" ht="39.950000000000003" customHeight="1" x14ac:dyDescent="0.25">
      <c r="A50" s="9" t="s">
        <v>967</v>
      </c>
      <c r="B50" s="5" t="s">
        <v>51</v>
      </c>
      <c r="C50" s="9" t="s">
        <v>968</v>
      </c>
      <c r="D50" s="5" t="s">
        <v>969</v>
      </c>
      <c r="E50" s="38">
        <v>578902.54</v>
      </c>
      <c r="F50" s="9" t="s">
        <v>970</v>
      </c>
      <c r="G50" s="11"/>
      <c r="H50" s="74">
        <v>323</v>
      </c>
      <c r="I50" s="75" t="s">
        <v>2965</v>
      </c>
    </row>
    <row r="51" spans="1:9" s="64" customFormat="1" ht="39.950000000000003" customHeight="1" x14ac:dyDescent="0.25">
      <c r="A51" s="5" t="s">
        <v>2592</v>
      </c>
      <c r="B51" s="5" t="s">
        <v>33</v>
      </c>
      <c r="C51" s="5" t="s">
        <v>2593</v>
      </c>
      <c r="D51" s="5" t="s">
        <v>2594</v>
      </c>
      <c r="E51" s="17">
        <v>240000</v>
      </c>
      <c r="F51" s="5" t="s">
        <v>2595</v>
      </c>
      <c r="G51" s="5"/>
      <c r="H51" s="74">
        <v>323</v>
      </c>
      <c r="I51" s="75" t="s">
        <v>2965</v>
      </c>
    </row>
    <row r="52" spans="1:9" s="64" customFormat="1" ht="39.950000000000003" customHeight="1" x14ac:dyDescent="0.25">
      <c r="A52" s="9" t="s">
        <v>1487</v>
      </c>
      <c r="B52" s="5" t="s">
        <v>51</v>
      </c>
      <c r="C52" s="9" t="s">
        <v>1488</v>
      </c>
      <c r="D52" s="9" t="s">
        <v>1489</v>
      </c>
      <c r="E52" s="38">
        <v>51420</v>
      </c>
      <c r="F52" s="9" t="s">
        <v>1490</v>
      </c>
      <c r="G52" s="65"/>
      <c r="H52" s="74">
        <v>322</v>
      </c>
      <c r="I52" s="75" t="s">
        <v>2965</v>
      </c>
    </row>
    <row r="53" spans="1:9" s="64" customFormat="1" ht="39.950000000000003" customHeight="1" x14ac:dyDescent="0.25">
      <c r="A53" s="60" t="s">
        <v>1680</v>
      </c>
      <c r="B53" s="5" t="s">
        <v>33</v>
      </c>
      <c r="C53" s="5" t="s">
        <v>1676</v>
      </c>
      <c r="D53" s="5" t="s">
        <v>1681</v>
      </c>
      <c r="E53" s="17">
        <v>145400</v>
      </c>
      <c r="F53" s="5" t="s">
        <v>108</v>
      </c>
      <c r="G53" s="5"/>
      <c r="H53" s="74">
        <v>322</v>
      </c>
      <c r="I53" s="75" t="s">
        <v>2965</v>
      </c>
    </row>
    <row r="54" spans="1:9" s="64" customFormat="1" ht="39.950000000000003" customHeight="1" x14ac:dyDescent="0.25">
      <c r="A54" s="5" t="s">
        <v>2213</v>
      </c>
      <c r="B54" s="5" t="s">
        <v>51</v>
      </c>
      <c r="C54" s="5" t="s">
        <v>2208</v>
      </c>
      <c r="D54" s="5" t="s">
        <v>2214</v>
      </c>
      <c r="E54" s="38">
        <v>144000</v>
      </c>
      <c r="F54" s="9" t="s">
        <v>2210</v>
      </c>
      <c r="G54" s="9"/>
      <c r="H54" s="74">
        <v>322</v>
      </c>
      <c r="I54" s="75" t="s">
        <v>2965</v>
      </c>
    </row>
    <row r="55" spans="1:9" s="64" customFormat="1" ht="39.950000000000003" customHeight="1" x14ac:dyDescent="0.25">
      <c r="A55" s="5" t="s">
        <v>2032</v>
      </c>
      <c r="B55" s="5" t="s">
        <v>33</v>
      </c>
      <c r="C55" s="5" t="s">
        <v>2028</v>
      </c>
      <c r="D55" s="5" t="s">
        <v>2033</v>
      </c>
      <c r="E55" s="17">
        <v>500000</v>
      </c>
      <c r="F55" s="5" t="s">
        <v>73</v>
      </c>
      <c r="G55" s="5"/>
      <c r="H55" s="74">
        <v>320.66666666666669</v>
      </c>
      <c r="I55" s="75" t="s">
        <v>2965</v>
      </c>
    </row>
    <row r="56" spans="1:9" s="64" customFormat="1" ht="39.950000000000003" customHeight="1" x14ac:dyDescent="0.25">
      <c r="A56" s="5" t="s">
        <v>2182</v>
      </c>
      <c r="B56" s="5" t="s">
        <v>51</v>
      </c>
      <c r="C56" s="5" t="s">
        <v>2183</v>
      </c>
      <c r="D56" s="5" t="s">
        <v>2184</v>
      </c>
      <c r="E56" s="38">
        <v>73120.100000000006</v>
      </c>
      <c r="F56" s="9" t="s">
        <v>2185</v>
      </c>
      <c r="G56" s="9"/>
      <c r="H56" s="74">
        <v>320.66666666666669</v>
      </c>
      <c r="I56" s="75" t="s">
        <v>2965</v>
      </c>
    </row>
    <row r="57" spans="1:9" s="64" customFormat="1" ht="39.950000000000003" customHeight="1" x14ac:dyDescent="0.25">
      <c r="A57" s="5" t="s">
        <v>1381</v>
      </c>
      <c r="B57" s="5" t="s">
        <v>33</v>
      </c>
      <c r="C57" s="5" t="s">
        <v>1382</v>
      </c>
      <c r="D57" s="5" t="s">
        <v>1383</v>
      </c>
      <c r="E57" s="17">
        <v>100000</v>
      </c>
      <c r="F57" s="5" t="s">
        <v>1384</v>
      </c>
      <c r="G57" s="5"/>
      <c r="H57" s="74">
        <v>320.33333333333331</v>
      </c>
      <c r="I57" s="75" t="s">
        <v>2965</v>
      </c>
    </row>
    <row r="58" spans="1:9" s="64" customFormat="1" ht="39.950000000000003" customHeight="1" x14ac:dyDescent="0.25">
      <c r="A58" s="5" t="s">
        <v>2813</v>
      </c>
      <c r="B58" s="5" t="s">
        <v>33</v>
      </c>
      <c r="C58" s="5" t="s">
        <v>2807</v>
      </c>
      <c r="D58" s="5" t="s">
        <v>2814</v>
      </c>
      <c r="E58" s="17">
        <v>367680</v>
      </c>
      <c r="F58" s="5" t="s">
        <v>73</v>
      </c>
      <c r="G58" s="5"/>
      <c r="H58" s="74">
        <v>319.66666666666669</v>
      </c>
      <c r="I58" s="75" t="s">
        <v>2965</v>
      </c>
    </row>
    <row r="59" spans="1:9" s="64" customFormat="1" ht="39.950000000000003" customHeight="1" x14ac:dyDescent="0.25">
      <c r="A59" s="5" t="s">
        <v>2059</v>
      </c>
      <c r="B59" s="5" t="s">
        <v>33</v>
      </c>
      <c r="C59" s="5" t="s">
        <v>2060</v>
      </c>
      <c r="D59" s="5" t="s">
        <v>2061</v>
      </c>
      <c r="E59" s="17">
        <v>259200</v>
      </c>
      <c r="F59" s="5" t="s">
        <v>859</v>
      </c>
      <c r="G59" s="5"/>
      <c r="H59" s="74">
        <v>319.33333333333331</v>
      </c>
      <c r="I59" s="75" t="s">
        <v>2965</v>
      </c>
    </row>
    <row r="60" spans="1:9" s="64" customFormat="1" ht="39.950000000000003" customHeight="1" x14ac:dyDescent="0.25">
      <c r="A60" s="5" t="s">
        <v>2822</v>
      </c>
      <c r="B60" s="5" t="s">
        <v>33</v>
      </c>
      <c r="C60" s="5" t="s">
        <v>2816</v>
      </c>
      <c r="D60" s="5" t="s">
        <v>2823</v>
      </c>
      <c r="E60" s="17">
        <v>428520</v>
      </c>
      <c r="F60" s="5" t="s">
        <v>2818</v>
      </c>
      <c r="G60" s="9"/>
      <c r="H60" s="74">
        <v>319.33333333333331</v>
      </c>
      <c r="I60" s="75" t="s">
        <v>2965</v>
      </c>
    </row>
    <row r="61" spans="1:9" s="64" customFormat="1" ht="39.950000000000003" customHeight="1" x14ac:dyDescent="0.25">
      <c r="A61" s="5" t="s">
        <v>2503</v>
      </c>
      <c r="B61" s="5" t="s">
        <v>33</v>
      </c>
      <c r="C61" s="5" t="s">
        <v>2504</v>
      </c>
      <c r="D61" s="5" t="s">
        <v>2505</v>
      </c>
      <c r="E61" s="17">
        <v>770400</v>
      </c>
      <c r="F61" s="5" t="s">
        <v>73</v>
      </c>
      <c r="G61" s="5"/>
      <c r="H61" s="74">
        <v>318.33333333333331</v>
      </c>
      <c r="I61" s="75" t="s">
        <v>2965</v>
      </c>
    </row>
    <row r="62" spans="1:9" s="64" customFormat="1" ht="39.950000000000003" customHeight="1" x14ac:dyDescent="0.25">
      <c r="A62" s="60" t="s">
        <v>1785</v>
      </c>
      <c r="B62" s="5" t="s">
        <v>33</v>
      </c>
      <c r="C62" s="5" t="s">
        <v>1786</v>
      </c>
      <c r="D62" s="5" t="s">
        <v>1787</v>
      </c>
      <c r="E62" s="17">
        <v>430566</v>
      </c>
      <c r="F62" s="5" t="s">
        <v>73</v>
      </c>
      <c r="G62" s="5"/>
      <c r="H62" s="74">
        <v>318</v>
      </c>
      <c r="I62" s="75" t="s">
        <v>2965</v>
      </c>
    </row>
    <row r="63" spans="1:9" s="64" customFormat="1" ht="39.950000000000003" customHeight="1" x14ac:dyDescent="0.25">
      <c r="A63" s="5" t="s">
        <v>1689</v>
      </c>
      <c r="B63" s="5" t="s">
        <v>33</v>
      </c>
      <c r="C63" s="5" t="s">
        <v>1690</v>
      </c>
      <c r="D63" s="5" t="s">
        <v>1691</v>
      </c>
      <c r="E63" s="17">
        <v>297841</v>
      </c>
      <c r="F63" s="5" t="s">
        <v>253</v>
      </c>
      <c r="G63" s="5"/>
      <c r="H63" s="74">
        <v>317.66666666666669</v>
      </c>
      <c r="I63" s="75" t="s">
        <v>2965</v>
      </c>
    </row>
    <row r="64" spans="1:9" s="64" customFormat="1" ht="39.950000000000003" customHeight="1" x14ac:dyDescent="0.25">
      <c r="A64" s="5" t="s">
        <v>2233</v>
      </c>
      <c r="B64" s="5" t="s">
        <v>51</v>
      </c>
      <c r="C64" s="5" t="s">
        <v>2234</v>
      </c>
      <c r="D64" s="5" t="s">
        <v>2235</v>
      </c>
      <c r="E64" s="38">
        <v>340000</v>
      </c>
      <c r="F64" s="9" t="s">
        <v>2236</v>
      </c>
      <c r="G64" s="9"/>
      <c r="H64" s="74">
        <v>317</v>
      </c>
      <c r="I64" s="75" t="s">
        <v>2965</v>
      </c>
    </row>
    <row r="65" spans="1:9" s="64" customFormat="1" ht="39.950000000000003" customHeight="1" x14ac:dyDescent="0.25">
      <c r="A65" s="5" t="s">
        <v>2666</v>
      </c>
      <c r="B65" s="5" t="s">
        <v>33</v>
      </c>
      <c r="C65" s="5" t="s">
        <v>2667</v>
      </c>
      <c r="D65" s="5" t="s">
        <v>2668</v>
      </c>
      <c r="E65" s="17">
        <v>379232</v>
      </c>
      <c r="F65" s="5" t="s">
        <v>73</v>
      </c>
      <c r="G65" s="5"/>
      <c r="H65" s="74">
        <v>316.33333333333331</v>
      </c>
      <c r="I65" s="75" t="s">
        <v>2965</v>
      </c>
    </row>
    <row r="66" spans="1:9" s="64" customFormat="1" ht="39.950000000000003" customHeight="1" x14ac:dyDescent="0.25">
      <c r="A66" s="5" t="s">
        <v>2681</v>
      </c>
      <c r="B66" s="5" t="s">
        <v>33</v>
      </c>
      <c r="C66" s="5" t="s">
        <v>2676</v>
      </c>
      <c r="D66" s="5" t="s">
        <v>2682</v>
      </c>
      <c r="E66" s="17">
        <v>448880</v>
      </c>
      <c r="F66" s="5" t="s">
        <v>73</v>
      </c>
      <c r="G66" s="5"/>
      <c r="H66" s="74">
        <v>316.33333333333331</v>
      </c>
      <c r="I66" s="75" t="s">
        <v>2965</v>
      </c>
    </row>
    <row r="67" spans="1:9" s="64" customFormat="1" ht="39.950000000000003" customHeight="1" x14ac:dyDescent="0.25">
      <c r="A67" s="60" t="s">
        <v>1616</v>
      </c>
      <c r="B67" s="5" t="s">
        <v>33</v>
      </c>
      <c r="C67" s="5" t="s">
        <v>1617</v>
      </c>
      <c r="D67" s="5" t="s">
        <v>1618</v>
      </c>
      <c r="E67" s="17">
        <v>527498.06999999995</v>
      </c>
      <c r="F67" s="5" t="s">
        <v>108</v>
      </c>
      <c r="G67" s="5"/>
      <c r="H67" s="74">
        <v>316</v>
      </c>
      <c r="I67" s="75" t="s">
        <v>2965</v>
      </c>
    </row>
    <row r="68" spans="1:9" s="64" customFormat="1" ht="39.950000000000003" customHeight="1" x14ac:dyDescent="0.25">
      <c r="A68" s="60" t="s">
        <v>651</v>
      </c>
      <c r="B68" s="5" t="s">
        <v>33</v>
      </c>
      <c r="C68" s="5" t="s">
        <v>652</v>
      </c>
      <c r="D68" s="5" t="s">
        <v>653</v>
      </c>
      <c r="E68" s="17">
        <v>199191.12</v>
      </c>
      <c r="F68" s="5" t="s">
        <v>654</v>
      </c>
      <c r="G68" s="5"/>
      <c r="H68" s="74">
        <v>315.33333333333331</v>
      </c>
      <c r="I68" s="75" t="s">
        <v>2965</v>
      </c>
    </row>
    <row r="69" spans="1:9" s="64" customFormat="1" ht="39.950000000000003" customHeight="1" x14ac:dyDescent="0.25">
      <c r="A69" s="5" t="s">
        <v>1846</v>
      </c>
      <c r="B69" s="5" t="s">
        <v>33</v>
      </c>
      <c r="C69" s="5" t="s">
        <v>1847</v>
      </c>
      <c r="D69" s="5" t="s">
        <v>1848</v>
      </c>
      <c r="E69" s="17">
        <v>500000</v>
      </c>
      <c r="F69" s="5" t="s">
        <v>73</v>
      </c>
      <c r="G69" s="5"/>
      <c r="H69" s="74">
        <v>315.33333333333331</v>
      </c>
      <c r="I69" s="75" t="s">
        <v>2965</v>
      </c>
    </row>
    <row r="70" spans="1:9" s="64" customFormat="1" ht="39.950000000000003" customHeight="1" x14ac:dyDescent="0.25">
      <c r="A70" s="5" t="s">
        <v>2278</v>
      </c>
      <c r="B70" s="5" t="s">
        <v>33</v>
      </c>
      <c r="C70" s="5" t="s">
        <v>2279</v>
      </c>
      <c r="D70" s="5" t="s">
        <v>2280</v>
      </c>
      <c r="E70" s="17">
        <v>449060</v>
      </c>
      <c r="F70" s="5" t="s">
        <v>201</v>
      </c>
      <c r="G70" s="5"/>
      <c r="H70" s="74">
        <v>315.33333333333331</v>
      </c>
      <c r="I70" s="75" t="s">
        <v>2965</v>
      </c>
    </row>
    <row r="71" spans="1:9" s="64" customFormat="1" ht="39.950000000000003" customHeight="1" x14ac:dyDescent="0.25">
      <c r="A71" s="5" t="s">
        <v>2659</v>
      </c>
      <c r="B71" s="5" t="s">
        <v>33</v>
      </c>
      <c r="C71" s="5" t="s">
        <v>2660</v>
      </c>
      <c r="D71" s="5" t="s">
        <v>2661</v>
      </c>
      <c r="E71" s="17">
        <v>378996</v>
      </c>
      <c r="F71" s="5" t="s">
        <v>73</v>
      </c>
      <c r="G71" s="5"/>
      <c r="H71" s="74">
        <v>315</v>
      </c>
      <c r="I71" s="75" t="s">
        <v>2965</v>
      </c>
    </row>
    <row r="72" spans="1:9" s="64" customFormat="1" ht="39.950000000000003" customHeight="1" x14ac:dyDescent="0.25">
      <c r="A72" s="5" t="s">
        <v>1528</v>
      </c>
      <c r="B72" s="5" t="s">
        <v>33</v>
      </c>
      <c r="C72" s="5" t="s">
        <v>1529</v>
      </c>
      <c r="D72" s="5" t="s">
        <v>1530</v>
      </c>
      <c r="E72" s="17">
        <v>209880</v>
      </c>
      <c r="F72" s="5" t="s">
        <v>73</v>
      </c>
      <c r="G72" s="5"/>
      <c r="H72" s="74">
        <v>314</v>
      </c>
      <c r="I72" s="75" t="s">
        <v>2965</v>
      </c>
    </row>
    <row r="73" spans="1:9" s="64" customFormat="1" ht="39.950000000000003" customHeight="1" x14ac:dyDescent="0.25">
      <c r="A73" s="5" t="s">
        <v>2103</v>
      </c>
      <c r="B73" s="5" t="s">
        <v>33</v>
      </c>
      <c r="C73" s="5" t="s">
        <v>2104</v>
      </c>
      <c r="D73" s="5" t="s">
        <v>2105</v>
      </c>
      <c r="E73" s="17">
        <v>1881455</v>
      </c>
      <c r="F73" s="5" t="s">
        <v>73</v>
      </c>
      <c r="G73" s="5"/>
      <c r="H73" s="74">
        <v>314</v>
      </c>
      <c r="I73" s="75" t="s">
        <v>2965</v>
      </c>
    </row>
    <row r="74" spans="1:9" s="64" customFormat="1" ht="39.950000000000003" customHeight="1" x14ac:dyDescent="0.25">
      <c r="A74" s="60" t="s">
        <v>929</v>
      </c>
      <c r="B74" s="5" t="s">
        <v>33</v>
      </c>
      <c r="C74" s="5" t="s">
        <v>930</v>
      </c>
      <c r="D74" s="5" t="s">
        <v>931</v>
      </c>
      <c r="E74" s="17">
        <v>300000</v>
      </c>
      <c r="F74" s="5" t="s">
        <v>932</v>
      </c>
      <c r="G74" s="5"/>
      <c r="H74" s="74">
        <v>313.33333333333331</v>
      </c>
      <c r="I74" s="75" t="s">
        <v>2965</v>
      </c>
    </row>
    <row r="75" spans="1:9" s="64" customFormat="1" ht="39.950000000000003" customHeight="1" x14ac:dyDescent="0.25">
      <c r="A75" s="5" t="s">
        <v>1036</v>
      </c>
      <c r="B75" s="5" t="s">
        <v>33</v>
      </c>
      <c r="C75" s="5" t="s">
        <v>1037</v>
      </c>
      <c r="D75" s="5" t="s">
        <v>1038</v>
      </c>
      <c r="E75" s="17">
        <v>54500</v>
      </c>
      <c r="F75" s="5" t="s">
        <v>290</v>
      </c>
      <c r="G75" s="5"/>
      <c r="H75" s="74">
        <v>313.33333333333331</v>
      </c>
      <c r="I75" s="75" t="s">
        <v>2965</v>
      </c>
    </row>
    <row r="76" spans="1:9" s="64" customFormat="1" ht="39.950000000000003" customHeight="1" x14ac:dyDescent="0.25">
      <c r="A76" s="5" t="s">
        <v>1983</v>
      </c>
      <c r="B76" s="5" t="s">
        <v>33</v>
      </c>
      <c r="C76" s="5" t="s">
        <v>1946</v>
      </c>
      <c r="D76" s="5" t="s">
        <v>1982</v>
      </c>
      <c r="E76" s="17">
        <v>92400</v>
      </c>
      <c r="F76" s="5" t="s">
        <v>728</v>
      </c>
      <c r="G76" s="5"/>
      <c r="H76" s="74">
        <v>313.33333333333331</v>
      </c>
      <c r="I76" s="75" t="s">
        <v>2965</v>
      </c>
    </row>
    <row r="77" spans="1:9" s="64" customFormat="1" ht="39.950000000000003" customHeight="1" x14ac:dyDescent="0.25">
      <c r="A77" s="5" t="s">
        <v>2797</v>
      </c>
      <c r="B77" s="5" t="s">
        <v>33</v>
      </c>
      <c r="C77" s="5" t="s">
        <v>2798</v>
      </c>
      <c r="D77" s="5" t="s">
        <v>2799</v>
      </c>
      <c r="E77" s="17">
        <v>343320</v>
      </c>
      <c r="F77" s="5" t="s">
        <v>73</v>
      </c>
      <c r="G77" s="5"/>
      <c r="H77" s="74">
        <v>312.33333333333331</v>
      </c>
      <c r="I77" s="75" t="s">
        <v>2965</v>
      </c>
    </row>
    <row r="78" spans="1:9" s="64" customFormat="1" ht="39.950000000000003" customHeight="1" x14ac:dyDescent="0.25">
      <c r="A78" s="5" t="s">
        <v>42</v>
      </c>
      <c r="B78" s="5" t="s">
        <v>33</v>
      </c>
      <c r="C78" s="5" t="s">
        <v>43</v>
      </c>
      <c r="D78" s="5" t="s">
        <v>44</v>
      </c>
      <c r="E78" s="17">
        <v>45000</v>
      </c>
      <c r="F78" s="5" t="s">
        <v>46</v>
      </c>
      <c r="G78" s="9"/>
      <c r="H78" s="74">
        <v>311.33333333333331</v>
      </c>
      <c r="I78" s="75" t="s">
        <v>2965</v>
      </c>
    </row>
    <row r="79" spans="1:9" s="64" customFormat="1" ht="39.950000000000003" customHeight="1" x14ac:dyDescent="0.25">
      <c r="A79" s="5" t="s">
        <v>205</v>
      </c>
      <c r="B79" s="5" t="s">
        <v>33</v>
      </c>
      <c r="C79" s="5" t="s">
        <v>199</v>
      </c>
      <c r="D79" s="5" t="s">
        <v>206</v>
      </c>
      <c r="E79" s="17">
        <v>207810</v>
      </c>
      <c r="F79" s="5" t="s">
        <v>201</v>
      </c>
      <c r="G79" s="5"/>
      <c r="H79" s="74">
        <v>311.33333333333331</v>
      </c>
      <c r="I79" s="75" t="s">
        <v>2965</v>
      </c>
    </row>
    <row r="80" spans="1:9" s="64" customFormat="1" ht="39.950000000000003" customHeight="1" x14ac:dyDescent="0.25">
      <c r="A80" s="5" t="s">
        <v>685</v>
      </c>
      <c r="B80" s="5" t="s">
        <v>33</v>
      </c>
      <c r="C80" s="5" t="s">
        <v>686</v>
      </c>
      <c r="D80" s="5" t="s">
        <v>687</v>
      </c>
      <c r="E80" s="17">
        <v>78244</v>
      </c>
      <c r="F80" s="5" t="s">
        <v>688</v>
      </c>
      <c r="G80" s="5"/>
      <c r="H80" s="74">
        <v>311.33333333333331</v>
      </c>
      <c r="I80" s="75" t="s">
        <v>2965</v>
      </c>
    </row>
    <row r="81" spans="1:9" s="64" customFormat="1" ht="39.950000000000003" customHeight="1" x14ac:dyDescent="0.25">
      <c r="A81" s="5" t="s">
        <v>913</v>
      </c>
      <c r="B81" s="5" t="s">
        <v>33</v>
      </c>
      <c r="C81" s="5" t="s">
        <v>914</v>
      </c>
      <c r="D81" s="5" t="s">
        <v>915</v>
      </c>
      <c r="E81" s="17">
        <v>25860.29</v>
      </c>
      <c r="F81" s="5" t="s">
        <v>73</v>
      </c>
      <c r="G81" s="5"/>
      <c r="H81" s="74">
        <v>311.33333333333331</v>
      </c>
      <c r="I81" s="75" t="s">
        <v>2965</v>
      </c>
    </row>
    <row r="82" spans="1:9" s="64" customFormat="1" ht="39.950000000000003" customHeight="1" x14ac:dyDescent="0.25">
      <c r="A82" s="5" t="s">
        <v>2095</v>
      </c>
      <c r="B82" s="5" t="s">
        <v>51</v>
      </c>
      <c r="C82" s="5" t="s">
        <v>2096</v>
      </c>
      <c r="D82" s="5" t="s">
        <v>2097</v>
      </c>
      <c r="E82" s="38">
        <v>145000</v>
      </c>
      <c r="F82" s="9" t="s">
        <v>1780</v>
      </c>
      <c r="G82" s="9"/>
      <c r="H82" s="74">
        <v>311.33333333333331</v>
      </c>
      <c r="I82" s="75" t="s">
        <v>2965</v>
      </c>
    </row>
    <row r="83" spans="1:9" s="64" customFormat="1" ht="39.950000000000003" customHeight="1" x14ac:dyDescent="0.25">
      <c r="A83" s="5" t="s">
        <v>2382</v>
      </c>
      <c r="B83" s="5" t="s">
        <v>33</v>
      </c>
      <c r="C83" s="5" t="s">
        <v>2383</v>
      </c>
      <c r="D83" s="5" t="s">
        <v>2384</v>
      </c>
      <c r="E83" s="17">
        <v>475579.66</v>
      </c>
      <c r="F83" s="5" t="s">
        <v>73</v>
      </c>
      <c r="G83" s="5"/>
      <c r="H83" s="74">
        <v>311</v>
      </c>
      <c r="I83" s="75" t="s">
        <v>2965</v>
      </c>
    </row>
    <row r="84" spans="1:9" s="64" customFormat="1" ht="39.950000000000003" customHeight="1" x14ac:dyDescent="0.25">
      <c r="A84" s="5" t="s">
        <v>1590</v>
      </c>
      <c r="B84" s="5" t="s">
        <v>33</v>
      </c>
      <c r="C84" s="5" t="s">
        <v>1591</v>
      </c>
      <c r="D84" s="5" t="s">
        <v>1592</v>
      </c>
      <c r="E84" s="17">
        <v>250000</v>
      </c>
      <c r="F84" s="5" t="s">
        <v>859</v>
      </c>
      <c r="G84" s="5"/>
      <c r="H84" s="74">
        <v>309.66666666666669</v>
      </c>
      <c r="I84" s="75" t="s">
        <v>2965</v>
      </c>
    </row>
    <row r="85" spans="1:9" s="64" customFormat="1" ht="39.950000000000003" customHeight="1" x14ac:dyDescent="0.25">
      <c r="A85" s="5" t="s">
        <v>2150</v>
      </c>
      <c r="B85" s="5" t="s">
        <v>33</v>
      </c>
      <c r="C85" s="5" t="s">
        <v>2146</v>
      </c>
      <c r="D85" s="5" t="s">
        <v>2151</v>
      </c>
      <c r="E85" s="17">
        <v>378300</v>
      </c>
      <c r="F85" s="5" t="s">
        <v>73</v>
      </c>
      <c r="G85" s="9"/>
      <c r="H85" s="74">
        <v>309</v>
      </c>
      <c r="I85" s="75" t="s">
        <v>2965</v>
      </c>
    </row>
    <row r="86" spans="1:9" s="64" customFormat="1" ht="39.950000000000003" customHeight="1" x14ac:dyDescent="0.25">
      <c r="A86" s="5" t="s">
        <v>2720</v>
      </c>
      <c r="B86" s="5" t="s">
        <v>51</v>
      </c>
      <c r="C86" s="5" t="s">
        <v>2721</v>
      </c>
      <c r="D86" s="5" t="s">
        <v>2727</v>
      </c>
      <c r="E86" s="38">
        <v>393000.48</v>
      </c>
      <c r="F86" s="9" t="s">
        <v>2723</v>
      </c>
      <c r="G86" s="11"/>
      <c r="H86" s="74">
        <v>308.66666666666669</v>
      </c>
      <c r="I86" s="75" t="s">
        <v>2965</v>
      </c>
    </row>
    <row r="87" spans="1:9" s="64" customFormat="1" ht="39.950000000000003" customHeight="1" x14ac:dyDescent="0.25">
      <c r="A87" s="5" t="s">
        <v>131</v>
      </c>
      <c r="B87" s="5" t="s">
        <v>33</v>
      </c>
      <c r="C87" s="5" t="s">
        <v>132</v>
      </c>
      <c r="D87" s="5" t="s">
        <v>133</v>
      </c>
      <c r="E87" s="17">
        <v>40000</v>
      </c>
      <c r="F87" s="5" t="s">
        <v>134</v>
      </c>
      <c r="G87" s="5"/>
      <c r="H87" s="74">
        <v>308.33333333333331</v>
      </c>
      <c r="I87" s="75" t="s">
        <v>2965</v>
      </c>
    </row>
    <row r="88" spans="1:9" s="64" customFormat="1" ht="39.950000000000003" customHeight="1" x14ac:dyDescent="0.25">
      <c r="A88" s="5" t="s">
        <v>449</v>
      </c>
      <c r="B88" s="5" t="s">
        <v>33</v>
      </c>
      <c r="C88" s="5" t="s">
        <v>450</v>
      </c>
      <c r="D88" s="5" t="s">
        <v>451</v>
      </c>
      <c r="E88" s="17">
        <v>14757</v>
      </c>
      <c r="F88" s="5" t="s">
        <v>452</v>
      </c>
      <c r="G88" s="5"/>
      <c r="H88" s="74">
        <v>308.33333333333331</v>
      </c>
      <c r="I88" s="75" t="s">
        <v>2965</v>
      </c>
    </row>
    <row r="89" spans="1:9" s="64" customFormat="1" ht="39.950000000000003" customHeight="1" x14ac:dyDescent="0.25">
      <c r="A89" s="5" t="s">
        <v>2129</v>
      </c>
      <c r="B89" s="5" t="s">
        <v>51</v>
      </c>
      <c r="C89" s="5" t="s">
        <v>2123</v>
      </c>
      <c r="D89" s="5" t="s">
        <v>2124</v>
      </c>
      <c r="E89" s="38">
        <v>98000</v>
      </c>
      <c r="F89" s="9" t="s">
        <v>2125</v>
      </c>
      <c r="G89" s="11"/>
      <c r="H89" s="74">
        <v>308</v>
      </c>
      <c r="I89" s="75" t="s">
        <v>2965</v>
      </c>
    </row>
    <row r="90" spans="1:9" s="64" customFormat="1" ht="39.950000000000003" customHeight="1" x14ac:dyDescent="0.25">
      <c r="A90" s="60" t="s">
        <v>1070</v>
      </c>
      <c r="B90" s="5" t="s">
        <v>33</v>
      </c>
      <c r="C90" s="5" t="s">
        <v>1071</v>
      </c>
      <c r="D90" s="5" t="s">
        <v>1072</v>
      </c>
      <c r="E90" s="17">
        <v>39554</v>
      </c>
      <c r="F90" s="5" t="s">
        <v>63</v>
      </c>
      <c r="G90" s="5"/>
      <c r="H90" s="74">
        <v>307.66666666666669</v>
      </c>
      <c r="I90" s="75" t="s">
        <v>2965</v>
      </c>
    </row>
    <row r="91" spans="1:9" s="64" customFormat="1" ht="39.950000000000003" customHeight="1" x14ac:dyDescent="0.25">
      <c r="A91" s="5" t="s">
        <v>2649</v>
      </c>
      <c r="B91" s="5" t="s">
        <v>33</v>
      </c>
      <c r="C91" s="5" t="s">
        <v>2650</v>
      </c>
      <c r="D91" s="5" t="s">
        <v>2651</v>
      </c>
      <c r="E91" s="17">
        <v>1308000</v>
      </c>
      <c r="F91" s="5" t="s">
        <v>73</v>
      </c>
      <c r="G91" s="5"/>
      <c r="H91" s="74">
        <v>307.66666666666669</v>
      </c>
      <c r="I91" s="75" t="s">
        <v>2965</v>
      </c>
    </row>
    <row r="92" spans="1:9" s="64" customFormat="1" ht="39.950000000000003" customHeight="1" x14ac:dyDescent="0.25">
      <c r="A92" s="9" t="s">
        <v>1813</v>
      </c>
      <c r="B92" s="5" t="s">
        <v>51</v>
      </c>
      <c r="C92" s="9" t="s">
        <v>1814</v>
      </c>
      <c r="D92" s="9" t="s">
        <v>1815</v>
      </c>
      <c r="E92" s="38">
        <v>629640</v>
      </c>
      <c r="F92" s="9" t="s">
        <v>859</v>
      </c>
      <c r="G92" s="5"/>
      <c r="H92" s="74">
        <v>307</v>
      </c>
      <c r="I92" s="75" t="s">
        <v>2965</v>
      </c>
    </row>
    <row r="93" spans="1:9" s="64" customFormat="1" ht="39.950000000000003" customHeight="1" x14ac:dyDescent="0.25">
      <c r="A93" s="5" t="s">
        <v>461</v>
      </c>
      <c r="B93" s="5" t="s">
        <v>33</v>
      </c>
      <c r="C93" s="5" t="s">
        <v>462</v>
      </c>
      <c r="D93" s="5" t="s">
        <v>463</v>
      </c>
      <c r="E93" s="17">
        <v>764968.68</v>
      </c>
      <c r="F93" s="5" t="s">
        <v>73</v>
      </c>
      <c r="G93" s="5"/>
      <c r="H93" s="74">
        <v>306.66666666666669</v>
      </c>
      <c r="I93" s="75" t="s">
        <v>2965</v>
      </c>
    </row>
    <row r="94" spans="1:9" s="64" customFormat="1" ht="39.950000000000003" customHeight="1" x14ac:dyDescent="0.25">
      <c r="A94" s="5" t="s">
        <v>2348</v>
      </c>
      <c r="B94" s="5" t="s">
        <v>33</v>
      </c>
      <c r="C94" s="5" t="s">
        <v>2342</v>
      </c>
      <c r="D94" s="9" t="s">
        <v>2343</v>
      </c>
      <c r="E94" s="17">
        <v>568400</v>
      </c>
      <c r="F94" s="5" t="s">
        <v>73</v>
      </c>
      <c r="G94" s="5"/>
      <c r="H94" s="74">
        <v>306.66666666666669</v>
      </c>
      <c r="I94" s="75" t="s">
        <v>2965</v>
      </c>
    </row>
    <row r="95" spans="1:9" s="64" customFormat="1" ht="39.950000000000003" customHeight="1" x14ac:dyDescent="0.25">
      <c r="A95" s="60" t="s">
        <v>758</v>
      </c>
      <c r="B95" s="5" t="s">
        <v>33</v>
      </c>
      <c r="C95" s="5" t="s">
        <v>759</v>
      </c>
      <c r="D95" s="5" t="s">
        <v>760</v>
      </c>
      <c r="E95" s="17">
        <v>442329.56</v>
      </c>
      <c r="F95" s="5" t="s">
        <v>73</v>
      </c>
      <c r="G95" s="9"/>
      <c r="H95" s="74">
        <v>305.33333333333331</v>
      </c>
      <c r="I95" s="75" t="s">
        <v>2965</v>
      </c>
    </row>
    <row r="96" spans="1:9" s="64" customFormat="1" ht="39.950000000000003" customHeight="1" x14ac:dyDescent="0.25">
      <c r="A96" s="60" t="s">
        <v>1666</v>
      </c>
      <c r="B96" s="5" t="s">
        <v>33</v>
      </c>
      <c r="C96" s="5" t="s">
        <v>1667</v>
      </c>
      <c r="D96" s="5" t="s">
        <v>1668</v>
      </c>
      <c r="E96" s="17">
        <v>166702.20000000001</v>
      </c>
      <c r="F96" s="5" t="s">
        <v>538</v>
      </c>
      <c r="G96" s="9"/>
      <c r="H96" s="74">
        <v>305.33333333333331</v>
      </c>
      <c r="I96" s="75" t="s">
        <v>2965</v>
      </c>
    </row>
    <row r="97" spans="1:13" s="64" customFormat="1" ht="39.950000000000003" customHeight="1" x14ac:dyDescent="0.25">
      <c r="A97" s="5" t="s">
        <v>2553</v>
      </c>
      <c r="B97" s="5" t="s">
        <v>51</v>
      </c>
      <c r="C97" s="5" t="s">
        <v>2554</v>
      </c>
      <c r="D97" s="5" t="s">
        <v>2555</v>
      </c>
      <c r="E97" s="38">
        <v>80058.679999999993</v>
      </c>
      <c r="F97" s="9" t="s">
        <v>2556</v>
      </c>
      <c r="G97" s="5"/>
      <c r="H97" s="74">
        <v>305</v>
      </c>
      <c r="I97" s="75" t="s">
        <v>2965</v>
      </c>
    </row>
    <row r="98" spans="1:13" s="64" customFormat="1" ht="39.950000000000003" customHeight="1" x14ac:dyDescent="0.25">
      <c r="A98" s="9" t="s">
        <v>1445</v>
      </c>
      <c r="B98" s="5" t="s">
        <v>51</v>
      </c>
      <c r="C98" s="11" t="s">
        <v>1446</v>
      </c>
      <c r="D98" s="11" t="s">
        <v>1447</v>
      </c>
      <c r="E98" s="38">
        <v>921684</v>
      </c>
      <c r="F98" s="9" t="s">
        <v>1448</v>
      </c>
      <c r="G98" s="11"/>
      <c r="H98" s="74">
        <v>304.66666666666669</v>
      </c>
      <c r="I98" s="75" t="s">
        <v>2965</v>
      </c>
    </row>
    <row r="99" spans="1:13" s="64" customFormat="1" ht="21.75" customHeight="1" x14ac:dyDescent="0.25">
      <c r="A99" s="76"/>
      <c r="B99" s="76"/>
      <c r="C99" s="76"/>
      <c r="D99" s="76"/>
      <c r="E99" s="77"/>
      <c r="F99" s="76"/>
      <c r="G99" s="76"/>
      <c r="H99" s="78"/>
      <c r="I99" s="79"/>
    </row>
    <row r="100" spans="1:13" ht="21" x14ac:dyDescent="0.35">
      <c r="A100" s="184" t="s">
        <v>3934</v>
      </c>
      <c r="B100" s="184"/>
      <c r="C100" s="184"/>
      <c r="D100" s="184"/>
      <c r="E100" s="184"/>
      <c r="F100" s="184"/>
    </row>
    <row r="101" spans="1:13" ht="21" x14ac:dyDescent="0.35">
      <c r="A101" s="80"/>
      <c r="B101" s="80"/>
      <c r="C101" s="80"/>
      <c r="D101" s="80"/>
      <c r="E101" s="80"/>
      <c r="F101" s="80"/>
    </row>
    <row r="102" spans="1:13" ht="30" x14ac:dyDescent="0.25">
      <c r="A102" s="4" t="s">
        <v>2</v>
      </c>
      <c r="B102" s="4" t="s">
        <v>3</v>
      </c>
      <c r="C102" s="4" t="s">
        <v>4</v>
      </c>
      <c r="D102" s="4" t="s">
        <v>5</v>
      </c>
      <c r="E102" s="4" t="s">
        <v>7</v>
      </c>
      <c r="F102" s="4" t="s">
        <v>8</v>
      </c>
      <c r="G102" s="4" t="s">
        <v>14</v>
      </c>
      <c r="H102" s="4" t="s">
        <v>30</v>
      </c>
      <c r="I102" s="4" t="s">
        <v>31</v>
      </c>
      <c r="M102" s="81" t="s">
        <v>3935</v>
      </c>
    </row>
    <row r="103" spans="1:13" ht="39.950000000000003" customHeight="1" x14ac:dyDescent="0.25">
      <c r="A103" s="5" t="s">
        <v>91</v>
      </c>
      <c r="B103" s="5" t="s">
        <v>33</v>
      </c>
      <c r="C103" s="5" t="s">
        <v>92</v>
      </c>
      <c r="D103" s="5" t="s">
        <v>93</v>
      </c>
      <c r="E103" s="17">
        <v>250640</v>
      </c>
      <c r="F103" s="5" t="s">
        <v>94</v>
      </c>
      <c r="G103" s="5"/>
      <c r="H103" s="74">
        <v>252.33333333333334</v>
      </c>
      <c r="I103" s="75" t="s">
        <v>3936</v>
      </c>
    </row>
    <row r="104" spans="1:13" ht="39.950000000000003" customHeight="1" x14ac:dyDescent="0.25">
      <c r="A104" s="5" t="s">
        <v>101</v>
      </c>
      <c r="B104" s="5" t="s">
        <v>33</v>
      </c>
      <c r="C104" s="5" t="s">
        <v>92</v>
      </c>
      <c r="D104" s="5" t="s">
        <v>102</v>
      </c>
      <c r="E104" s="17">
        <v>1086393.5900000001</v>
      </c>
      <c r="F104" s="5" t="s">
        <v>94</v>
      </c>
      <c r="G104" s="5"/>
      <c r="H104" s="74">
        <v>272</v>
      </c>
      <c r="I104" s="75" t="s">
        <v>3936</v>
      </c>
    </row>
    <row r="105" spans="1:13" ht="39.950000000000003" customHeight="1" x14ac:dyDescent="0.25">
      <c r="A105" s="5" t="s">
        <v>198</v>
      </c>
      <c r="B105" s="5" t="s">
        <v>33</v>
      </c>
      <c r="C105" s="5" t="s">
        <v>199</v>
      </c>
      <c r="D105" s="5" t="s">
        <v>200</v>
      </c>
      <c r="E105" s="17">
        <v>261777</v>
      </c>
      <c r="F105" s="5" t="s">
        <v>201</v>
      </c>
      <c r="G105" s="5"/>
      <c r="H105" s="74">
        <v>301.33333333333331</v>
      </c>
      <c r="I105" s="75" t="s">
        <v>3936</v>
      </c>
    </row>
    <row r="106" spans="1:13" ht="39.950000000000003" customHeight="1" x14ac:dyDescent="0.25">
      <c r="A106" s="5" t="s">
        <v>257</v>
      </c>
      <c r="B106" s="5" t="s">
        <v>33</v>
      </c>
      <c r="C106" s="5" t="s">
        <v>258</v>
      </c>
      <c r="D106" s="5" t="s">
        <v>259</v>
      </c>
      <c r="E106" s="17">
        <v>53388</v>
      </c>
      <c r="F106" s="5" t="s">
        <v>261</v>
      </c>
      <c r="G106" s="65"/>
      <c r="H106" s="74">
        <v>275.66666666666669</v>
      </c>
      <c r="I106" s="75" t="s">
        <v>3936</v>
      </c>
    </row>
    <row r="107" spans="1:13" ht="39.950000000000003" customHeight="1" x14ac:dyDescent="0.25">
      <c r="A107" s="5" t="s">
        <v>293</v>
      </c>
      <c r="B107" s="5" t="s">
        <v>33</v>
      </c>
      <c r="C107" s="5" t="s">
        <v>288</v>
      </c>
      <c r="D107" s="5" t="s">
        <v>294</v>
      </c>
      <c r="E107" s="17">
        <v>188640</v>
      </c>
      <c r="F107" s="5" t="s">
        <v>290</v>
      </c>
      <c r="G107" s="5"/>
      <c r="H107" s="74">
        <v>223.33333333333334</v>
      </c>
      <c r="I107" s="75" t="s">
        <v>3936</v>
      </c>
    </row>
    <row r="108" spans="1:13" ht="39.950000000000003" customHeight="1" x14ac:dyDescent="0.25">
      <c r="A108" s="5" t="s">
        <v>295</v>
      </c>
      <c r="B108" s="5" t="s">
        <v>33</v>
      </c>
      <c r="C108" s="5" t="s">
        <v>288</v>
      </c>
      <c r="D108" s="5" t="s">
        <v>296</v>
      </c>
      <c r="E108" s="17">
        <v>240000</v>
      </c>
      <c r="F108" s="5" t="s">
        <v>290</v>
      </c>
      <c r="G108" s="5"/>
      <c r="H108" s="74">
        <v>233.66666666666666</v>
      </c>
      <c r="I108" s="75" t="s">
        <v>3936</v>
      </c>
    </row>
    <row r="109" spans="1:13" ht="39.950000000000003" customHeight="1" x14ac:dyDescent="0.25">
      <c r="A109" s="5" t="s">
        <v>303</v>
      </c>
      <c r="B109" s="5" t="s">
        <v>33</v>
      </c>
      <c r="C109" s="5" t="s">
        <v>298</v>
      </c>
      <c r="D109" s="5" t="s">
        <v>304</v>
      </c>
      <c r="E109" s="17">
        <v>500000</v>
      </c>
      <c r="F109" s="5" t="s">
        <v>290</v>
      </c>
      <c r="G109" s="5"/>
      <c r="H109" s="74">
        <v>277.33333333333331</v>
      </c>
      <c r="I109" s="75" t="s">
        <v>3936</v>
      </c>
    </row>
    <row r="110" spans="1:13" ht="39.950000000000003" customHeight="1" x14ac:dyDescent="0.25">
      <c r="A110" s="9" t="s">
        <v>356</v>
      </c>
      <c r="B110" s="5" t="s">
        <v>51</v>
      </c>
      <c r="C110" s="5" t="s">
        <v>354</v>
      </c>
      <c r="D110" s="5" t="s">
        <v>357</v>
      </c>
      <c r="E110" s="17">
        <v>39973</v>
      </c>
      <c r="F110" s="5" t="s">
        <v>347</v>
      </c>
      <c r="G110" s="5"/>
      <c r="H110" s="74">
        <v>261</v>
      </c>
      <c r="I110" s="75" t="s">
        <v>3936</v>
      </c>
    </row>
    <row r="111" spans="1:13" ht="39.950000000000003" customHeight="1" x14ac:dyDescent="0.25">
      <c r="A111" s="5" t="s">
        <v>362</v>
      </c>
      <c r="B111" s="5" t="s">
        <v>51</v>
      </c>
      <c r="C111" s="5" t="s">
        <v>354</v>
      </c>
      <c r="D111" s="5" t="s">
        <v>363</v>
      </c>
      <c r="E111" s="17">
        <v>450000</v>
      </c>
      <c r="F111" s="5" t="s">
        <v>347</v>
      </c>
      <c r="G111" s="5"/>
      <c r="H111" s="74">
        <v>258.33333333333331</v>
      </c>
      <c r="I111" s="75" t="s">
        <v>3936</v>
      </c>
    </row>
    <row r="112" spans="1:13" ht="39.950000000000003" customHeight="1" x14ac:dyDescent="0.25">
      <c r="A112" s="5" t="s">
        <v>467</v>
      </c>
      <c r="B112" s="5" t="s">
        <v>33</v>
      </c>
      <c r="C112" s="5" t="s">
        <v>462</v>
      </c>
      <c r="D112" s="5" t="s">
        <v>468</v>
      </c>
      <c r="E112" s="17">
        <v>396760.14</v>
      </c>
      <c r="F112" s="5" t="s">
        <v>469</v>
      </c>
      <c r="G112" s="5"/>
      <c r="H112" s="74">
        <v>279</v>
      </c>
      <c r="I112" s="75" t="s">
        <v>3936</v>
      </c>
    </row>
    <row r="113" spans="1:9" ht="39.950000000000003" customHeight="1" x14ac:dyDescent="0.25">
      <c r="A113" s="5" t="s">
        <v>470</v>
      </c>
      <c r="B113" s="5" t="s">
        <v>33</v>
      </c>
      <c r="C113" s="5" t="s">
        <v>462</v>
      </c>
      <c r="D113" s="5" t="s">
        <v>471</v>
      </c>
      <c r="E113" s="17">
        <v>579789.01</v>
      </c>
      <c r="F113" s="5" t="s">
        <v>469</v>
      </c>
      <c r="G113" s="5"/>
      <c r="H113" s="74">
        <v>293.33333333333331</v>
      </c>
      <c r="I113" s="75" t="s">
        <v>3936</v>
      </c>
    </row>
    <row r="114" spans="1:9" ht="39.950000000000003" customHeight="1" x14ac:dyDescent="0.25">
      <c r="A114" s="5" t="s">
        <v>564</v>
      </c>
      <c r="B114" s="5" t="s">
        <v>33</v>
      </c>
      <c r="C114" s="5" t="s">
        <v>565</v>
      </c>
      <c r="D114" s="5" t="s">
        <v>566</v>
      </c>
      <c r="E114" s="17">
        <v>600000</v>
      </c>
      <c r="F114" s="5" t="s">
        <v>73</v>
      </c>
      <c r="G114" s="5"/>
      <c r="H114" s="74">
        <v>238.33333333333334</v>
      </c>
      <c r="I114" s="75" t="s">
        <v>3936</v>
      </c>
    </row>
    <row r="115" spans="1:9" ht="39.950000000000003" customHeight="1" x14ac:dyDescent="0.25">
      <c r="A115" s="5" t="s">
        <v>569</v>
      </c>
      <c r="B115" s="5" t="s">
        <v>33</v>
      </c>
      <c r="C115" s="5" t="s">
        <v>565</v>
      </c>
      <c r="D115" s="5" t="s">
        <v>570</v>
      </c>
      <c r="E115" s="17">
        <v>640000</v>
      </c>
      <c r="F115" s="5" t="s">
        <v>73</v>
      </c>
      <c r="G115" s="5"/>
      <c r="H115" s="74">
        <v>268.33333333333331</v>
      </c>
      <c r="I115" s="75" t="s">
        <v>3936</v>
      </c>
    </row>
    <row r="116" spans="1:9" ht="39.950000000000003" customHeight="1" x14ac:dyDescent="0.25">
      <c r="A116" s="9" t="s">
        <v>601</v>
      </c>
      <c r="B116" s="5" t="s">
        <v>51</v>
      </c>
      <c r="C116" s="9" t="s">
        <v>594</v>
      </c>
      <c r="D116" s="11" t="s">
        <v>602</v>
      </c>
      <c r="E116" s="38">
        <v>988105.45</v>
      </c>
      <c r="F116" s="9" t="s">
        <v>596</v>
      </c>
      <c r="G116" s="11"/>
      <c r="H116" s="74">
        <v>254.33333333333334</v>
      </c>
      <c r="I116" s="75" t="s">
        <v>3936</v>
      </c>
    </row>
    <row r="117" spans="1:9" ht="39.950000000000003" customHeight="1" x14ac:dyDescent="0.25">
      <c r="A117" s="9" t="s">
        <v>605</v>
      </c>
      <c r="B117" s="5" t="s">
        <v>51</v>
      </c>
      <c r="C117" s="9" t="s">
        <v>594</v>
      </c>
      <c r="D117" s="11" t="s">
        <v>606</v>
      </c>
      <c r="E117" s="38">
        <v>3270000</v>
      </c>
      <c r="F117" s="9" t="s">
        <v>596</v>
      </c>
      <c r="G117" s="11"/>
      <c r="H117" s="74">
        <v>244.66666666666666</v>
      </c>
      <c r="I117" s="75" t="s">
        <v>3936</v>
      </c>
    </row>
    <row r="118" spans="1:9" ht="39.950000000000003" customHeight="1" x14ac:dyDescent="0.25">
      <c r="A118" s="5" t="s">
        <v>620</v>
      </c>
      <c r="B118" s="5" t="s">
        <v>33</v>
      </c>
      <c r="C118" s="5" t="s">
        <v>614</v>
      </c>
      <c r="D118" s="5" t="s">
        <v>621</v>
      </c>
      <c r="E118" s="17">
        <v>1919116.46</v>
      </c>
      <c r="F118" s="5" t="s">
        <v>596</v>
      </c>
      <c r="G118" s="5"/>
      <c r="H118" s="74">
        <v>266.66666666666669</v>
      </c>
      <c r="I118" s="75" t="s">
        <v>3936</v>
      </c>
    </row>
    <row r="119" spans="1:9" ht="39.950000000000003" customHeight="1" x14ac:dyDescent="0.25">
      <c r="A119" s="5" t="s">
        <v>627</v>
      </c>
      <c r="B119" s="5" t="s">
        <v>33</v>
      </c>
      <c r="C119" s="5" t="s">
        <v>628</v>
      </c>
      <c r="D119" s="5" t="s">
        <v>629</v>
      </c>
      <c r="E119" s="17">
        <v>532258</v>
      </c>
      <c r="F119" s="5" t="s">
        <v>630</v>
      </c>
      <c r="G119" s="5"/>
      <c r="H119" s="74">
        <v>245.66666666666666</v>
      </c>
      <c r="I119" s="75" t="s">
        <v>3936</v>
      </c>
    </row>
    <row r="120" spans="1:9" ht="39.950000000000003" customHeight="1" x14ac:dyDescent="0.25">
      <c r="A120" s="5" t="s">
        <v>636</v>
      </c>
      <c r="B120" s="5" t="s">
        <v>33</v>
      </c>
      <c r="C120" s="5" t="s">
        <v>637</v>
      </c>
      <c r="D120" s="5" t="s">
        <v>638</v>
      </c>
      <c r="E120" s="17">
        <v>627681.1</v>
      </c>
      <c r="F120" s="5" t="s">
        <v>73</v>
      </c>
      <c r="G120" s="5"/>
      <c r="H120" s="74">
        <v>273.33333333333331</v>
      </c>
      <c r="I120" s="75" t="s">
        <v>3936</v>
      </c>
    </row>
    <row r="121" spans="1:9" ht="39.950000000000003" customHeight="1" x14ac:dyDescent="0.25">
      <c r="A121" s="5" t="s">
        <v>641</v>
      </c>
      <c r="B121" s="5" t="s">
        <v>33</v>
      </c>
      <c r="C121" s="5" t="s">
        <v>637</v>
      </c>
      <c r="D121" s="5" t="s">
        <v>642</v>
      </c>
      <c r="E121" s="17">
        <v>565125</v>
      </c>
      <c r="F121" s="5" t="s">
        <v>73</v>
      </c>
      <c r="G121" s="5"/>
      <c r="H121" s="74">
        <v>261.33333333333331</v>
      </c>
      <c r="I121" s="75" t="s">
        <v>3936</v>
      </c>
    </row>
    <row r="122" spans="1:9" ht="39.950000000000003" customHeight="1" x14ac:dyDescent="0.25">
      <c r="A122" s="60" t="s">
        <v>657</v>
      </c>
      <c r="B122" s="5" t="s">
        <v>33</v>
      </c>
      <c r="C122" s="5" t="s">
        <v>658</v>
      </c>
      <c r="D122" s="5" t="s">
        <v>659</v>
      </c>
      <c r="E122" s="17">
        <v>821650</v>
      </c>
      <c r="F122" s="5" t="s">
        <v>73</v>
      </c>
      <c r="G122" s="5"/>
      <c r="H122" s="74">
        <v>213.33333333333334</v>
      </c>
      <c r="I122" s="75" t="s">
        <v>3936</v>
      </c>
    </row>
    <row r="123" spans="1:9" ht="39.950000000000003" customHeight="1" x14ac:dyDescent="0.25">
      <c r="A123" s="9" t="s">
        <v>711</v>
      </c>
      <c r="B123" s="5" t="s">
        <v>51</v>
      </c>
      <c r="C123" s="9" t="s">
        <v>712</v>
      </c>
      <c r="D123" s="9" t="s">
        <v>713</v>
      </c>
      <c r="E123" s="38">
        <v>174295.5</v>
      </c>
      <c r="F123" s="9" t="s">
        <v>701</v>
      </c>
      <c r="G123" s="11"/>
      <c r="H123" s="74">
        <v>290.33333333333331</v>
      </c>
      <c r="I123" s="75" t="s">
        <v>3936</v>
      </c>
    </row>
    <row r="124" spans="1:9" ht="39.950000000000003" customHeight="1" x14ac:dyDescent="0.25">
      <c r="A124" s="9" t="s">
        <v>716</v>
      </c>
      <c r="B124" s="5" t="s">
        <v>51</v>
      </c>
      <c r="C124" s="9" t="s">
        <v>712</v>
      </c>
      <c r="D124" s="9" t="s">
        <v>717</v>
      </c>
      <c r="E124" s="38">
        <v>324000</v>
      </c>
      <c r="F124" s="9" t="s">
        <v>701</v>
      </c>
      <c r="G124" s="9"/>
      <c r="H124" s="74">
        <v>271</v>
      </c>
      <c r="I124" s="75" t="s">
        <v>3936</v>
      </c>
    </row>
    <row r="125" spans="1:9" ht="39.950000000000003" customHeight="1" x14ac:dyDescent="0.25">
      <c r="A125" s="5" t="s">
        <v>731</v>
      </c>
      <c r="B125" s="5" t="s">
        <v>51</v>
      </c>
      <c r="C125" s="5" t="s">
        <v>726</v>
      </c>
      <c r="D125" s="5" t="s">
        <v>732</v>
      </c>
      <c r="E125" s="38">
        <v>3287929.33</v>
      </c>
      <c r="F125" s="9" t="s">
        <v>728</v>
      </c>
      <c r="G125" s="5"/>
      <c r="H125" s="74">
        <v>295</v>
      </c>
      <c r="I125" s="75" t="s">
        <v>3936</v>
      </c>
    </row>
    <row r="126" spans="1:9" ht="39.950000000000003" customHeight="1" x14ac:dyDescent="0.25">
      <c r="A126" s="5" t="s">
        <v>733</v>
      </c>
      <c r="B126" s="5" t="s">
        <v>51</v>
      </c>
      <c r="C126" s="5" t="s">
        <v>726</v>
      </c>
      <c r="D126" s="5" t="s">
        <v>734</v>
      </c>
      <c r="E126" s="38">
        <v>348245</v>
      </c>
      <c r="F126" s="9" t="s">
        <v>728</v>
      </c>
      <c r="G126" s="11"/>
      <c r="H126" s="74">
        <v>315.66666666666669</v>
      </c>
      <c r="I126" s="75" t="s">
        <v>3936</v>
      </c>
    </row>
    <row r="127" spans="1:9" ht="39.950000000000003" customHeight="1" x14ac:dyDescent="0.25">
      <c r="A127" s="60" t="s">
        <v>798</v>
      </c>
      <c r="B127" s="5" t="s">
        <v>33</v>
      </c>
      <c r="C127" s="5" t="s">
        <v>799</v>
      </c>
      <c r="D127" s="5" t="s">
        <v>800</v>
      </c>
      <c r="E127" s="17">
        <v>212001.12</v>
      </c>
      <c r="F127" s="5" t="s">
        <v>73</v>
      </c>
      <c r="G127" s="5"/>
      <c r="H127" s="74">
        <v>220</v>
      </c>
      <c r="I127" s="75" t="s">
        <v>3936</v>
      </c>
    </row>
    <row r="128" spans="1:9" ht="39.950000000000003" customHeight="1" x14ac:dyDescent="0.25">
      <c r="A128" s="60" t="s">
        <v>805</v>
      </c>
      <c r="B128" s="5" t="s">
        <v>33</v>
      </c>
      <c r="C128" s="5" t="s">
        <v>799</v>
      </c>
      <c r="D128" s="5" t="s">
        <v>806</v>
      </c>
      <c r="E128" s="17">
        <v>482556.27</v>
      </c>
      <c r="F128" s="5" t="s">
        <v>73</v>
      </c>
      <c r="G128" s="5"/>
      <c r="H128" s="74">
        <v>217.33333333333334</v>
      </c>
      <c r="I128" s="75" t="s">
        <v>3936</v>
      </c>
    </row>
    <row r="129" spans="1:9" ht="39.950000000000003" customHeight="1" x14ac:dyDescent="0.25">
      <c r="A129" s="9" t="s">
        <v>815</v>
      </c>
      <c r="B129" s="5" t="s">
        <v>51</v>
      </c>
      <c r="C129" s="9" t="s">
        <v>808</v>
      </c>
      <c r="D129" s="11" t="s">
        <v>816</v>
      </c>
      <c r="E129" s="38">
        <v>360000</v>
      </c>
      <c r="F129" s="9" t="s">
        <v>810</v>
      </c>
      <c r="G129" s="11"/>
      <c r="H129" s="74">
        <v>221.33333333333334</v>
      </c>
      <c r="I129" s="75" t="s">
        <v>3936</v>
      </c>
    </row>
    <row r="130" spans="1:9" ht="39.950000000000003" customHeight="1" x14ac:dyDescent="0.25">
      <c r="A130" s="5" t="s">
        <v>828</v>
      </c>
      <c r="B130" s="5" t="s">
        <v>33</v>
      </c>
      <c r="C130" s="5" t="s">
        <v>824</v>
      </c>
      <c r="D130" s="5" t="s">
        <v>829</v>
      </c>
      <c r="E130" s="17">
        <v>105800</v>
      </c>
      <c r="F130" s="5" t="s">
        <v>469</v>
      </c>
      <c r="G130" s="5"/>
      <c r="H130" s="74">
        <v>237</v>
      </c>
      <c r="I130" s="75" t="s">
        <v>3936</v>
      </c>
    </row>
    <row r="131" spans="1:9" ht="39.950000000000003" customHeight="1" x14ac:dyDescent="0.25">
      <c r="A131" s="5" t="s">
        <v>837</v>
      </c>
      <c r="B131" s="5" t="s">
        <v>33</v>
      </c>
      <c r="C131" s="5" t="s">
        <v>831</v>
      </c>
      <c r="D131" s="5" t="s">
        <v>838</v>
      </c>
      <c r="E131" s="17">
        <v>455848.37</v>
      </c>
      <c r="F131" s="5" t="s">
        <v>833</v>
      </c>
      <c r="G131" s="5"/>
      <c r="H131" s="74">
        <v>233</v>
      </c>
      <c r="I131" s="75" t="s">
        <v>3936</v>
      </c>
    </row>
    <row r="132" spans="1:9" ht="39.950000000000003" customHeight="1" x14ac:dyDescent="0.25">
      <c r="A132" s="9" t="s">
        <v>899</v>
      </c>
      <c r="B132" s="5" t="s">
        <v>51</v>
      </c>
      <c r="C132" s="9" t="s">
        <v>894</v>
      </c>
      <c r="D132" s="11" t="s">
        <v>900</v>
      </c>
      <c r="E132" s="38">
        <v>200000</v>
      </c>
      <c r="F132" s="5" t="s">
        <v>896</v>
      </c>
      <c r="G132" s="9"/>
      <c r="H132" s="74">
        <v>289</v>
      </c>
      <c r="I132" s="75" t="s">
        <v>3936</v>
      </c>
    </row>
    <row r="133" spans="1:9" ht="39.950000000000003" customHeight="1" x14ac:dyDescent="0.25">
      <c r="A133" s="60" t="s">
        <v>1018</v>
      </c>
      <c r="B133" s="5" t="s">
        <v>33</v>
      </c>
      <c r="C133" s="5" t="s">
        <v>1014</v>
      </c>
      <c r="D133" s="5" t="s">
        <v>1019</v>
      </c>
      <c r="E133" s="17">
        <v>1784430</v>
      </c>
      <c r="F133" s="5" t="s">
        <v>108</v>
      </c>
      <c r="G133" s="5"/>
      <c r="H133" s="74">
        <v>225.66666666666666</v>
      </c>
      <c r="I133" s="75" t="s">
        <v>3936</v>
      </c>
    </row>
    <row r="134" spans="1:9" ht="39.950000000000003" customHeight="1" x14ac:dyDescent="0.25">
      <c r="A134" s="60" t="s">
        <v>1028</v>
      </c>
      <c r="B134" s="5" t="s">
        <v>33</v>
      </c>
      <c r="C134" s="5" t="s">
        <v>1021</v>
      </c>
      <c r="D134" s="5" t="s">
        <v>1029</v>
      </c>
      <c r="E134" s="17">
        <v>800870.83</v>
      </c>
      <c r="F134" s="5" t="s">
        <v>1023</v>
      </c>
      <c r="G134" s="9"/>
      <c r="H134" s="74">
        <v>245.33333333333334</v>
      </c>
      <c r="I134" s="75" t="s">
        <v>3936</v>
      </c>
    </row>
    <row r="135" spans="1:9" ht="39.950000000000003" customHeight="1" x14ac:dyDescent="0.25">
      <c r="A135" s="5" t="s">
        <v>1052</v>
      </c>
      <c r="B135" s="5" t="s">
        <v>33</v>
      </c>
      <c r="C135" s="5" t="s">
        <v>1048</v>
      </c>
      <c r="D135" s="5" t="s">
        <v>1053</v>
      </c>
      <c r="E135" s="17">
        <v>377065.43</v>
      </c>
      <c r="F135" s="5" t="s">
        <v>390</v>
      </c>
      <c r="G135" s="5"/>
      <c r="H135" s="74">
        <v>219</v>
      </c>
      <c r="I135" s="75" t="s">
        <v>3936</v>
      </c>
    </row>
    <row r="136" spans="1:9" ht="39.950000000000003" customHeight="1" x14ac:dyDescent="0.25">
      <c r="A136" s="60" t="s">
        <v>1094</v>
      </c>
      <c r="B136" s="5" t="s">
        <v>33</v>
      </c>
      <c r="C136" s="5" t="s">
        <v>1090</v>
      </c>
      <c r="D136" s="5" t="s">
        <v>1095</v>
      </c>
      <c r="E136" s="17">
        <v>280900</v>
      </c>
      <c r="F136" s="5" t="s">
        <v>728</v>
      </c>
      <c r="G136" s="5"/>
      <c r="H136" s="74">
        <v>250.66666666666666</v>
      </c>
      <c r="I136" s="75" t="s">
        <v>3936</v>
      </c>
    </row>
    <row r="137" spans="1:9" ht="39.950000000000003" customHeight="1" x14ac:dyDescent="0.25">
      <c r="A137" s="60" t="s">
        <v>1096</v>
      </c>
      <c r="B137" s="5" t="s">
        <v>33</v>
      </c>
      <c r="C137" s="5" t="s">
        <v>1090</v>
      </c>
      <c r="D137" s="5" t="s">
        <v>1097</v>
      </c>
      <c r="E137" s="17">
        <v>698600</v>
      </c>
      <c r="F137" s="5" t="s">
        <v>728</v>
      </c>
      <c r="G137" s="5"/>
      <c r="H137" s="74">
        <v>247</v>
      </c>
      <c r="I137" s="75" t="s">
        <v>3936</v>
      </c>
    </row>
    <row r="138" spans="1:9" ht="39.950000000000003" customHeight="1" x14ac:dyDescent="0.25">
      <c r="A138" s="5" t="s">
        <v>1149</v>
      </c>
      <c r="B138" s="5" t="s">
        <v>33</v>
      </c>
      <c r="C138" s="5" t="s">
        <v>1144</v>
      </c>
      <c r="D138" s="5" t="s">
        <v>1150</v>
      </c>
      <c r="E138" s="17">
        <v>256800</v>
      </c>
      <c r="F138" s="5" t="s">
        <v>1146</v>
      </c>
      <c r="G138" s="5"/>
      <c r="H138" s="74">
        <v>240.33333333333334</v>
      </c>
      <c r="I138" s="75" t="s">
        <v>3936</v>
      </c>
    </row>
    <row r="139" spans="1:9" ht="39.950000000000003" customHeight="1" x14ac:dyDescent="0.25">
      <c r="A139" s="5" t="s">
        <v>1161</v>
      </c>
      <c r="B139" s="5" t="s">
        <v>33</v>
      </c>
      <c r="C139" s="5" t="s">
        <v>1037</v>
      </c>
      <c r="D139" s="5" t="s">
        <v>1162</v>
      </c>
      <c r="E139" s="17">
        <v>100000</v>
      </c>
      <c r="F139" s="5" t="s">
        <v>290</v>
      </c>
      <c r="G139" s="5"/>
      <c r="H139" s="74">
        <v>276</v>
      </c>
      <c r="I139" s="75" t="s">
        <v>3936</v>
      </c>
    </row>
    <row r="140" spans="1:9" ht="39.950000000000003" customHeight="1" x14ac:dyDescent="0.25">
      <c r="A140" s="60" t="s">
        <v>1167</v>
      </c>
      <c r="B140" s="5" t="s">
        <v>33</v>
      </c>
      <c r="C140" s="5" t="s">
        <v>298</v>
      </c>
      <c r="D140" s="5" t="s">
        <v>304</v>
      </c>
      <c r="E140" s="17">
        <v>500000</v>
      </c>
      <c r="F140" s="5" t="s">
        <v>290</v>
      </c>
      <c r="G140" s="5"/>
      <c r="H140" s="74">
        <v>287</v>
      </c>
      <c r="I140" s="75" t="s">
        <v>3936</v>
      </c>
    </row>
    <row r="141" spans="1:9" ht="39.950000000000003" customHeight="1" x14ac:dyDescent="0.25">
      <c r="A141" s="60" t="s">
        <v>1168</v>
      </c>
      <c r="B141" s="5" t="s">
        <v>33</v>
      </c>
      <c r="C141" s="5" t="s">
        <v>1169</v>
      </c>
      <c r="D141" s="5" t="s">
        <v>1170</v>
      </c>
      <c r="E141" s="17">
        <v>371000</v>
      </c>
      <c r="F141" s="5" t="s">
        <v>1171</v>
      </c>
      <c r="G141" s="5"/>
      <c r="H141" s="74">
        <v>258</v>
      </c>
      <c r="I141" s="75" t="s">
        <v>3936</v>
      </c>
    </row>
    <row r="142" spans="1:9" ht="39.950000000000003" customHeight="1" x14ac:dyDescent="0.25">
      <c r="A142" s="5" t="s">
        <v>1209</v>
      </c>
      <c r="B142" s="5" t="s">
        <v>33</v>
      </c>
      <c r="C142" s="5" t="s">
        <v>1205</v>
      </c>
      <c r="D142" s="5" t="s">
        <v>1210</v>
      </c>
      <c r="E142" s="17">
        <v>1476814</v>
      </c>
      <c r="F142" s="5" t="s">
        <v>73</v>
      </c>
      <c r="G142" s="5"/>
      <c r="H142" s="74">
        <v>273</v>
      </c>
      <c r="I142" s="75" t="s">
        <v>3936</v>
      </c>
    </row>
    <row r="143" spans="1:9" ht="39.950000000000003" customHeight="1" x14ac:dyDescent="0.25">
      <c r="A143" s="9" t="s">
        <v>1231</v>
      </c>
      <c r="B143" s="5" t="s">
        <v>51</v>
      </c>
      <c r="C143" s="11" t="s">
        <v>1232</v>
      </c>
      <c r="D143" s="11" t="s">
        <v>1237</v>
      </c>
      <c r="E143" s="38">
        <v>469800</v>
      </c>
      <c r="F143" s="11" t="s">
        <v>503</v>
      </c>
      <c r="G143" s="11"/>
      <c r="H143" s="74">
        <v>219.66666666666666</v>
      </c>
      <c r="I143" s="75" t="s">
        <v>3936</v>
      </c>
    </row>
    <row r="144" spans="1:9" ht="39.950000000000003" customHeight="1" x14ac:dyDescent="0.25">
      <c r="A144" s="5" t="s">
        <v>1364</v>
      </c>
      <c r="B144" s="5" t="s">
        <v>33</v>
      </c>
      <c r="C144" s="5" t="s">
        <v>1365</v>
      </c>
      <c r="D144" s="5" t="s">
        <v>1366</v>
      </c>
      <c r="E144" s="17">
        <v>236959.83</v>
      </c>
      <c r="F144" s="5" t="s">
        <v>1367</v>
      </c>
      <c r="G144" s="5"/>
      <c r="H144" s="74">
        <v>340</v>
      </c>
      <c r="I144" s="75" t="s">
        <v>3936</v>
      </c>
    </row>
    <row r="145" spans="1:9" ht="39.950000000000003" customHeight="1" x14ac:dyDescent="0.25">
      <c r="A145" s="60" t="s">
        <v>1370</v>
      </c>
      <c r="B145" s="5" t="s">
        <v>33</v>
      </c>
      <c r="C145" s="5" t="s">
        <v>1365</v>
      </c>
      <c r="D145" s="5" t="s">
        <v>1371</v>
      </c>
      <c r="E145" s="17">
        <v>288982.78999999998</v>
      </c>
      <c r="F145" s="5" t="s">
        <v>1367</v>
      </c>
      <c r="G145" s="5"/>
      <c r="H145" s="74">
        <v>321.33333333333331</v>
      </c>
      <c r="I145" s="75" t="s">
        <v>3936</v>
      </c>
    </row>
    <row r="146" spans="1:9" ht="39.950000000000003" customHeight="1" x14ac:dyDescent="0.25">
      <c r="A146" s="5" t="s">
        <v>1379</v>
      </c>
      <c r="B146" s="5" t="s">
        <v>33</v>
      </c>
      <c r="C146" s="5" t="s">
        <v>1375</v>
      </c>
      <c r="D146" s="5" t="s">
        <v>1380</v>
      </c>
      <c r="E146" s="17">
        <v>212826.99</v>
      </c>
      <c r="F146" s="5" t="s">
        <v>1367</v>
      </c>
      <c r="G146" s="5"/>
      <c r="H146" s="74">
        <v>231</v>
      </c>
      <c r="I146" s="75" t="s">
        <v>3936</v>
      </c>
    </row>
    <row r="147" spans="1:9" ht="39.950000000000003" customHeight="1" x14ac:dyDescent="0.25">
      <c r="A147" s="60" t="s">
        <v>1402</v>
      </c>
      <c r="B147" s="5" t="s">
        <v>33</v>
      </c>
      <c r="C147" s="5" t="s">
        <v>1398</v>
      </c>
      <c r="D147" s="5" t="s">
        <v>1403</v>
      </c>
      <c r="E147" s="17">
        <v>193561.25</v>
      </c>
      <c r="F147" s="5" t="s">
        <v>993</v>
      </c>
      <c r="G147" s="5"/>
      <c r="H147" s="74">
        <v>253</v>
      </c>
      <c r="I147" s="75" t="s">
        <v>3936</v>
      </c>
    </row>
    <row r="148" spans="1:9" ht="39.950000000000003" customHeight="1" x14ac:dyDescent="0.25">
      <c r="A148" s="60" t="s">
        <v>1404</v>
      </c>
      <c r="B148" s="5" t="s">
        <v>33</v>
      </c>
      <c r="C148" s="5" t="s">
        <v>1398</v>
      </c>
      <c r="D148" s="5" t="s">
        <v>1405</v>
      </c>
      <c r="E148" s="17">
        <v>205034.04</v>
      </c>
      <c r="F148" s="5" t="s">
        <v>993</v>
      </c>
      <c r="G148" s="5"/>
      <c r="H148" s="74">
        <v>248.66666666666666</v>
      </c>
      <c r="I148" s="75" t="s">
        <v>3936</v>
      </c>
    </row>
    <row r="149" spans="1:9" ht="39.950000000000003" customHeight="1" x14ac:dyDescent="0.25">
      <c r="A149" s="5" t="s">
        <v>1456</v>
      </c>
      <c r="B149" s="5" t="s">
        <v>33</v>
      </c>
      <c r="C149" s="5" t="s">
        <v>1457</v>
      </c>
      <c r="D149" s="5" t="s">
        <v>1458</v>
      </c>
      <c r="E149" s="17">
        <v>96807.1</v>
      </c>
      <c r="F149" s="5" t="s">
        <v>1459</v>
      </c>
      <c r="G149" s="5"/>
      <c r="H149" s="74">
        <v>236</v>
      </c>
      <c r="I149" s="75" t="s">
        <v>3936</v>
      </c>
    </row>
    <row r="150" spans="1:9" ht="39.950000000000003" customHeight="1" x14ac:dyDescent="0.25">
      <c r="A150" s="60" t="s">
        <v>1462</v>
      </c>
      <c r="B150" s="5" t="s">
        <v>33</v>
      </c>
      <c r="C150" s="5" t="s">
        <v>1457</v>
      </c>
      <c r="D150" s="5" t="s">
        <v>1463</v>
      </c>
      <c r="E150" s="17">
        <v>200750</v>
      </c>
      <c r="F150" s="5" t="s">
        <v>1459</v>
      </c>
      <c r="G150" s="5"/>
      <c r="H150" s="74">
        <v>252.33333333333334</v>
      </c>
      <c r="I150" s="75" t="s">
        <v>3936</v>
      </c>
    </row>
    <row r="151" spans="1:9" ht="39.950000000000003" customHeight="1" x14ac:dyDescent="0.25">
      <c r="A151" s="5" t="s">
        <v>1478</v>
      </c>
      <c r="B151" s="5" t="s">
        <v>33</v>
      </c>
      <c r="C151" s="5" t="s">
        <v>1467</v>
      </c>
      <c r="D151" s="5" t="s">
        <v>1479</v>
      </c>
      <c r="E151" s="17">
        <v>266999.78000000003</v>
      </c>
      <c r="F151" s="5" t="s">
        <v>1469</v>
      </c>
      <c r="G151" s="5"/>
      <c r="H151" s="74">
        <v>279</v>
      </c>
      <c r="I151" s="75" t="s">
        <v>3936</v>
      </c>
    </row>
    <row r="152" spans="1:9" ht="39.950000000000003" customHeight="1" x14ac:dyDescent="0.25">
      <c r="A152" s="9" t="s">
        <v>1493</v>
      </c>
      <c r="B152" s="5" t="s">
        <v>51</v>
      </c>
      <c r="C152" s="9" t="s">
        <v>1488</v>
      </c>
      <c r="D152" s="11" t="s">
        <v>1494</v>
      </c>
      <c r="E152" s="38">
        <v>87500</v>
      </c>
      <c r="F152" s="9" t="s">
        <v>1490</v>
      </c>
      <c r="G152" s="9"/>
      <c r="H152" s="74">
        <v>312.33333333333331</v>
      </c>
      <c r="I152" s="75" t="s">
        <v>3936</v>
      </c>
    </row>
    <row r="153" spans="1:9" ht="39.950000000000003" customHeight="1" x14ac:dyDescent="0.25">
      <c r="A153" s="60" t="s">
        <v>1671</v>
      </c>
      <c r="B153" s="5" t="s">
        <v>33</v>
      </c>
      <c r="C153" s="5" t="s">
        <v>1667</v>
      </c>
      <c r="D153" s="5" t="s">
        <v>1672</v>
      </c>
      <c r="E153" s="17">
        <v>72000</v>
      </c>
      <c r="F153" s="5" t="s">
        <v>538</v>
      </c>
      <c r="G153" s="5"/>
      <c r="H153" s="74">
        <v>272.33333333333331</v>
      </c>
      <c r="I153" s="75" t="s">
        <v>3936</v>
      </c>
    </row>
    <row r="154" spans="1:9" ht="39.950000000000003" customHeight="1" x14ac:dyDescent="0.25">
      <c r="A154" s="60" t="s">
        <v>1673</v>
      </c>
      <c r="B154" s="5" t="s">
        <v>33</v>
      </c>
      <c r="C154" s="5" t="s">
        <v>1667</v>
      </c>
      <c r="D154" s="5" t="s">
        <v>1674</v>
      </c>
      <c r="E154" s="17">
        <v>521505.34</v>
      </c>
      <c r="F154" s="5" t="s">
        <v>538</v>
      </c>
      <c r="G154" s="5"/>
      <c r="H154" s="74">
        <v>299</v>
      </c>
      <c r="I154" s="75" t="s">
        <v>3936</v>
      </c>
    </row>
    <row r="155" spans="1:9" ht="39.950000000000003" customHeight="1" x14ac:dyDescent="0.25">
      <c r="A155" s="60" t="s">
        <v>1675</v>
      </c>
      <c r="B155" s="5" t="s">
        <v>33</v>
      </c>
      <c r="C155" s="5" t="s">
        <v>1676</v>
      </c>
      <c r="D155" s="5" t="s">
        <v>1677</v>
      </c>
      <c r="E155" s="17">
        <v>69050</v>
      </c>
      <c r="F155" s="5" t="s">
        <v>108</v>
      </c>
      <c r="G155" s="5"/>
      <c r="H155" s="74">
        <v>305</v>
      </c>
      <c r="I155" s="75" t="s">
        <v>3936</v>
      </c>
    </row>
    <row r="156" spans="1:9" ht="39.950000000000003" customHeight="1" x14ac:dyDescent="0.25">
      <c r="A156" s="60" t="s">
        <v>1682</v>
      </c>
      <c r="B156" s="5" t="s">
        <v>33</v>
      </c>
      <c r="C156" s="5" t="s">
        <v>1676</v>
      </c>
      <c r="D156" s="5" t="s">
        <v>1683</v>
      </c>
      <c r="E156" s="17">
        <v>65300</v>
      </c>
      <c r="F156" s="5" t="s">
        <v>108</v>
      </c>
      <c r="G156" s="5"/>
      <c r="H156" s="74">
        <v>303</v>
      </c>
      <c r="I156" s="75" t="s">
        <v>3936</v>
      </c>
    </row>
    <row r="157" spans="1:9" ht="39.950000000000003" customHeight="1" x14ac:dyDescent="0.25">
      <c r="A157" s="5" t="s">
        <v>1735</v>
      </c>
      <c r="B157" s="5" t="s">
        <v>33</v>
      </c>
      <c r="C157" s="5" t="s">
        <v>1736</v>
      </c>
      <c r="D157" s="5" t="s">
        <v>1737</v>
      </c>
      <c r="E157" s="17">
        <v>181500</v>
      </c>
      <c r="F157" s="5" t="s">
        <v>1514</v>
      </c>
      <c r="G157" s="5"/>
      <c r="H157" s="74">
        <v>234.33333333333334</v>
      </c>
      <c r="I157" s="75" t="s">
        <v>3936</v>
      </c>
    </row>
    <row r="158" spans="1:9" ht="39.950000000000003" customHeight="1" x14ac:dyDescent="0.25">
      <c r="A158" s="5" t="s">
        <v>1740</v>
      </c>
      <c r="B158" s="5" t="s">
        <v>33</v>
      </c>
      <c r="C158" s="5" t="s">
        <v>1736</v>
      </c>
      <c r="D158" s="5" t="s">
        <v>1741</v>
      </c>
      <c r="E158" s="17">
        <v>535078</v>
      </c>
      <c r="F158" s="5" t="s">
        <v>1514</v>
      </c>
      <c r="G158" s="5"/>
      <c r="H158" s="74">
        <v>237.66666666666666</v>
      </c>
      <c r="I158" s="75" t="s">
        <v>3936</v>
      </c>
    </row>
    <row r="159" spans="1:9" ht="39.950000000000003" customHeight="1" x14ac:dyDescent="0.25">
      <c r="A159" s="5" t="s">
        <v>1755</v>
      </c>
      <c r="B159" s="5" t="s">
        <v>33</v>
      </c>
      <c r="C159" s="5" t="s">
        <v>1750</v>
      </c>
      <c r="D159" s="5" t="s">
        <v>1756</v>
      </c>
      <c r="E159" s="17">
        <v>367000</v>
      </c>
      <c r="F159" s="5" t="s">
        <v>1752</v>
      </c>
      <c r="G159" s="5"/>
      <c r="H159" s="74">
        <v>273.33333333333331</v>
      </c>
      <c r="I159" s="75" t="s">
        <v>3936</v>
      </c>
    </row>
    <row r="160" spans="1:9" ht="39.950000000000003" customHeight="1" x14ac:dyDescent="0.25">
      <c r="A160" s="60" t="s">
        <v>1768</v>
      </c>
      <c r="B160" s="5" t="s">
        <v>33</v>
      </c>
      <c r="C160" s="5" t="s">
        <v>199</v>
      </c>
      <c r="D160" s="5" t="s">
        <v>1769</v>
      </c>
      <c r="E160" s="17">
        <v>309988.8</v>
      </c>
      <c r="F160" s="5" t="s">
        <v>201</v>
      </c>
      <c r="G160" s="5"/>
      <c r="H160" s="74">
        <v>290.66666666666669</v>
      </c>
      <c r="I160" s="75" t="s">
        <v>3936</v>
      </c>
    </row>
    <row r="161" spans="1:9" ht="39.950000000000003" customHeight="1" x14ac:dyDescent="0.25">
      <c r="A161" s="60" t="s">
        <v>1770</v>
      </c>
      <c r="B161" s="5" t="s">
        <v>33</v>
      </c>
      <c r="C161" s="5" t="s">
        <v>120</v>
      </c>
      <c r="D161" s="5" t="s">
        <v>128</v>
      </c>
      <c r="E161" s="17">
        <v>239095.32</v>
      </c>
      <c r="F161" s="5" t="s">
        <v>122</v>
      </c>
      <c r="G161" s="5"/>
      <c r="H161" s="74">
        <v>251</v>
      </c>
      <c r="I161" s="75" t="s">
        <v>3936</v>
      </c>
    </row>
    <row r="162" spans="1:9" ht="39.950000000000003" customHeight="1" x14ac:dyDescent="0.25">
      <c r="A162" s="5" t="s">
        <v>1783</v>
      </c>
      <c r="B162" s="5" t="s">
        <v>33</v>
      </c>
      <c r="C162" s="5" t="s">
        <v>1773</v>
      </c>
      <c r="D162" s="5" t="s">
        <v>1784</v>
      </c>
      <c r="E162" s="17">
        <v>329780</v>
      </c>
      <c r="F162" s="5" t="s">
        <v>73</v>
      </c>
      <c r="G162" s="5"/>
      <c r="H162" s="74">
        <v>294.33333333333331</v>
      </c>
      <c r="I162" s="75" t="s">
        <v>3936</v>
      </c>
    </row>
    <row r="163" spans="1:9" ht="39.950000000000003" customHeight="1" x14ac:dyDescent="0.25">
      <c r="A163" s="60" t="s">
        <v>1790</v>
      </c>
      <c r="B163" s="5" t="s">
        <v>33</v>
      </c>
      <c r="C163" s="5" t="s">
        <v>1786</v>
      </c>
      <c r="D163" s="5" t="s">
        <v>1791</v>
      </c>
      <c r="E163" s="17">
        <v>779206</v>
      </c>
      <c r="F163" s="5" t="s">
        <v>73</v>
      </c>
      <c r="G163" s="5"/>
      <c r="H163" s="74">
        <v>283.33333333333331</v>
      </c>
      <c r="I163" s="75" t="s">
        <v>3936</v>
      </c>
    </row>
    <row r="164" spans="1:9" ht="39.950000000000003" customHeight="1" x14ac:dyDescent="0.25">
      <c r="A164" s="9" t="s">
        <v>1832</v>
      </c>
      <c r="B164" s="5" t="s">
        <v>51</v>
      </c>
      <c r="C164" s="9" t="s">
        <v>1827</v>
      </c>
      <c r="D164" s="9" t="s">
        <v>1833</v>
      </c>
      <c r="E164" s="38">
        <v>267800</v>
      </c>
      <c r="F164" s="9" t="s">
        <v>1829</v>
      </c>
      <c r="G164" s="65"/>
      <c r="H164" s="74">
        <v>289.66666666666669</v>
      </c>
      <c r="I164" s="75" t="s">
        <v>3936</v>
      </c>
    </row>
    <row r="165" spans="1:9" ht="39.950000000000003" customHeight="1" x14ac:dyDescent="0.25">
      <c r="A165" s="60" t="s">
        <v>1891</v>
      </c>
      <c r="B165" s="5" t="s">
        <v>33</v>
      </c>
      <c r="C165" s="5" t="s">
        <v>904</v>
      </c>
      <c r="D165" s="5" t="s">
        <v>1892</v>
      </c>
      <c r="E165" s="17">
        <v>40000</v>
      </c>
      <c r="F165" s="5" t="s">
        <v>1887</v>
      </c>
      <c r="G165" s="5"/>
      <c r="H165" s="74">
        <v>259.66666666666669</v>
      </c>
      <c r="I165" s="75" t="s">
        <v>3936</v>
      </c>
    </row>
    <row r="166" spans="1:9" ht="39.950000000000003" customHeight="1" x14ac:dyDescent="0.25">
      <c r="A166" s="5" t="s">
        <v>1913</v>
      </c>
      <c r="B166" s="5" t="s">
        <v>51</v>
      </c>
      <c r="C166" s="5" t="s">
        <v>1906</v>
      </c>
      <c r="D166" s="5" t="s">
        <v>1914</v>
      </c>
      <c r="E166" s="38">
        <v>100000</v>
      </c>
      <c r="F166" s="9" t="s">
        <v>1908</v>
      </c>
      <c r="G166" s="9"/>
      <c r="H166" s="74">
        <v>306.66666666666669</v>
      </c>
      <c r="I166" s="75" t="s">
        <v>3936</v>
      </c>
    </row>
    <row r="167" spans="1:9" ht="39.950000000000003" customHeight="1" x14ac:dyDescent="0.25">
      <c r="A167" s="5" t="s">
        <v>1945</v>
      </c>
      <c r="B167" s="5" t="s">
        <v>33</v>
      </c>
      <c r="C167" s="5" t="s">
        <v>1946</v>
      </c>
      <c r="D167" s="5" t="s">
        <v>1947</v>
      </c>
      <c r="E167" s="17">
        <v>79200</v>
      </c>
      <c r="F167" s="5" t="s">
        <v>728</v>
      </c>
      <c r="G167" s="5"/>
      <c r="H167" s="74">
        <v>298.66666666666669</v>
      </c>
      <c r="I167" s="75" t="s">
        <v>3936</v>
      </c>
    </row>
    <row r="168" spans="1:9" ht="39.950000000000003" customHeight="1" x14ac:dyDescent="0.25">
      <c r="A168" s="60" t="s">
        <v>1958</v>
      </c>
      <c r="B168" s="5" t="s">
        <v>33</v>
      </c>
      <c r="C168" s="5" t="s">
        <v>1959</v>
      </c>
      <c r="D168" s="5" t="s">
        <v>1960</v>
      </c>
      <c r="E168" s="17">
        <v>1851640</v>
      </c>
      <c r="F168" s="5" t="s">
        <v>290</v>
      </c>
      <c r="G168" s="5"/>
      <c r="H168" s="74">
        <v>272.66666666666669</v>
      </c>
      <c r="I168" s="75" t="s">
        <v>3936</v>
      </c>
    </row>
    <row r="169" spans="1:9" ht="39.950000000000003" customHeight="1" x14ac:dyDescent="0.25">
      <c r="A169" s="5" t="s">
        <v>1963</v>
      </c>
      <c r="B169" s="5" t="s">
        <v>33</v>
      </c>
      <c r="C169" s="5" t="s">
        <v>1964</v>
      </c>
      <c r="D169" s="5" t="s">
        <v>1965</v>
      </c>
      <c r="E169" s="17">
        <v>180000</v>
      </c>
      <c r="F169" s="5" t="s">
        <v>728</v>
      </c>
      <c r="G169" s="5"/>
      <c r="H169" s="74">
        <v>273.33333333333331</v>
      </c>
      <c r="I169" s="75" t="s">
        <v>3936</v>
      </c>
    </row>
    <row r="170" spans="1:9" ht="39.950000000000003" customHeight="1" x14ac:dyDescent="0.25">
      <c r="A170" s="5" t="s">
        <v>1981</v>
      </c>
      <c r="B170" s="5" t="s">
        <v>33</v>
      </c>
      <c r="C170" s="5" t="s">
        <v>1946</v>
      </c>
      <c r="D170" s="5" t="s">
        <v>1982</v>
      </c>
      <c r="E170" s="17">
        <v>148800</v>
      </c>
      <c r="F170" s="5" t="s">
        <v>728</v>
      </c>
      <c r="G170" s="5"/>
      <c r="H170" s="74">
        <v>270.66666666666669</v>
      </c>
      <c r="I170" s="75" t="s">
        <v>3936</v>
      </c>
    </row>
    <row r="171" spans="1:9" ht="39.950000000000003" customHeight="1" x14ac:dyDescent="0.25">
      <c r="A171" s="60" t="s">
        <v>1990</v>
      </c>
      <c r="B171" s="5" t="s">
        <v>33</v>
      </c>
      <c r="C171" s="5" t="s">
        <v>1959</v>
      </c>
      <c r="D171" s="5" t="s">
        <v>1991</v>
      </c>
      <c r="E171" s="17">
        <v>1318600</v>
      </c>
      <c r="F171" s="5" t="s">
        <v>290</v>
      </c>
      <c r="G171" s="5"/>
      <c r="H171" s="74">
        <v>255.33333333333334</v>
      </c>
      <c r="I171" s="75" t="s">
        <v>3936</v>
      </c>
    </row>
    <row r="172" spans="1:9" ht="39.950000000000003" customHeight="1" x14ac:dyDescent="0.25">
      <c r="A172" s="60" t="s">
        <v>1998</v>
      </c>
      <c r="B172" s="5" t="s">
        <v>33</v>
      </c>
      <c r="C172" s="5" t="s">
        <v>1999</v>
      </c>
      <c r="D172" s="5" t="s">
        <v>2000</v>
      </c>
      <c r="E172" s="17">
        <v>250000</v>
      </c>
      <c r="F172" s="5" t="s">
        <v>94</v>
      </c>
      <c r="G172" s="5"/>
      <c r="H172" s="74">
        <v>225</v>
      </c>
      <c r="I172" s="75" t="s">
        <v>3936</v>
      </c>
    </row>
    <row r="173" spans="1:9" ht="39.950000000000003" customHeight="1" x14ac:dyDescent="0.25">
      <c r="A173" s="5" t="s">
        <v>2027</v>
      </c>
      <c r="B173" s="5" t="s">
        <v>33</v>
      </c>
      <c r="C173" s="5" t="s">
        <v>2028</v>
      </c>
      <c r="D173" s="5" t="s">
        <v>2029</v>
      </c>
      <c r="E173" s="17">
        <v>400000</v>
      </c>
      <c r="F173" s="5" t="s">
        <v>73</v>
      </c>
      <c r="G173" s="5"/>
      <c r="H173" s="74">
        <v>252.33333333333334</v>
      </c>
      <c r="I173" s="75" t="s">
        <v>3936</v>
      </c>
    </row>
    <row r="174" spans="1:9" ht="39.950000000000003" customHeight="1" x14ac:dyDescent="0.25">
      <c r="A174" s="5" t="s">
        <v>2034</v>
      </c>
      <c r="B174" s="5" t="s">
        <v>33</v>
      </c>
      <c r="C174" s="5" t="s">
        <v>2028</v>
      </c>
      <c r="D174" s="5" t="s">
        <v>2035</v>
      </c>
      <c r="E174" s="17">
        <v>300000</v>
      </c>
      <c r="F174" s="5" t="s">
        <v>73</v>
      </c>
      <c r="G174" s="5"/>
      <c r="H174" s="74">
        <v>244.66666666666666</v>
      </c>
      <c r="I174" s="75" t="s">
        <v>3936</v>
      </c>
    </row>
    <row r="175" spans="1:9" ht="39.950000000000003" customHeight="1" x14ac:dyDescent="0.25">
      <c r="A175" s="60" t="s">
        <v>2085</v>
      </c>
      <c r="B175" s="5" t="s">
        <v>51</v>
      </c>
      <c r="C175" s="5" t="s">
        <v>2086</v>
      </c>
      <c r="D175" s="5" t="s">
        <v>2087</v>
      </c>
      <c r="E175" s="38">
        <v>1046576.89</v>
      </c>
      <c r="F175" s="5" t="s">
        <v>2088</v>
      </c>
      <c r="G175" s="9"/>
      <c r="H175" s="74">
        <v>225.66666666666666</v>
      </c>
      <c r="I175" s="75" t="s">
        <v>3936</v>
      </c>
    </row>
    <row r="176" spans="1:9" ht="39.950000000000003" customHeight="1" x14ac:dyDescent="0.25">
      <c r="A176" s="60" t="s">
        <v>2091</v>
      </c>
      <c r="B176" s="5" t="s">
        <v>51</v>
      </c>
      <c r="C176" s="5" t="s">
        <v>2086</v>
      </c>
      <c r="D176" s="5" t="s">
        <v>2092</v>
      </c>
      <c r="E176" s="38">
        <v>250000</v>
      </c>
      <c r="F176" s="5" t="s">
        <v>2088</v>
      </c>
      <c r="G176" s="9"/>
      <c r="H176" s="74">
        <v>218.33333333333334</v>
      </c>
      <c r="I176" s="75" t="s">
        <v>3936</v>
      </c>
    </row>
    <row r="177" spans="1:9" ht="39.950000000000003" customHeight="1" x14ac:dyDescent="0.25">
      <c r="A177" s="5" t="s">
        <v>2108</v>
      </c>
      <c r="B177" s="5" t="s">
        <v>33</v>
      </c>
      <c r="C177" s="5" t="s">
        <v>2104</v>
      </c>
      <c r="D177" s="5" t="s">
        <v>2109</v>
      </c>
      <c r="E177" s="17">
        <v>5500000</v>
      </c>
      <c r="F177" s="5" t="s">
        <v>73</v>
      </c>
      <c r="G177" s="5"/>
      <c r="H177" s="74">
        <v>298.66666666666669</v>
      </c>
      <c r="I177" s="75" t="s">
        <v>3936</v>
      </c>
    </row>
    <row r="178" spans="1:9" ht="39.950000000000003" customHeight="1" x14ac:dyDescent="0.25">
      <c r="A178" s="5" t="s">
        <v>2141</v>
      </c>
      <c r="B178" s="5" t="s">
        <v>33</v>
      </c>
      <c r="C178" s="5" t="s">
        <v>2136</v>
      </c>
      <c r="D178" s="5" t="s">
        <v>2142</v>
      </c>
      <c r="E178" s="17">
        <v>238400</v>
      </c>
      <c r="F178" s="5" t="s">
        <v>2138</v>
      </c>
      <c r="G178" s="9"/>
      <c r="H178" s="74">
        <v>320.66666666666669</v>
      </c>
      <c r="I178" s="75" t="s">
        <v>3936</v>
      </c>
    </row>
    <row r="179" spans="1:9" ht="39.950000000000003" customHeight="1" x14ac:dyDescent="0.25">
      <c r="A179" s="5" t="s">
        <v>2143</v>
      </c>
      <c r="B179" s="5" t="s">
        <v>33</v>
      </c>
      <c r="C179" s="5" t="s">
        <v>2136</v>
      </c>
      <c r="D179" s="5" t="s">
        <v>2144</v>
      </c>
      <c r="E179" s="17">
        <v>580000</v>
      </c>
      <c r="F179" s="5" t="s">
        <v>2138</v>
      </c>
      <c r="G179" s="9"/>
      <c r="H179" s="74">
        <v>318.33333333333331</v>
      </c>
      <c r="I179" s="75" t="s">
        <v>3936</v>
      </c>
    </row>
    <row r="180" spans="1:9" ht="39.950000000000003" customHeight="1" x14ac:dyDescent="0.25">
      <c r="A180" s="5" t="s">
        <v>2145</v>
      </c>
      <c r="B180" s="5" t="s">
        <v>33</v>
      </c>
      <c r="C180" s="5" t="s">
        <v>2146</v>
      </c>
      <c r="D180" s="5" t="s">
        <v>2147</v>
      </c>
      <c r="E180" s="17">
        <v>424690</v>
      </c>
      <c r="F180" s="5" t="s">
        <v>73</v>
      </c>
      <c r="G180" s="9"/>
      <c r="H180" s="74">
        <v>287</v>
      </c>
      <c r="I180" s="75" t="s">
        <v>3936</v>
      </c>
    </row>
    <row r="181" spans="1:9" ht="39.950000000000003" customHeight="1" x14ac:dyDescent="0.25">
      <c r="A181" s="5" t="s">
        <v>2152</v>
      </c>
      <c r="B181" s="5" t="s">
        <v>33</v>
      </c>
      <c r="C181" s="5" t="s">
        <v>2146</v>
      </c>
      <c r="D181" s="5" t="s">
        <v>2153</v>
      </c>
      <c r="E181" s="17">
        <v>358226</v>
      </c>
      <c r="F181" s="5" t="s">
        <v>73</v>
      </c>
      <c r="G181" s="9"/>
      <c r="H181" s="74">
        <v>278</v>
      </c>
      <c r="I181" s="75" t="s">
        <v>3936</v>
      </c>
    </row>
    <row r="182" spans="1:9" ht="39.950000000000003" customHeight="1" x14ac:dyDescent="0.25">
      <c r="A182" s="60" t="s">
        <v>2154</v>
      </c>
      <c r="B182" s="5" t="s">
        <v>33</v>
      </c>
      <c r="C182" s="5" t="s">
        <v>3932</v>
      </c>
      <c r="D182" s="5" t="s">
        <v>2156</v>
      </c>
      <c r="E182" s="17">
        <v>307058.67</v>
      </c>
      <c r="F182" s="5" t="s">
        <v>73</v>
      </c>
      <c r="G182" s="9"/>
      <c r="H182" s="74">
        <v>205</v>
      </c>
      <c r="I182" s="75" t="s">
        <v>3936</v>
      </c>
    </row>
    <row r="183" spans="1:9" ht="39.950000000000003" customHeight="1" x14ac:dyDescent="0.25">
      <c r="A183" s="5" t="s">
        <v>2205</v>
      </c>
      <c r="B183" s="5" t="s">
        <v>33</v>
      </c>
      <c r="C183" s="9" t="s">
        <v>2200</v>
      </c>
      <c r="D183" s="11" t="s">
        <v>2206</v>
      </c>
      <c r="E183" s="71">
        <v>198000</v>
      </c>
      <c r="F183" s="5" t="s">
        <v>2202</v>
      </c>
      <c r="G183" s="9"/>
      <c r="H183" s="74">
        <v>335.33333333333331</v>
      </c>
      <c r="I183" s="75" t="s">
        <v>3936</v>
      </c>
    </row>
    <row r="184" spans="1:9" ht="39.950000000000003" customHeight="1" x14ac:dyDescent="0.25">
      <c r="A184" s="5" t="s">
        <v>2207</v>
      </c>
      <c r="B184" s="5" t="s">
        <v>51</v>
      </c>
      <c r="C184" s="5" t="s">
        <v>2208</v>
      </c>
      <c r="D184" s="5" t="s">
        <v>2209</v>
      </c>
      <c r="E184" s="38">
        <v>394000</v>
      </c>
      <c r="F184" s="9" t="s">
        <v>2210</v>
      </c>
      <c r="G184" s="9"/>
      <c r="H184" s="74">
        <v>296.33333333333331</v>
      </c>
      <c r="I184" s="75" t="s">
        <v>3936</v>
      </c>
    </row>
    <row r="185" spans="1:9" ht="39.950000000000003" customHeight="1" x14ac:dyDescent="0.25">
      <c r="A185" s="5" t="s">
        <v>2215</v>
      </c>
      <c r="B185" s="5" t="s">
        <v>51</v>
      </c>
      <c r="C185" s="5" t="s">
        <v>2208</v>
      </c>
      <c r="D185" s="5" t="s">
        <v>2216</v>
      </c>
      <c r="E185" s="38">
        <v>415522</v>
      </c>
      <c r="F185" s="9" t="s">
        <v>2210</v>
      </c>
      <c r="G185" s="9"/>
      <c r="H185" s="74">
        <v>229.33333333333334</v>
      </c>
      <c r="I185" s="75" t="s">
        <v>3936</v>
      </c>
    </row>
    <row r="186" spans="1:9" ht="39.950000000000003" customHeight="1" x14ac:dyDescent="0.25">
      <c r="A186" s="60" t="s">
        <v>2229</v>
      </c>
      <c r="B186" s="5" t="s">
        <v>33</v>
      </c>
      <c r="C186" s="5" t="s">
        <v>2225</v>
      </c>
      <c r="D186" s="5" t="s">
        <v>2230</v>
      </c>
      <c r="E186" s="17">
        <v>1139100</v>
      </c>
      <c r="F186" s="5" t="s">
        <v>2220</v>
      </c>
      <c r="G186" s="9"/>
      <c r="H186" s="74">
        <v>305.66666666666669</v>
      </c>
      <c r="I186" s="75" t="s">
        <v>3936</v>
      </c>
    </row>
    <row r="187" spans="1:9" ht="39.950000000000003" customHeight="1" x14ac:dyDescent="0.25">
      <c r="A187" s="60" t="s">
        <v>2231</v>
      </c>
      <c r="B187" s="5" t="s">
        <v>33</v>
      </c>
      <c r="C187" s="5" t="s">
        <v>2225</v>
      </c>
      <c r="D187" s="5" t="s">
        <v>2232</v>
      </c>
      <c r="E187" s="17">
        <v>812100</v>
      </c>
      <c r="F187" s="5" t="s">
        <v>2220</v>
      </c>
      <c r="G187" s="9"/>
      <c r="H187" s="74">
        <v>327</v>
      </c>
      <c r="I187" s="75" t="s">
        <v>3936</v>
      </c>
    </row>
    <row r="188" spans="1:9" ht="39.950000000000003" customHeight="1" x14ac:dyDescent="0.25">
      <c r="A188" s="5" t="s">
        <v>2283</v>
      </c>
      <c r="B188" s="5" t="s">
        <v>33</v>
      </c>
      <c r="C188" s="5" t="s">
        <v>2279</v>
      </c>
      <c r="D188" s="5" t="s">
        <v>2284</v>
      </c>
      <c r="E188" s="17">
        <v>399210</v>
      </c>
      <c r="F188" s="5" t="s">
        <v>201</v>
      </c>
      <c r="G188" s="5"/>
      <c r="H188" s="74">
        <v>306</v>
      </c>
      <c r="I188" s="75" t="s">
        <v>3936</v>
      </c>
    </row>
    <row r="189" spans="1:9" ht="39.950000000000003" customHeight="1" x14ac:dyDescent="0.25">
      <c r="A189" s="5" t="s">
        <v>2285</v>
      </c>
      <c r="B189" s="5" t="s">
        <v>33</v>
      </c>
      <c r="C189" s="5" t="s">
        <v>2286</v>
      </c>
      <c r="D189" s="63" t="s">
        <v>2287</v>
      </c>
      <c r="E189" s="17">
        <v>100000</v>
      </c>
      <c r="F189" s="5" t="s">
        <v>2288</v>
      </c>
      <c r="G189" s="5"/>
      <c r="H189" s="74">
        <v>327.33333333333331</v>
      </c>
      <c r="I189" s="75" t="s">
        <v>3936</v>
      </c>
    </row>
    <row r="190" spans="1:9" ht="39.950000000000003" customHeight="1" x14ac:dyDescent="0.25">
      <c r="A190" s="9" t="s">
        <v>2331</v>
      </c>
      <c r="B190" s="5" t="s">
        <v>51</v>
      </c>
      <c r="C190" s="9" t="s">
        <v>2332</v>
      </c>
      <c r="D190" s="9" t="s">
        <v>2333</v>
      </c>
      <c r="E190" s="38">
        <v>100000</v>
      </c>
      <c r="F190" s="9" t="s">
        <v>2334</v>
      </c>
      <c r="G190" s="9"/>
      <c r="H190" s="74">
        <v>321</v>
      </c>
      <c r="I190" s="75" t="s">
        <v>3936</v>
      </c>
    </row>
    <row r="191" spans="1:9" ht="39.950000000000003" customHeight="1" x14ac:dyDescent="0.25">
      <c r="A191" s="9" t="s">
        <v>2337</v>
      </c>
      <c r="B191" s="5" t="s">
        <v>51</v>
      </c>
      <c r="C191" s="9" t="s">
        <v>2332</v>
      </c>
      <c r="D191" s="9" t="s">
        <v>2338</v>
      </c>
      <c r="E191" s="38">
        <v>100000</v>
      </c>
      <c r="F191" s="9" t="s">
        <v>2334</v>
      </c>
      <c r="G191" s="9"/>
      <c r="H191" s="74">
        <v>322.66666666666669</v>
      </c>
      <c r="I191" s="75" t="s">
        <v>3936</v>
      </c>
    </row>
    <row r="192" spans="1:9" ht="39.950000000000003" customHeight="1" x14ac:dyDescent="0.25">
      <c r="A192" s="60" t="s">
        <v>2365</v>
      </c>
      <c r="B192" s="5" t="s">
        <v>33</v>
      </c>
      <c r="C192" s="5" t="s">
        <v>1964</v>
      </c>
      <c r="D192" s="5" t="s">
        <v>2366</v>
      </c>
      <c r="E192" s="17">
        <v>236998.45</v>
      </c>
      <c r="F192" s="5" t="s">
        <v>2367</v>
      </c>
      <c r="G192" s="5"/>
      <c r="H192" s="74">
        <v>311.66666666666669</v>
      </c>
      <c r="I192" s="75" t="s">
        <v>3936</v>
      </c>
    </row>
    <row r="193" spans="1:9" ht="39.950000000000003" customHeight="1" x14ac:dyDescent="0.25">
      <c r="A193" s="5" t="s">
        <v>2421</v>
      </c>
      <c r="B193" s="5" t="s">
        <v>33</v>
      </c>
      <c r="C193" s="5" t="s">
        <v>2422</v>
      </c>
      <c r="D193" s="5" t="s">
        <v>2423</v>
      </c>
      <c r="E193" s="17">
        <v>516590.96</v>
      </c>
      <c r="F193" s="5" t="s">
        <v>201</v>
      </c>
      <c r="G193" s="9"/>
      <c r="H193" s="74">
        <v>264</v>
      </c>
      <c r="I193" s="75" t="s">
        <v>3936</v>
      </c>
    </row>
    <row r="194" spans="1:9" ht="39.950000000000003" customHeight="1" x14ac:dyDescent="0.25">
      <c r="A194" s="9" t="s">
        <v>2481</v>
      </c>
      <c r="B194" s="5" t="s">
        <v>51</v>
      </c>
      <c r="C194" s="9" t="s">
        <v>2482</v>
      </c>
      <c r="D194" s="9" t="s">
        <v>1053</v>
      </c>
      <c r="E194" s="38">
        <v>239275</v>
      </c>
      <c r="F194" s="9" t="s">
        <v>390</v>
      </c>
      <c r="G194" s="11"/>
      <c r="H194" s="74">
        <v>301.33333333333331</v>
      </c>
      <c r="I194" s="75" t="s">
        <v>3936</v>
      </c>
    </row>
    <row r="195" spans="1:9" ht="39.950000000000003" customHeight="1" x14ac:dyDescent="0.25">
      <c r="A195" s="5" t="s">
        <v>2532</v>
      </c>
      <c r="B195" s="5" t="s">
        <v>33</v>
      </c>
      <c r="C195" s="5" t="s">
        <v>2516</v>
      </c>
      <c r="D195" s="5" t="s">
        <v>2533</v>
      </c>
      <c r="E195" s="17">
        <v>720339</v>
      </c>
      <c r="F195" s="5" t="s">
        <v>73</v>
      </c>
      <c r="G195" s="5"/>
      <c r="H195" s="74">
        <v>274.66666666666669</v>
      </c>
      <c r="I195" s="75" t="s">
        <v>3936</v>
      </c>
    </row>
    <row r="196" spans="1:9" ht="39.950000000000003" customHeight="1" x14ac:dyDescent="0.25">
      <c r="A196" s="9" t="s">
        <v>2539</v>
      </c>
      <c r="B196" s="5" t="s">
        <v>51</v>
      </c>
      <c r="C196" s="9" t="s">
        <v>2535</v>
      </c>
      <c r="D196" s="9" t="s">
        <v>2540</v>
      </c>
      <c r="E196" s="38">
        <v>329350</v>
      </c>
      <c r="F196" s="9" t="s">
        <v>2138</v>
      </c>
      <c r="G196" s="11"/>
      <c r="H196" s="74">
        <v>300.33333333333331</v>
      </c>
      <c r="I196" s="75" t="s">
        <v>3936</v>
      </c>
    </row>
    <row r="197" spans="1:9" ht="39.950000000000003" customHeight="1" x14ac:dyDescent="0.25">
      <c r="A197" s="5" t="s">
        <v>2598</v>
      </c>
      <c r="B197" s="5" t="s">
        <v>33</v>
      </c>
      <c r="C197" s="5" t="s">
        <v>2593</v>
      </c>
      <c r="D197" s="5" t="s">
        <v>2599</v>
      </c>
      <c r="E197" s="17">
        <v>2737957.34</v>
      </c>
      <c r="F197" s="5" t="s">
        <v>2595</v>
      </c>
      <c r="G197" s="5"/>
      <c r="H197" s="74">
        <v>321.66666666666669</v>
      </c>
      <c r="I197" s="75" t="s">
        <v>3936</v>
      </c>
    </row>
    <row r="198" spans="1:9" ht="39.950000000000003" customHeight="1" x14ac:dyDescent="0.25">
      <c r="A198" s="5" t="s">
        <v>2602</v>
      </c>
      <c r="B198" s="5" t="s">
        <v>33</v>
      </c>
      <c r="C198" s="5" t="s">
        <v>2593</v>
      </c>
      <c r="D198" s="5" t="s">
        <v>2603</v>
      </c>
      <c r="E198" s="17">
        <v>4872240</v>
      </c>
      <c r="F198" s="5" t="s">
        <v>2595</v>
      </c>
      <c r="G198" s="5"/>
      <c r="H198" s="74">
        <v>319.33333333333331</v>
      </c>
      <c r="I198" s="75" t="s">
        <v>3936</v>
      </c>
    </row>
    <row r="199" spans="1:9" ht="39.950000000000003" customHeight="1" x14ac:dyDescent="0.25">
      <c r="A199" s="5" t="s">
        <v>2610</v>
      </c>
      <c r="B199" s="5" t="s">
        <v>33</v>
      </c>
      <c r="C199" s="5" t="s">
        <v>2611</v>
      </c>
      <c r="D199" s="5" t="s">
        <v>2612</v>
      </c>
      <c r="E199" s="17">
        <v>406060</v>
      </c>
      <c r="F199" s="5" t="s">
        <v>73</v>
      </c>
      <c r="G199" s="5"/>
      <c r="H199" s="74">
        <v>241.66666666666666</v>
      </c>
      <c r="I199" s="75" t="s">
        <v>3936</v>
      </c>
    </row>
    <row r="200" spans="1:9" ht="39.950000000000003" customHeight="1" x14ac:dyDescent="0.25">
      <c r="A200" s="5" t="s">
        <v>2617</v>
      </c>
      <c r="B200" s="5" t="s">
        <v>33</v>
      </c>
      <c r="C200" s="5" t="s">
        <v>2611</v>
      </c>
      <c r="D200" s="5" t="s">
        <v>2618</v>
      </c>
      <c r="E200" s="17">
        <v>356288</v>
      </c>
      <c r="F200" s="5" t="s">
        <v>73</v>
      </c>
      <c r="G200" s="5"/>
      <c r="H200" s="74">
        <v>244.66666666666666</v>
      </c>
      <c r="I200" s="75" t="s">
        <v>3936</v>
      </c>
    </row>
    <row r="201" spans="1:9" ht="39.950000000000003" customHeight="1" x14ac:dyDescent="0.25">
      <c r="A201" s="5" t="s">
        <v>2632</v>
      </c>
      <c r="B201" s="5" t="s">
        <v>33</v>
      </c>
      <c r="C201" s="5" t="s">
        <v>2625</v>
      </c>
      <c r="D201" s="5" t="s">
        <v>2633</v>
      </c>
      <c r="E201" s="17">
        <v>75658.17</v>
      </c>
      <c r="F201" s="5" t="s">
        <v>2627</v>
      </c>
      <c r="G201" s="5"/>
      <c r="H201" s="74">
        <v>340</v>
      </c>
      <c r="I201" s="75" t="s">
        <v>3936</v>
      </c>
    </row>
    <row r="202" spans="1:9" ht="39.950000000000003" customHeight="1" x14ac:dyDescent="0.25">
      <c r="A202" s="5" t="s">
        <v>2639</v>
      </c>
      <c r="B202" s="5" t="s">
        <v>33</v>
      </c>
      <c r="C202" s="5" t="s">
        <v>2640</v>
      </c>
      <c r="D202" s="5" t="s">
        <v>2641</v>
      </c>
      <c r="E202" s="17">
        <v>606000</v>
      </c>
      <c r="F202" s="5" t="s">
        <v>73</v>
      </c>
      <c r="G202" s="5"/>
      <c r="H202" s="74">
        <v>282.33333333333331</v>
      </c>
      <c r="I202" s="75" t="s">
        <v>3936</v>
      </c>
    </row>
    <row r="203" spans="1:9" ht="39.950000000000003" customHeight="1" x14ac:dyDescent="0.25">
      <c r="A203" s="5" t="s">
        <v>2647</v>
      </c>
      <c r="B203" s="5" t="s">
        <v>33</v>
      </c>
      <c r="C203" s="5" t="s">
        <v>2640</v>
      </c>
      <c r="D203" s="5" t="s">
        <v>2648</v>
      </c>
      <c r="E203" s="17">
        <v>1765500</v>
      </c>
      <c r="F203" s="5" t="s">
        <v>73</v>
      </c>
      <c r="G203" s="5"/>
      <c r="H203" s="74">
        <v>257.66666666666669</v>
      </c>
      <c r="I203" s="75" t="s">
        <v>3936</v>
      </c>
    </row>
    <row r="204" spans="1:9" ht="39.950000000000003" customHeight="1" x14ac:dyDescent="0.25">
      <c r="A204" s="5" t="s">
        <v>2654</v>
      </c>
      <c r="B204" s="5" t="s">
        <v>33</v>
      </c>
      <c r="C204" s="5" t="s">
        <v>2650</v>
      </c>
      <c r="D204" s="5" t="s">
        <v>2655</v>
      </c>
      <c r="E204" s="17">
        <v>1765500</v>
      </c>
      <c r="F204" s="5" t="s">
        <v>73</v>
      </c>
      <c r="G204" s="5"/>
      <c r="H204" s="74">
        <v>290</v>
      </c>
      <c r="I204" s="75" t="s">
        <v>3936</v>
      </c>
    </row>
    <row r="205" spans="1:9" ht="39.950000000000003" customHeight="1" x14ac:dyDescent="0.25">
      <c r="A205" s="5" t="s">
        <v>2657</v>
      </c>
      <c r="B205" s="5" t="s">
        <v>33</v>
      </c>
      <c r="C205" s="5" t="s">
        <v>2650</v>
      </c>
      <c r="D205" s="5" t="s">
        <v>2658</v>
      </c>
      <c r="E205" s="17">
        <v>606000</v>
      </c>
      <c r="F205" s="5" t="s">
        <v>73</v>
      </c>
      <c r="G205" s="5"/>
      <c r="H205" s="74">
        <v>291</v>
      </c>
      <c r="I205" s="75" t="s">
        <v>3936</v>
      </c>
    </row>
    <row r="206" spans="1:9" ht="39.950000000000003" customHeight="1" x14ac:dyDescent="0.25">
      <c r="A206" s="5" t="s">
        <v>2664</v>
      </c>
      <c r="B206" s="5" t="s">
        <v>33</v>
      </c>
      <c r="C206" s="5" t="s">
        <v>2660</v>
      </c>
      <c r="D206" s="5" t="s">
        <v>2665</v>
      </c>
      <c r="E206" s="17">
        <v>353442</v>
      </c>
      <c r="F206" s="5" t="s">
        <v>73</v>
      </c>
      <c r="G206" s="5"/>
      <c r="H206" s="74">
        <v>274</v>
      </c>
      <c r="I206" s="75" t="s">
        <v>3936</v>
      </c>
    </row>
    <row r="207" spans="1:9" ht="39.950000000000003" customHeight="1" x14ac:dyDescent="0.25">
      <c r="A207" s="5" t="s">
        <v>2669</v>
      </c>
      <c r="B207" s="5" t="s">
        <v>33</v>
      </c>
      <c r="C207" s="5" t="s">
        <v>2667</v>
      </c>
      <c r="D207" s="5" t="s">
        <v>2670</v>
      </c>
      <c r="E207" s="17">
        <v>417192</v>
      </c>
      <c r="F207" s="5" t="s">
        <v>73</v>
      </c>
      <c r="G207" s="5"/>
      <c r="H207" s="74">
        <v>283</v>
      </c>
      <c r="I207" s="75" t="s">
        <v>3936</v>
      </c>
    </row>
    <row r="208" spans="1:9" ht="39.950000000000003" customHeight="1" x14ac:dyDescent="0.25">
      <c r="A208" s="5" t="s">
        <v>2671</v>
      </c>
      <c r="B208" s="5" t="s">
        <v>33</v>
      </c>
      <c r="C208" s="5" t="s">
        <v>2667</v>
      </c>
      <c r="D208" s="5" t="s">
        <v>2672</v>
      </c>
      <c r="E208" s="17">
        <v>481120</v>
      </c>
      <c r="F208" s="5" t="s">
        <v>73</v>
      </c>
      <c r="G208" s="5"/>
      <c r="H208" s="74">
        <v>283</v>
      </c>
      <c r="I208" s="75" t="s">
        <v>3936</v>
      </c>
    </row>
    <row r="209" spans="1:9" ht="39.950000000000003" customHeight="1" x14ac:dyDescent="0.25">
      <c r="A209" s="5" t="s">
        <v>2673</v>
      </c>
      <c r="B209" s="5" t="s">
        <v>33</v>
      </c>
      <c r="C209" s="5" t="s">
        <v>2660</v>
      </c>
      <c r="D209" s="5" t="s">
        <v>2674</v>
      </c>
      <c r="E209" s="17">
        <v>442128</v>
      </c>
      <c r="F209" s="5" t="s">
        <v>73</v>
      </c>
      <c r="G209" s="5"/>
      <c r="H209" s="74">
        <v>262.66666666666669</v>
      </c>
      <c r="I209" s="75" t="s">
        <v>3936</v>
      </c>
    </row>
    <row r="210" spans="1:9" ht="39.950000000000003" customHeight="1" x14ac:dyDescent="0.25">
      <c r="A210" s="5" t="s">
        <v>2675</v>
      </c>
      <c r="B210" s="5" t="s">
        <v>33</v>
      </c>
      <c r="C210" s="5" t="s">
        <v>2676</v>
      </c>
      <c r="D210" s="5" t="s">
        <v>2677</v>
      </c>
      <c r="E210" s="17">
        <v>377000</v>
      </c>
      <c r="F210" s="5" t="s">
        <v>73</v>
      </c>
      <c r="G210" s="5"/>
      <c r="H210" s="74">
        <v>275.66666666666669</v>
      </c>
      <c r="I210" s="75" t="s">
        <v>3936</v>
      </c>
    </row>
    <row r="211" spans="1:9" ht="39.950000000000003" customHeight="1" x14ac:dyDescent="0.25">
      <c r="A211" s="5" t="s">
        <v>2679</v>
      </c>
      <c r="B211" s="5" t="s">
        <v>33</v>
      </c>
      <c r="C211" s="5" t="s">
        <v>2676</v>
      </c>
      <c r="D211" s="5" t="s">
        <v>2680</v>
      </c>
      <c r="E211" s="17">
        <v>362728</v>
      </c>
      <c r="F211" s="5" t="s">
        <v>73</v>
      </c>
      <c r="G211" s="5"/>
      <c r="H211" s="74">
        <v>282.66666666666669</v>
      </c>
      <c r="I211" s="75" t="s">
        <v>3936</v>
      </c>
    </row>
    <row r="212" spans="1:9" ht="39.950000000000003" customHeight="1" x14ac:dyDescent="0.25">
      <c r="A212" s="5" t="s">
        <v>2692</v>
      </c>
      <c r="B212" s="5" t="s">
        <v>33</v>
      </c>
      <c r="C212" s="5" t="s">
        <v>2693</v>
      </c>
      <c r="D212" s="5" t="s">
        <v>2694</v>
      </c>
      <c r="E212" s="17">
        <v>345629.74</v>
      </c>
      <c r="F212" s="5" t="s">
        <v>253</v>
      </c>
      <c r="G212" s="5"/>
      <c r="H212" s="74">
        <v>327.33333333333331</v>
      </c>
      <c r="I212" s="75" t="s">
        <v>3936</v>
      </c>
    </row>
    <row r="213" spans="1:9" ht="39.950000000000003" customHeight="1" x14ac:dyDescent="0.25">
      <c r="A213" s="5" t="s">
        <v>2706</v>
      </c>
      <c r="B213" s="5" t="s">
        <v>33</v>
      </c>
      <c r="C213" s="5" t="s">
        <v>2693</v>
      </c>
      <c r="D213" s="5" t="s">
        <v>2707</v>
      </c>
      <c r="E213" s="17">
        <v>332039.32</v>
      </c>
      <c r="F213" s="5" t="s">
        <v>253</v>
      </c>
      <c r="G213" s="5"/>
      <c r="H213" s="74">
        <v>338</v>
      </c>
      <c r="I213" s="75" t="s">
        <v>3936</v>
      </c>
    </row>
    <row r="214" spans="1:9" ht="39.950000000000003" customHeight="1" x14ac:dyDescent="0.25">
      <c r="A214" s="5" t="s">
        <v>2720</v>
      </c>
      <c r="B214" s="5" t="s">
        <v>51</v>
      </c>
      <c r="C214" s="5" t="s">
        <v>2721</v>
      </c>
      <c r="D214" s="5" t="s">
        <v>2722</v>
      </c>
      <c r="E214" s="38">
        <v>196347.25</v>
      </c>
      <c r="F214" s="9" t="s">
        <v>2723</v>
      </c>
      <c r="G214" s="11"/>
      <c r="H214" s="74">
        <v>289</v>
      </c>
      <c r="I214" s="75" t="s">
        <v>3936</v>
      </c>
    </row>
    <row r="215" spans="1:9" ht="39.950000000000003" customHeight="1" x14ac:dyDescent="0.25">
      <c r="A215" s="5" t="s">
        <v>2720</v>
      </c>
      <c r="B215" s="5" t="s">
        <v>51</v>
      </c>
      <c r="C215" s="5" t="s">
        <v>2721</v>
      </c>
      <c r="D215" s="5" t="s">
        <v>2728</v>
      </c>
      <c r="E215" s="38">
        <v>300000</v>
      </c>
      <c r="F215" s="9" t="s">
        <v>2723</v>
      </c>
      <c r="G215" s="11"/>
      <c r="H215" s="74">
        <v>302.66666666666669</v>
      </c>
      <c r="I215" s="75" t="s">
        <v>3936</v>
      </c>
    </row>
    <row r="216" spans="1:9" ht="39.950000000000003" customHeight="1" x14ac:dyDescent="0.25">
      <c r="A216" s="5" t="s">
        <v>2802</v>
      </c>
      <c r="B216" s="5" t="s">
        <v>33</v>
      </c>
      <c r="C216" s="5" t="s">
        <v>2798</v>
      </c>
      <c r="D216" s="5" t="s">
        <v>2803</v>
      </c>
      <c r="E216" s="17">
        <v>397080</v>
      </c>
      <c r="F216" s="5" t="s">
        <v>73</v>
      </c>
      <c r="G216" s="5"/>
      <c r="H216" s="74">
        <v>213</v>
      </c>
      <c r="I216" s="75" t="s">
        <v>3936</v>
      </c>
    </row>
    <row r="217" spans="1:9" ht="39.950000000000003" customHeight="1" x14ac:dyDescent="0.25">
      <c r="A217" s="5" t="s">
        <v>2804</v>
      </c>
      <c r="B217" s="5" t="s">
        <v>33</v>
      </c>
      <c r="C217" s="5" t="s">
        <v>2798</v>
      </c>
      <c r="D217" s="5" t="s">
        <v>2805</v>
      </c>
      <c r="E217" s="17">
        <v>467160</v>
      </c>
      <c r="F217" s="5" t="s">
        <v>73</v>
      </c>
      <c r="G217" s="5"/>
      <c r="H217" s="74">
        <v>265.66666666666669</v>
      </c>
      <c r="I217" s="75" t="s">
        <v>3936</v>
      </c>
    </row>
    <row r="218" spans="1:9" ht="39.950000000000003" customHeight="1" x14ac:dyDescent="0.25">
      <c r="A218" s="5" t="s">
        <v>2806</v>
      </c>
      <c r="B218" s="5" t="s">
        <v>33</v>
      </c>
      <c r="C218" s="5" t="s">
        <v>2807</v>
      </c>
      <c r="D218" s="5" t="s">
        <v>2808</v>
      </c>
      <c r="E218" s="17">
        <v>468232.2</v>
      </c>
      <c r="F218" s="5" t="s">
        <v>73</v>
      </c>
      <c r="G218" s="5"/>
      <c r="H218" s="74">
        <v>276.66666666666669</v>
      </c>
      <c r="I218" s="75" t="s">
        <v>3936</v>
      </c>
    </row>
    <row r="219" spans="1:9" ht="39.950000000000003" customHeight="1" x14ac:dyDescent="0.25">
      <c r="A219" s="5" t="s">
        <v>2811</v>
      </c>
      <c r="B219" s="5" t="s">
        <v>33</v>
      </c>
      <c r="C219" s="5" t="s">
        <v>2807</v>
      </c>
      <c r="D219" s="5" t="s">
        <v>2812</v>
      </c>
      <c r="E219" s="17">
        <v>433836</v>
      </c>
      <c r="F219" s="5" t="s">
        <v>73</v>
      </c>
      <c r="G219" s="5"/>
      <c r="H219" s="74">
        <v>296.33333333333331</v>
      </c>
      <c r="I219" s="75" t="s">
        <v>3936</v>
      </c>
    </row>
    <row r="220" spans="1:9" ht="39.950000000000003" customHeight="1" x14ac:dyDescent="0.25">
      <c r="A220" s="5" t="s">
        <v>2815</v>
      </c>
      <c r="B220" s="5" t="s">
        <v>33</v>
      </c>
      <c r="C220" s="5" t="s">
        <v>2816</v>
      </c>
      <c r="D220" s="5" t="s">
        <v>2817</v>
      </c>
      <c r="E220" s="17">
        <v>349940</v>
      </c>
      <c r="F220" s="5" t="s">
        <v>2818</v>
      </c>
      <c r="G220" s="5"/>
      <c r="H220" s="74">
        <v>261</v>
      </c>
      <c r="I220" s="75" t="s">
        <v>3936</v>
      </c>
    </row>
    <row r="221" spans="1:9" ht="39.950000000000003" customHeight="1" x14ac:dyDescent="0.25">
      <c r="A221" s="5" t="s">
        <v>2877</v>
      </c>
      <c r="B221" s="5" t="s">
        <v>33</v>
      </c>
      <c r="C221" s="5" t="s">
        <v>2868</v>
      </c>
      <c r="D221" s="5" t="s">
        <v>2878</v>
      </c>
      <c r="E221" s="17">
        <v>1422430</v>
      </c>
      <c r="F221" s="5" t="s">
        <v>73</v>
      </c>
      <c r="G221" s="5"/>
      <c r="H221" s="74">
        <v>252.33333333333334</v>
      </c>
      <c r="I221" s="75" t="s">
        <v>3936</v>
      </c>
    </row>
    <row r="222" spans="1:9" ht="39.950000000000003" customHeight="1" x14ac:dyDescent="0.25">
      <c r="A222" s="5" t="s">
        <v>381</v>
      </c>
      <c r="B222" s="5" t="s">
        <v>33</v>
      </c>
      <c r="C222" s="5" t="s">
        <v>382</v>
      </c>
      <c r="D222" s="5" t="s">
        <v>383</v>
      </c>
      <c r="E222" s="17">
        <v>100000</v>
      </c>
      <c r="F222" s="5" t="s">
        <v>384</v>
      </c>
      <c r="G222" s="5"/>
      <c r="H222" s="74">
        <v>304.33333333333331</v>
      </c>
      <c r="I222" s="75" t="s">
        <v>3936</v>
      </c>
    </row>
    <row r="223" spans="1:9" ht="39.950000000000003" customHeight="1" x14ac:dyDescent="0.25">
      <c r="A223" s="9" t="s">
        <v>2508</v>
      </c>
      <c r="B223" s="5" t="s">
        <v>51</v>
      </c>
      <c r="C223" s="9" t="s">
        <v>2509</v>
      </c>
      <c r="D223" s="9" t="s">
        <v>2510</v>
      </c>
      <c r="E223" s="38">
        <v>34165</v>
      </c>
      <c r="F223" s="9" t="s">
        <v>2511</v>
      </c>
      <c r="G223" s="11"/>
      <c r="H223" s="74">
        <v>304.33333333333331</v>
      </c>
      <c r="I223" s="75" t="s">
        <v>3936</v>
      </c>
    </row>
    <row r="224" spans="1:9" ht="39.950000000000003" customHeight="1" x14ac:dyDescent="0.25">
      <c r="A224" s="5" t="s">
        <v>1585</v>
      </c>
      <c r="B224" s="5" t="s">
        <v>33</v>
      </c>
      <c r="C224" s="5" t="s">
        <v>1586</v>
      </c>
      <c r="D224" s="5" t="s">
        <v>1587</v>
      </c>
      <c r="E224" s="17">
        <v>258000</v>
      </c>
      <c r="F224" s="5" t="s">
        <v>73</v>
      </c>
      <c r="G224" s="5"/>
      <c r="H224" s="74">
        <v>304</v>
      </c>
      <c r="I224" s="75" t="s">
        <v>3936</v>
      </c>
    </row>
    <row r="225" spans="1:9" ht="39.950000000000003" customHeight="1" x14ac:dyDescent="0.25">
      <c r="A225" s="5" t="s">
        <v>2310</v>
      </c>
      <c r="B225" s="5" t="s">
        <v>33</v>
      </c>
      <c r="C225" s="5" t="s">
        <v>2311</v>
      </c>
      <c r="D225" s="5" t="s">
        <v>2312</v>
      </c>
      <c r="E225" s="17">
        <v>46669.7</v>
      </c>
      <c r="F225" s="5" t="s">
        <v>2307</v>
      </c>
      <c r="G225" s="5"/>
      <c r="H225" s="74">
        <v>304</v>
      </c>
      <c r="I225" s="75" t="s">
        <v>3936</v>
      </c>
    </row>
    <row r="226" spans="1:9" ht="39.950000000000003" customHeight="1" x14ac:dyDescent="0.25">
      <c r="A226" s="5" t="s">
        <v>1374</v>
      </c>
      <c r="B226" s="5" t="s">
        <v>33</v>
      </c>
      <c r="C226" s="5" t="s">
        <v>1375</v>
      </c>
      <c r="D226" s="5" t="s">
        <v>1376</v>
      </c>
      <c r="E226" s="17">
        <v>295091.13</v>
      </c>
      <c r="F226" s="5" t="s">
        <v>1367</v>
      </c>
      <c r="G226" s="5"/>
      <c r="H226" s="74">
        <v>303</v>
      </c>
      <c r="I226" s="75" t="s">
        <v>3936</v>
      </c>
    </row>
    <row r="227" spans="1:9" ht="39.950000000000003" customHeight="1" x14ac:dyDescent="0.25">
      <c r="A227" s="5" t="s">
        <v>2604</v>
      </c>
      <c r="B227" s="5" t="s">
        <v>51</v>
      </c>
      <c r="C227" s="5" t="s">
        <v>2450</v>
      </c>
      <c r="D227" s="5" t="s">
        <v>2605</v>
      </c>
      <c r="E227" s="38">
        <v>125000</v>
      </c>
      <c r="F227" s="11" t="s">
        <v>2606</v>
      </c>
      <c r="G227" s="5"/>
      <c r="H227" s="74">
        <v>302.33333333333331</v>
      </c>
      <c r="I227" s="75" t="s">
        <v>3936</v>
      </c>
    </row>
    <row r="228" spans="1:9" ht="39.950000000000003" customHeight="1" x14ac:dyDescent="0.25">
      <c r="A228" s="5" t="s">
        <v>2735</v>
      </c>
      <c r="B228" s="5" t="s">
        <v>33</v>
      </c>
      <c r="C228" s="5" t="s">
        <v>2736</v>
      </c>
      <c r="D228" s="5" t="s">
        <v>2737</v>
      </c>
      <c r="E228" s="17">
        <v>987125</v>
      </c>
      <c r="F228" s="5" t="s">
        <v>73</v>
      </c>
      <c r="G228" s="5"/>
      <c r="H228" s="74">
        <v>302</v>
      </c>
      <c r="I228" s="75" t="s">
        <v>3936</v>
      </c>
    </row>
    <row r="229" spans="1:9" ht="39.950000000000003" customHeight="1" x14ac:dyDescent="0.25">
      <c r="A229" s="5" t="s">
        <v>1472</v>
      </c>
      <c r="B229" s="5" t="s">
        <v>33</v>
      </c>
      <c r="C229" s="5" t="s">
        <v>1473</v>
      </c>
      <c r="D229" s="5" t="s">
        <v>1474</v>
      </c>
      <c r="E229" s="17">
        <v>302200</v>
      </c>
      <c r="F229" s="5" t="s">
        <v>1475</v>
      </c>
      <c r="G229" s="5"/>
      <c r="H229" s="74">
        <v>301</v>
      </c>
      <c r="I229" s="75" t="s">
        <v>3936</v>
      </c>
    </row>
    <row r="230" spans="1:9" ht="39.950000000000003" customHeight="1" x14ac:dyDescent="0.25">
      <c r="A230" s="5" t="s">
        <v>1915</v>
      </c>
      <c r="B230" s="5" t="s">
        <v>33</v>
      </c>
      <c r="C230" s="5" t="s">
        <v>1916</v>
      </c>
      <c r="D230" s="5" t="s">
        <v>1917</v>
      </c>
      <c r="E230" s="17">
        <v>64900</v>
      </c>
      <c r="F230" s="5" t="s">
        <v>1908</v>
      </c>
      <c r="G230" s="9"/>
      <c r="H230" s="74">
        <v>300.66666666666669</v>
      </c>
      <c r="I230" s="75" t="s">
        <v>3936</v>
      </c>
    </row>
    <row r="231" spans="1:9" ht="39.950000000000003" customHeight="1" x14ac:dyDescent="0.25">
      <c r="A231" s="60" t="s">
        <v>472</v>
      </c>
      <c r="B231" s="5" t="s">
        <v>33</v>
      </c>
      <c r="C231" s="5" t="s">
        <v>473</v>
      </c>
      <c r="D231" s="5" t="s">
        <v>474</v>
      </c>
      <c r="E231" s="17">
        <v>10000</v>
      </c>
      <c r="F231" s="5" t="s">
        <v>475</v>
      </c>
      <c r="G231" s="5"/>
      <c r="H231" s="74">
        <v>300.33333333333331</v>
      </c>
      <c r="I231" s="75" t="s">
        <v>3936</v>
      </c>
    </row>
    <row r="232" spans="1:9" ht="39.950000000000003" customHeight="1" x14ac:dyDescent="0.25">
      <c r="A232" s="5" t="s">
        <v>1481</v>
      </c>
      <c r="B232" s="5" t="s">
        <v>33</v>
      </c>
      <c r="C232" s="5" t="s">
        <v>1482</v>
      </c>
      <c r="D232" s="5" t="s">
        <v>1483</v>
      </c>
      <c r="E232" s="17">
        <v>160000</v>
      </c>
      <c r="F232" s="5" t="s">
        <v>1484</v>
      </c>
      <c r="G232" s="5"/>
      <c r="H232" s="74">
        <v>300.33333333333331</v>
      </c>
      <c r="I232" s="75" t="s">
        <v>3936</v>
      </c>
    </row>
    <row r="233" spans="1:9" ht="39.950000000000003" customHeight="1" x14ac:dyDescent="0.25">
      <c r="A233" s="5" t="s">
        <v>328</v>
      </c>
      <c r="B233" s="5" t="s">
        <v>33</v>
      </c>
      <c r="C233" s="5" t="s">
        <v>329</v>
      </c>
      <c r="D233" s="5" t="s">
        <v>330</v>
      </c>
      <c r="E233" s="17">
        <v>1431815.84</v>
      </c>
      <c r="F233" s="5" t="s">
        <v>73</v>
      </c>
      <c r="G233" s="9"/>
      <c r="H233" s="74">
        <v>300</v>
      </c>
      <c r="I233" s="75" t="s">
        <v>3936</v>
      </c>
    </row>
    <row r="234" spans="1:9" ht="39.950000000000003" customHeight="1" x14ac:dyDescent="0.25">
      <c r="A234" s="5" t="s">
        <v>2426</v>
      </c>
      <c r="B234" s="5" t="s">
        <v>33</v>
      </c>
      <c r="C234" s="5" t="s">
        <v>2422</v>
      </c>
      <c r="D234" s="5" t="s">
        <v>2427</v>
      </c>
      <c r="E234" s="17">
        <v>505667</v>
      </c>
      <c r="F234" s="5" t="s">
        <v>201</v>
      </c>
      <c r="G234" s="11"/>
      <c r="H234" s="74">
        <v>299.66666666666669</v>
      </c>
      <c r="I234" s="75" t="s">
        <v>3936</v>
      </c>
    </row>
    <row r="235" spans="1:9" ht="39.950000000000003" customHeight="1" x14ac:dyDescent="0.25">
      <c r="A235" s="60" t="s">
        <v>2474</v>
      </c>
      <c r="B235" s="5" t="s">
        <v>33</v>
      </c>
      <c r="C235" s="5" t="s">
        <v>2475</v>
      </c>
      <c r="D235" s="5" t="s">
        <v>2476</v>
      </c>
      <c r="E235" s="17">
        <v>588000</v>
      </c>
      <c r="F235" s="5" t="s">
        <v>2477</v>
      </c>
      <c r="G235" s="5"/>
      <c r="H235" s="74">
        <v>299.66666666666669</v>
      </c>
      <c r="I235" s="75" t="s">
        <v>3936</v>
      </c>
    </row>
    <row r="236" spans="1:9" ht="39.950000000000003" customHeight="1" x14ac:dyDescent="0.25">
      <c r="A236" s="5" t="s">
        <v>297</v>
      </c>
      <c r="B236" s="5" t="s">
        <v>33</v>
      </c>
      <c r="C236" s="5" t="s">
        <v>298</v>
      </c>
      <c r="D236" s="5" t="s">
        <v>299</v>
      </c>
      <c r="E236" s="17">
        <v>252000</v>
      </c>
      <c r="F236" s="5" t="s">
        <v>290</v>
      </c>
      <c r="G236" s="11"/>
      <c r="H236" s="74">
        <v>299</v>
      </c>
      <c r="I236" s="75" t="s">
        <v>3936</v>
      </c>
    </row>
    <row r="237" spans="1:9" ht="39.950000000000003" customHeight="1" x14ac:dyDescent="0.25">
      <c r="A237" s="5" t="s">
        <v>2172</v>
      </c>
      <c r="B237" s="5" t="s">
        <v>33</v>
      </c>
      <c r="C237" s="5" t="s">
        <v>2173</v>
      </c>
      <c r="D237" s="5" t="s">
        <v>2174</v>
      </c>
      <c r="E237" s="71">
        <v>2997082.04</v>
      </c>
      <c r="F237" s="5" t="s">
        <v>73</v>
      </c>
      <c r="G237" s="5"/>
      <c r="H237" s="74">
        <v>298.66666666666669</v>
      </c>
      <c r="I237" s="75" t="s">
        <v>3936</v>
      </c>
    </row>
    <row r="238" spans="1:9" ht="39.950000000000003" customHeight="1" x14ac:dyDescent="0.25">
      <c r="A238" s="9" t="s">
        <v>720</v>
      </c>
      <c r="B238" s="5" t="s">
        <v>51</v>
      </c>
      <c r="C238" s="9" t="s">
        <v>712</v>
      </c>
      <c r="D238" s="11" t="s">
        <v>721</v>
      </c>
      <c r="E238" s="38">
        <v>600000</v>
      </c>
      <c r="F238" s="9" t="s">
        <v>701</v>
      </c>
      <c r="G238" s="5"/>
      <c r="H238" s="74">
        <v>298</v>
      </c>
      <c r="I238" s="75" t="s">
        <v>3936</v>
      </c>
    </row>
    <row r="239" spans="1:9" ht="39.950000000000003" customHeight="1" x14ac:dyDescent="0.25">
      <c r="A239" s="5" t="s">
        <v>535</v>
      </c>
      <c r="B239" s="5" t="s">
        <v>33</v>
      </c>
      <c r="C239" s="5" t="s">
        <v>536</v>
      </c>
      <c r="D239" s="5" t="s">
        <v>537</v>
      </c>
      <c r="E239" s="17">
        <v>88496</v>
      </c>
      <c r="F239" s="5" t="s">
        <v>538</v>
      </c>
      <c r="G239" s="5"/>
      <c r="H239" s="74">
        <v>297.33333333333331</v>
      </c>
      <c r="I239" s="75" t="s">
        <v>3936</v>
      </c>
    </row>
    <row r="240" spans="1:9" ht="39.950000000000003" customHeight="1" x14ac:dyDescent="0.25">
      <c r="A240" s="9" t="s">
        <v>2400</v>
      </c>
      <c r="B240" s="5" t="s">
        <v>51</v>
      </c>
      <c r="C240" s="9" t="s">
        <v>2401</v>
      </c>
      <c r="D240" s="9" t="s">
        <v>2402</v>
      </c>
      <c r="E240" s="38">
        <v>150000</v>
      </c>
      <c r="F240" s="9" t="s">
        <v>2397</v>
      </c>
      <c r="G240" s="5"/>
      <c r="H240" s="74">
        <v>296.66666666666669</v>
      </c>
      <c r="I240" s="75" t="s">
        <v>3936</v>
      </c>
    </row>
    <row r="241" spans="1:9" ht="39.950000000000003" customHeight="1" x14ac:dyDescent="0.25">
      <c r="A241" s="5" t="s">
        <v>137</v>
      </c>
      <c r="B241" s="5" t="s">
        <v>33</v>
      </c>
      <c r="C241" s="5" t="s">
        <v>138</v>
      </c>
      <c r="D241" s="5" t="s">
        <v>139</v>
      </c>
      <c r="E241" s="17">
        <v>29714</v>
      </c>
      <c r="F241" s="5" t="s">
        <v>140</v>
      </c>
      <c r="G241" s="5"/>
      <c r="H241" s="74">
        <v>296.33333333333331</v>
      </c>
      <c r="I241" s="75" t="s">
        <v>3936</v>
      </c>
    </row>
    <row r="242" spans="1:9" ht="39.950000000000003" customHeight="1" x14ac:dyDescent="0.25">
      <c r="A242" s="5" t="s">
        <v>1002</v>
      </c>
      <c r="B242" s="5" t="s">
        <v>33</v>
      </c>
      <c r="C242" s="5" t="s">
        <v>1003</v>
      </c>
      <c r="D242" s="5" t="s">
        <v>1004</v>
      </c>
      <c r="E242" s="17">
        <v>278842.44</v>
      </c>
      <c r="F242" s="5" t="s">
        <v>1005</v>
      </c>
      <c r="G242" s="5"/>
      <c r="H242" s="74">
        <v>296.33333333333331</v>
      </c>
      <c r="I242" s="75" t="s">
        <v>3936</v>
      </c>
    </row>
    <row r="243" spans="1:9" ht="39.950000000000003" customHeight="1" x14ac:dyDescent="0.25">
      <c r="A243" s="5" t="s">
        <v>370</v>
      </c>
      <c r="B243" s="5" t="s">
        <v>33</v>
      </c>
      <c r="C243" s="5" t="s">
        <v>371</v>
      </c>
      <c r="D243" s="5" t="s">
        <v>372</v>
      </c>
      <c r="E243" s="17">
        <v>34150</v>
      </c>
      <c r="F243" s="5" t="s">
        <v>366</v>
      </c>
      <c r="G243" s="5"/>
      <c r="H243" s="74">
        <v>295.66666666666669</v>
      </c>
      <c r="I243" s="75" t="s">
        <v>3936</v>
      </c>
    </row>
    <row r="244" spans="1:9" ht="39.950000000000003" customHeight="1" x14ac:dyDescent="0.25">
      <c r="A244" s="5" t="s">
        <v>59</v>
      </c>
      <c r="B244" s="5" t="s">
        <v>33</v>
      </c>
      <c r="C244" s="5" t="s">
        <v>60</v>
      </c>
      <c r="D244" s="5" t="s">
        <v>61</v>
      </c>
      <c r="E244" s="17">
        <v>1000000</v>
      </c>
      <c r="F244" s="5" t="s">
        <v>63</v>
      </c>
      <c r="G244" s="5"/>
      <c r="H244" s="74">
        <v>295.33333333333331</v>
      </c>
      <c r="I244" s="75" t="s">
        <v>3936</v>
      </c>
    </row>
    <row r="245" spans="1:9" ht="39.950000000000003" customHeight="1" x14ac:dyDescent="0.25">
      <c r="A245" s="5" t="s">
        <v>903</v>
      </c>
      <c r="B245" s="5" t="s">
        <v>33</v>
      </c>
      <c r="C245" s="5" t="s">
        <v>904</v>
      </c>
      <c r="D245" s="5" t="s">
        <v>905</v>
      </c>
      <c r="E245" s="17">
        <v>11850.05</v>
      </c>
      <c r="F245" s="5" t="s">
        <v>896</v>
      </c>
      <c r="G245" s="5"/>
      <c r="H245" s="74">
        <v>295</v>
      </c>
      <c r="I245" s="75" t="s">
        <v>3936</v>
      </c>
    </row>
    <row r="246" spans="1:9" ht="39.950000000000003" customHeight="1" x14ac:dyDescent="0.25">
      <c r="A246" s="5" t="s">
        <v>1104</v>
      </c>
      <c r="B246" s="5" t="s">
        <v>33</v>
      </c>
      <c r="C246" s="5" t="s">
        <v>1105</v>
      </c>
      <c r="D246" s="5" t="s">
        <v>1106</v>
      </c>
      <c r="E246" s="17">
        <v>135744</v>
      </c>
      <c r="F246" s="5" t="s">
        <v>1107</v>
      </c>
      <c r="G246" s="5"/>
      <c r="H246" s="74">
        <v>295</v>
      </c>
      <c r="I246" s="75" t="s">
        <v>3936</v>
      </c>
    </row>
    <row r="247" spans="1:9" ht="39.950000000000003" customHeight="1" x14ac:dyDescent="0.25">
      <c r="A247" s="5" t="s">
        <v>1008</v>
      </c>
      <c r="B247" s="5" t="s">
        <v>33</v>
      </c>
      <c r="C247" s="5" t="s">
        <v>1009</v>
      </c>
      <c r="D247" s="5" t="s">
        <v>1010</v>
      </c>
      <c r="E247" s="17">
        <v>322800</v>
      </c>
      <c r="F247" s="5" t="s">
        <v>342</v>
      </c>
      <c r="G247" s="5"/>
      <c r="H247" s="74">
        <v>294.66666666666669</v>
      </c>
      <c r="I247" s="75" t="s">
        <v>3936</v>
      </c>
    </row>
    <row r="248" spans="1:9" ht="39.950000000000003" customHeight="1" x14ac:dyDescent="0.25">
      <c r="A248" s="5" t="s">
        <v>2729</v>
      </c>
      <c r="B248" s="5" t="s">
        <v>33</v>
      </c>
      <c r="C248" s="5" t="s">
        <v>2730</v>
      </c>
      <c r="D248" s="5" t="s">
        <v>2731</v>
      </c>
      <c r="E248" s="17">
        <v>4517586.97</v>
      </c>
      <c r="F248" s="5" t="s">
        <v>2732</v>
      </c>
      <c r="G248" s="5"/>
      <c r="H248" s="74">
        <v>294.33333333333331</v>
      </c>
      <c r="I248" s="75" t="s">
        <v>3936</v>
      </c>
    </row>
    <row r="249" spans="1:9" ht="39.950000000000003" customHeight="1" x14ac:dyDescent="0.25">
      <c r="A249" s="5" t="s">
        <v>237</v>
      </c>
      <c r="B249" s="5" t="s">
        <v>33</v>
      </c>
      <c r="C249" s="5" t="s">
        <v>238</v>
      </c>
      <c r="D249" s="5" t="s">
        <v>239</v>
      </c>
      <c r="E249" s="17">
        <v>641438.57999999996</v>
      </c>
      <c r="F249" s="5" t="s">
        <v>240</v>
      </c>
      <c r="G249" s="5"/>
      <c r="H249" s="74">
        <v>292.66666666666669</v>
      </c>
      <c r="I249" s="75" t="s">
        <v>3936</v>
      </c>
    </row>
    <row r="250" spans="1:9" ht="39.950000000000003" customHeight="1" x14ac:dyDescent="0.25">
      <c r="A250" s="60" t="s">
        <v>1127</v>
      </c>
      <c r="B250" s="5" t="s">
        <v>33</v>
      </c>
      <c r="C250" s="5" t="s">
        <v>1128</v>
      </c>
      <c r="D250" s="5" t="s">
        <v>1129</v>
      </c>
      <c r="E250" s="17">
        <v>60367</v>
      </c>
      <c r="F250" s="5" t="s">
        <v>1130</v>
      </c>
      <c r="G250" s="5"/>
      <c r="H250" s="74">
        <v>292.66666666666669</v>
      </c>
      <c r="I250" s="75" t="s">
        <v>3936</v>
      </c>
    </row>
    <row r="251" spans="1:9" ht="39.950000000000003" customHeight="1" x14ac:dyDescent="0.25">
      <c r="A251" s="5" t="s">
        <v>2760</v>
      </c>
      <c r="B251" s="5" t="s">
        <v>33</v>
      </c>
      <c r="C251" s="5" t="s">
        <v>2761</v>
      </c>
      <c r="D251" s="5" t="s">
        <v>2762</v>
      </c>
      <c r="E251" s="17">
        <v>403540</v>
      </c>
      <c r="F251" s="5" t="s">
        <v>73</v>
      </c>
      <c r="G251" s="5"/>
      <c r="H251" s="74">
        <v>292.66666666666669</v>
      </c>
      <c r="I251" s="75" t="s">
        <v>3936</v>
      </c>
    </row>
    <row r="252" spans="1:9" ht="39.950000000000003" customHeight="1" x14ac:dyDescent="0.25">
      <c r="A252" s="5" t="s">
        <v>1466</v>
      </c>
      <c r="B252" s="5" t="s">
        <v>33</v>
      </c>
      <c r="C252" s="5" t="s">
        <v>1467</v>
      </c>
      <c r="D252" s="5" t="s">
        <v>1468</v>
      </c>
      <c r="E252" s="17">
        <v>71000</v>
      </c>
      <c r="F252" s="5" t="s">
        <v>1469</v>
      </c>
      <c r="G252" s="5"/>
      <c r="H252" s="74">
        <v>292.33333333333331</v>
      </c>
      <c r="I252" s="75" t="s">
        <v>3936</v>
      </c>
    </row>
    <row r="253" spans="1:9" ht="39.950000000000003" customHeight="1" x14ac:dyDescent="0.25">
      <c r="A253" s="5" t="s">
        <v>339</v>
      </c>
      <c r="B253" s="5" t="s">
        <v>33</v>
      </c>
      <c r="C253" s="5" t="s">
        <v>340</v>
      </c>
      <c r="D253" s="5" t="s">
        <v>341</v>
      </c>
      <c r="E253" s="17">
        <v>88952.51</v>
      </c>
      <c r="F253" s="5" t="s">
        <v>342</v>
      </c>
      <c r="G253" s="9"/>
      <c r="H253" s="74">
        <v>292</v>
      </c>
      <c r="I253" s="75" t="s">
        <v>3936</v>
      </c>
    </row>
    <row r="254" spans="1:9" ht="39.950000000000003" customHeight="1" x14ac:dyDescent="0.25">
      <c r="A254" s="60" t="s">
        <v>2411</v>
      </c>
      <c r="B254" s="5" t="s">
        <v>33</v>
      </c>
      <c r="C254" s="5" t="s">
        <v>2412</v>
      </c>
      <c r="D254" s="5" t="s">
        <v>2413</v>
      </c>
      <c r="E254" s="17">
        <v>600000</v>
      </c>
      <c r="F254" s="5" t="s">
        <v>73</v>
      </c>
      <c r="G254" s="5"/>
      <c r="H254" s="74">
        <v>292</v>
      </c>
      <c r="I254" s="75" t="s">
        <v>3936</v>
      </c>
    </row>
    <row r="255" spans="1:9" ht="39.950000000000003" customHeight="1" x14ac:dyDescent="0.25">
      <c r="A255" s="5" t="s">
        <v>84</v>
      </c>
      <c r="B255" s="5" t="s">
        <v>33</v>
      </c>
      <c r="C255" s="5" t="s">
        <v>85</v>
      </c>
      <c r="D255" s="5" t="s">
        <v>86</v>
      </c>
      <c r="E255" s="17">
        <v>364980</v>
      </c>
      <c r="F255" s="5" t="s">
        <v>63</v>
      </c>
      <c r="G255" s="5"/>
      <c r="H255" s="74">
        <v>291.66666666666669</v>
      </c>
      <c r="I255" s="75" t="s">
        <v>3936</v>
      </c>
    </row>
    <row r="256" spans="1:9" ht="39.950000000000003" customHeight="1" x14ac:dyDescent="0.25">
      <c r="A256" s="5" t="s">
        <v>1137</v>
      </c>
      <c r="B256" s="5" t="s">
        <v>33</v>
      </c>
      <c r="C256" s="5" t="s">
        <v>1138</v>
      </c>
      <c r="D256" s="5" t="s">
        <v>1139</v>
      </c>
      <c r="E256" s="17">
        <v>70000</v>
      </c>
      <c r="F256" s="5" t="s">
        <v>1140</v>
      </c>
      <c r="G256" s="5"/>
      <c r="H256" s="74">
        <v>291</v>
      </c>
      <c r="I256" s="75" t="s">
        <v>3936</v>
      </c>
    </row>
    <row r="257" spans="1:9" ht="39.950000000000003" customHeight="1" x14ac:dyDescent="0.25">
      <c r="A257" s="9" t="s">
        <v>1573</v>
      </c>
      <c r="B257" s="5" t="s">
        <v>51</v>
      </c>
      <c r="C257" s="9" t="s">
        <v>1574</v>
      </c>
      <c r="D257" s="9" t="s">
        <v>1575</v>
      </c>
      <c r="E257" s="38">
        <v>315584</v>
      </c>
      <c r="F257" s="9" t="s">
        <v>1576</v>
      </c>
      <c r="G257" s="5"/>
      <c r="H257" s="74">
        <v>291</v>
      </c>
      <c r="I257" s="75" t="s">
        <v>3936</v>
      </c>
    </row>
    <row r="258" spans="1:9" ht="39.950000000000003" customHeight="1" x14ac:dyDescent="0.25">
      <c r="A258" s="5" t="s">
        <v>2217</v>
      </c>
      <c r="B258" s="5" t="s">
        <v>33</v>
      </c>
      <c r="C258" s="5" t="s">
        <v>2218</v>
      </c>
      <c r="D258" s="5" t="s">
        <v>2219</v>
      </c>
      <c r="E258" s="17">
        <v>0</v>
      </c>
      <c r="F258" s="5" t="s">
        <v>2220</v>
      </c>
      <c r="G258" s="5"/>
      <c r="H258" s="74">
        <v>291</v>
      </c>
      <c r="I258" s="75" t="s">
        <v>3936</v>
      </c>
    </row>
    <row r="259" spans="1:9" ht="39.950000000000003" customHeight="1" x14ac:dyDescent="0.25">
      <c r="A259" s="5" t="s">
        <v>2016</v>
      </c>
      <c r="B259" s="5" t="s">
        <v>33</v>
      </c>
      <c r="C259" s="5" t="s">
        <v>2017</v>
      </c>
      <c r="D259" s="5" t="s">
        <v>2018</v>
      </c>
      <c r="E259" s="17">
        <v>718800</v>
      </c>
      <c r="F259" s="5" t="s">
        <v>73</v>
      </c>
      <c r="G259" s="9"/>
      <c r="H259" s="74">
        <v>290.66666666666669</v>
      </c>
      <c r="I259" s="75" t="s">
        <v>3936</v>
      </c>
    </row>
    <row r="260" spans="1:9" ht="39.950000000000003" customHeight="1" x14ac:dyDescent="0.25">
      <c r="A260" s="60" t="s">
        <v>1660</v>
      </c>
      <c r="B260" s="5" t="s">
        <v>33</v>
      </c>
      <c r="C260" s="5" t="s">
        <v>1661</v>
      </c>
      <c r="D260" s="5" t="s">
        <v>1662</v>
      </c>
      <c r="E260" s="17">
        <v>204464</v>
      </c>
      <c r="F260" s="5" t="s">
        <v>1663</v>
      </c>
      <c r="G260" s="5"/>
      <c r="H260" s="74">
        <v>290.33333333333331</v>
      </c>
      <c r="I260" s="75" t="s">
        <v>3936</v>
      </c>
    </row>
    <row r="261" spans="1:9" ht="39.950000000000003" customHeight="1" x14ac:dyDescent="0.25">
      <c r="A261" s="60" t="s">
        <v>551</v>
      </c>
      <c r="B261" s="5" t="s">
        <v>33</v>
      </c>
      <c r="C261" s="5" t="s">
        <v>552</v>
      </c>
      <c r="D261" s="5" t="s">
        <v>553</v>
      </c>
      <c r="E261" s="17">
        <v>73150</v>
      </c>
      <c r="F261" s="5" t="s">
        <v>554</v>
      </c>
      <c r="G261" s="5"/>
      <c r="H261" s="74">
        <v>289.66666666666669</v>
      </c>
      <c r="I261" s="75" t="s">
        <v>3936</v>
      </c>
    </row>
    <row r="262" spans="1:9" ht="39.950000000000003" customHeight="1" x14ac:dyDescent="0.25">
      <c r="A262" s="60" t="s">
        <v>846</v>
      </c>
      <c r="B262" s="5" t="s">
        <v>33</v>
      </c>
      <c r="C262" s="5" t="s">
        <v>847</v>
      </c>
      <c r="D262" s="5" t="s">
        <v>848</v>
      </c>
      <c r="E262" s="17">
        <v>745455.43</v>
      </c>
      <c r="F262" s="5" t="s">
        <v>73</v>
      </c>
      <c r="G262" s="5"/>
      <c r="H262" s="74">
        <v>289.66666666666669</v>
      </c>
      <c r="I262" s="75" t="s">
        <v>3936</v>
      </c>
    </row>
    <row r="263" spans="1:9" ht="39.950000000000003" customHeight="1" x14ac:dyDescent="0.25">
      <c r="A263" s="9" t="s">
        <v>1561</v>
      </c>
      <c r="B263" s="5" t="s">
        <v>51</v>
      </c>
      <c r="C263" s="9" t="s">
        <v>1562</v>
      </c>
      <c r="D263" s="9" t="s">
        <v>1563</v>
      </c>
      <c r="E263" s="38">
        <v>64375</v>
      </c>
      <c r="F263" s="9" t="s">
        <v>1564</v>
      </c>
      <c r="G263" s="5"/>
      <c r="H263" s="74">
        <v>289.66666666666669</v>
      </c>
      <c r="I263" s="75" t="s">
        <v>3936</v>
      </c>
    </row>
    <row r="264" spans="1:9" ht="39.950000000000003" customHeight="1" x14ac:dyDescent="0.25">
      <c r="A264" s="5" t="s">
        <v>364</v>
      </c>
      <c r="B264" s="5" t="s">
        <v>33</v>
      </c>
      <c r="C264" s="5" t="s">
        <v>172</v>
      </c>
      <c r="D264" s="5" t="s">
        <v>365</v>
      </c>
      <c r="E264" s="17">
        <v>50000</v>
      </c>
      <c r="F264" s="5" t="s">
        <v>366</v>
      </c>
      <c r="G264" s="5"/>
      <c r="H264" s="74">
        <v>289.33333333333331</v>
      </c>
      <c r="I264" s="75" t="s">
        <v>3936</v>
      </c>
    </row>
    <row r="265" spans="1:9" ht="39.950000000000003" customHeight="1" x14ac:dyDescent="0.25">
      <c r="A265" s="5" t="s">
        <v>747</v>
      </c>
      <c r="B265" s="5" t="s">
        <v>33</v>
      </c>
      <c r="C265" s="5" t="s">
        <v>748</v>
      </c>
      <c r="D265" s="5" t="s">
        <v>749</v>
      </c>
      <c r="E265" s="17">
        <v>181500</v>
      </c>
      <c r="F265" s="5" t="s">
        <v>750</v>
      </c>
      <c r="G265" s="5"/>
      <c r="H265" s="74">
        <v>289.33333333333331</v>
      </c>
      <c r="I265" s="75" t="s">
        <v>3936</v>
      </c>
    </row>
    <row r="266" spans="1:9" ht="39.950000000000003" customHeight="1" x14ac:dyDescent="0.25">
      <c r="A266" s="60" t="s">
        <v>2433</v>
      </c>
      <c r="B266" s="5" t="s">
        <v>33</v>
      </c>
      <c r="C266" s="5" t="s">
        <v>2434</v>
      </c>
      <c r="D266" s="5" t="s">
        <v>2435</v>
      </c>
      <c r="E266" s="17">
        <v>2004407.56</v>
      </c>
      <c r="F266" s="5" t="s">
        <v>2436</v>
      </c>
      <c r="G266" s="9"/>
      <c r="H266" s="74">
        <v>288.66666666666669</v>
      </c>
      <c r="I266" s="75" t="s">
        <v>3936</v>
      </c>
    </row>
    <row r="267" spans="1:9" ht="39.950000000000003" customHeight="1" x14ac:dyDescent="0.25">
      <c r="A267" s="5" t="s">
        <v>1501</v>
      </c>
      <c r="B267" s="5" t="s">
        <v>33</v>
      </c>
      <c r="C267" s="5" t="s">
        <v>1502</v>
      </c>
      <c r="D267" s="5" t="s">
        <v>1503</v>
      </c>
      <c r="E267" s="17">
        <v>42947</v>
      </c>
      <c r="F267" s="5" t="s">
        <v>269</v>
      </c>
      <c r="G267" s="5"/>
      <c r="H267" s="74">
        <v>288</v>
      </c>
      <c r="I267" s="75" t="s">
        <v>3936</v>
      </c>
    </row>
    <row r="268" spans="1:9" ht="39.950000000000003" customHeight="1" x14ac:dyDescent="0.25">
      <c r="A268" s="60" t="s">
        <v>1749</v>
      </c>
      <c r="B268" s="5" t="s">
        <v>33</v>
      </c>
      <c r="C268" s="5" t="s">
        <v>1750</v>
      </c>
      <c r="D268" s="5" t="s">
        <v>1751</v>
      </c>
      <c r="E268" s="17">
        <v>87370</v>
      </c>
      <c r="F268" s="5" t="s">
        <v>1752</v>
      </c>
      <c r="G268" s="5"/>
      <c r="H268" s="74">
        <v>288</v>
      </c>
      <c r="I268" s="75" t="s">
        <v>3936</v>
      </c>
    </row>
    <row r="269" spans="1:9" ht="39.950000000000003" customHeight="1" x14ac:dyDescent="0.25">
      <c r="A269" s="60" t="s">
        <v>1550</v>
      </c>
      <c r="B269" s="5" t="s">
        <v>33</v>
      </c>
      <c r="C269" s="5" t="s">
        <v>1551</v>
      </c>
      <c r="D269" s="5" t="s">
        <v>1552</v>
      </c>
      <c r="E269" s="17">
        <v>28800</v>
      </c>
      <c r="F269" s="5" t="s">
        <v>1553</v>
      </c>
      <c r="G269" s="5"/>
      <c r="H269" s="74">
        <v>287.33333333333331</v>
      </c>
      <c r="I269" s="75" t="s">
        <v>3936</v>
      </c>
    </row>
    <row r="270" spans="1:9" ht="39.950000000000003" customHeight="1" x14ac:dyDescent="0.25">
      <c r="A270" s="60" t="s">
        <v>2791</v>
      </c>
      <c r="B270" s="5" t="s">
        <v>33</v>
      </c>
      <c r="C270" s="5" t="s">
        <v>2792</v>
      </c>
      <c r="D270" s="5" t="s">
        <v>2793</v>
      </c>
      <c r="E270" s="17">
        <v>130000</v>
      </c>
      <c r="F270" s="5" t="s">
        <v>2794</v>
      </c>
      <c r="G270" s="5"/>
      <c r="H270" s="74">
        <v>287</v>
      </c>
      <c r="I270" s="75" t="s">
        <v>3936</v>
      </c>
    </row>
    <row r="271" spans="1:9" ht="39.950000000000003" customHeight="1" x14ac:dyDescent="0.25">
      <c r="A271" s="5" t="s">
        <v>573</v>
      </c>
      <c r="B271" s="5" t="s">
        <v>33</v>
      </c>
      <c r="C271" s="5" t="s">
        <v>574</v>
      </c>
      <c r="D271" s="5" t="s">
        <v>575</v>
      </c>
      <c r="E271" s="17">
        <v>11210</v>
      </c>
      <c r="F271" s="5" t="s">
        <v>425</v>
      </c>
      <c r="G271" s="5"/>
      <c r="H271" s="74">
        <v>286.66666666666669</v>
      </c>
      <c r="I271" s="75" t="s">
        <v>3936</v>
      </c>
    </row>
    <row r="272" spans="1:9" ht="39.950000000000003" customHeight="1" x14ac:dyDescent="0.25">
      <c r="A272" s="5" t="s">
        <v>1695</v>
      </c>
      <c r="B272" s="5" t="s">
        <v>33</v>
      </c>
      <c r="C272" s="5" t="s">
        <v>1696</v>
      </c>
      <c r="D272" s="5" t="s">
        <v>1697</v>
      </c>
      <c r="E272" s="17">
        <v>101300</v>
      </c>
      <c r="F272" s="5" t="s">
        <v>1698</v>
      </c>
      <c r="G272" s="5"/>
      <c r="H272" s="74">
        <v>286.66666666666669</v>
      </c>
      <c r="I272" s="75" t="s">
        <v>3936</v>
      </c>
    </row>
    <row r="273" spans="1:9" ht="39.950000000000003" customHeight="1" x14ac:dyDescent="0.25">
      <c r="A273" s="5" t="s">
        <v>178</v>
      </c>
      <c r="B273" s="5" t="s">
        <v>33</v>
      </c>
      <c r="C273" s="5" t="s">
        <v>172</v>
      </c>
      <c r="D273" s="5" t="s">
        <v>179</v>
      </c>
      <c r="E273" s="17">
        <v>50000</v>
      </c>
      <c r="F273" s="5" t="s">
        <v>180</v>
      </c>
      <c r="G273" s="5"/>
      <c r="H273" s="74">
        <v>286</v>
      </c>
      <c r="I273" s="75" t="s">
        <v>3936</v>
      </c>
    </row>
    <row r="274" spans="1:9" ht="39.950000000000003" customHeight="1" x14ac:dyDescent="0.25">
      <c r="A274" s="5" t="s">
        <v>2515</v>
      </c>
      <c r="B274" s="5" t="s">
        <v>33</v>
      </c>
      <c r="C274" s="5" t="s">
        <v>2516</v>
      </c>
      <c r="D274" s="5" t="s">
        <v>2517</v>
      </c>
      <c r="E274" s="17">
        <v>749855.9</v>
      </c>
      <c r="F274" s="5" t="s">
        <v>73</v>
      </c>
      <c r="G274" s="9"/>
      <c r="H274" s="74">
        <v>285.66666666666669</v>
      </c>
      <c r="I274" s="75" t="s">
        <v>3936</v>
      </c>
    </row>
    <row r="275" spans="1:9" ht="39.950000000000003" customHeight="1" x14ac:dyDescent="0.25">
      <c r="A275" s="5" t="s">
        <v>1539</v>
      </c>
      <c r="B275" s="5" t="s">
        <v>33</v>
      </c>
      <c r="C275" s="5" t="s">
        <v>1540</v>
      </c>
      <c r="D275" s="5" t="s">
        <v>1541</v>
      </c>
      <c r="E275" s="17">
        <v>593611.06000000006</v>
      </c>
      <c r="F275" s="5" t="s">
        <v>73</v>
      </c>
      <c r="G275" s="5"/>
      <c r="H275" s="74">
        <v>285.33333333333331</v>
      </c>
      <c r="I275" s="75" t="s">
        <v>3936</v>
      </c>
    </row>
    <row r="276" spans="1:9" ht="39.950000000000003" customHeight="1" x14ac:dyDescent="0.25">
      <c r="A276" s="5" t="s">
        <v>613</v>
      </c>
      <c r="B276" s="5" t="s">
        <v>33</v>
      </c>
      <c r="C276" s="5" t="s">
        <v>614</v>
      </c>
      <c r="D276" s="5" t="s">
        <v>615</v>
      </c>
      <c r="E276" s="17">
        <v>1074000</v>
      </c>
      <c r="F276" s="5" t="s">
        <v>596</v>
      </c>
      <c r="G276" s="5"/>
      <c r="H276" s="74">
        <v>284.33333333333331</v>
      </c>
      <c r="I276" s="75" t="s">
        <v>3936</v>
      </c>
    </row>
    <row r="277" spans="1:9" ht="39.950000000000003" customHeight="1" x14ac:dyDescent="0.25">
      <c r="A277" s="60" t="s">
        <v>643</v>
      </c>
      <c r="B277" s="5" t="s">
        <v>33</v>
      </c>
      <c r="C277" s="5" t="s">
        <v>637</v>
      </c>
      <c r="D277" s="5" t="s">
        <v>644</v>
      </c>
      <c r="E277" s="17">
        <v>428436</v>
      </c>
      <c r="F277" s="5" t="s">
        <v>73</v>
      </c>
      <c r="G277" s="5"/>
      <c r="H277" s="74">
        <v>284.33333333333331</v>
      </c>
      <c r="I277" s="75" t="s">
        <v>3936</v>
      </c>
    </row>
    <row r="278" spans="1:9" ht="39.950000000000003" customHeight="1" x14ac:dyDescent="0.25">
      <c r="A278" s="5" t="s">
        <v>2131</v>
      </c>
      <c r="B278" s="5" t="s">
        <v>51</v>
      </c>
      <c r="C278" s="5" t="s">
        <v>594</v>
      </c>
      <c r="D278" s="5" t="s">
        <v>2132</v>
      </c>
      <c r="E278" s="38">
        <v>1764030</v>
      </c>
      <c r="F278" s="9" t="s">
        <v>596</v>
      </c>
      <c r="G278" s="5"/>
      <c r="H278" s="74">
        <v>284.33333333333331</v>
      </c>
      <c r="I278" s="75" t="s">
        <v>3936</v>
      </c>
    </row>
    <row r="279" spans="1:9" ht="39.950000000000003" customHeight="1" x14ac:dyDescent="0.25">
      <c r="A279" s="5" t="s">
        <v>387</v>
      </c>
      <c r="B279" s="5" t="s">
        <v>33</v>
      </c>
      <c r="C279" s="5" t="s">
        <v>388</v>
      </c>
      <c r="D279" s="5" t="s">
        <v>389</v>
      </c>
      <c r="E279" s="17">
        <v>208890</v>
      </c>
      <c r="F279" s="5" t="s">
        <v>390</v>
      </c>
      <c r="G279" s="5"/>
      <c r="H279" s="74">
        <v>284</v>
      </c>
      <c r="I279" s="75" t="s">
        <v>3936</v>
      </c>
    </row>
    <row r="280" spans="1:9" ht="39.950000000000003" customHeight="1" x14ac:dyDescent="0.25">
      <c r="A280" s="5" t="s">
        <v>394</v>
      </c>
      <c r="B280" s="5" t="s">
        <v>33</v>
      </c>
      <c r="C280" s="5" t="s">
        <v>395</v>
      </c>
      <c r="D280" s="5" t="s">
        <v>396</v>
      </c>
      <c r="E280" s="17">
        <v>49800</v>
      </c>
      <c r="F280" s="5" t="s">
        <v>397</v>
      </c>
      <c r="G280" s="5"/>
      <c r="H280" s="74">
        <v>284</v>
      </c>
      <c r="I280" s="75" t="s">
        <v>3936</v>
      </c>
    </row>
    <row r="281" spans="1:9" ht="39.950000000000003" customHeight="1" x14ac:dyDescent="0.25">
      <c r="A281" s="9" t="s">
        <v>1151</v>
      </c>
      <c r="B281" s="5" t="s">
        <v>51</v>
      </c>
      <c r="C281" s="9" t="s">
        <v>1152</v>
      </c>
      <c r="D281" s="11" t="s">
        <v>1153</v>
      </c>
      <c r="E281" s="38">
        <v>489440</v>
      </c>
      <c r="F281" s="9" t="s">
        <v>253</v>
      </c>
      <c r="G281" s="5"/>
      <c r="H281" s="74">
        <v>283.33333333333331</v>
      </c>
      <c r="I281" s="75" t="s">
        <v>3936</v>
      </c>
    </row>
    <row r="282" spans="1:9" ht="39.950000000000003" customHeight="1" x14ac:dyDescent="0.25">
      <c r="A282" s="60" t="s">
        <v>1992</v>
      </c>
      <c r="B282" s="5" t="s">
        <v>33</v>
      </c>
      <c r="C282" s="5" t="s">
        <v>1993</v>
      </c>
      <c r="D282" s="5" t="s">
        <v>1994</v>
      </c>
      <c r="E282" s="17">
        <v>206291.5</v>
      </c>
      <c r="F282" s="5" t="s">
        <v>1995</v>
      </c>
      <c r="G282" s="65"/>
      <c r="H282" s="74">
        <v>283.33333333333331</v>
      </c>
      <c r="I282" s="75" t="s">
        <v>3936</v>
      </c>
    </row>
    <row r="283" spans="1:9" ht="39.950000000000003" customHeight="1" x14ac:dyDescent="0.25">
      <c r="A283" s="5" t="s">
        <v>150</v>
      </c>
      <c r="B283" s="5" t="s">
        <v>33</v>
      </c>
      <c r="C283" s="5" t="s">
        <v>151</v>
      </c>
      <c r="D283" s="5" t="s">
        <v>152</v>
      </c>
      <c r="E283" s="17">
        <v>67100</v>
      </c>
      <c r="F283" s="5" t="s">
        <v>153</v>
      </c>
      <c r="G283" s="65"/>
      <c r="H283" s="74">
        <v>282.66666666666669</v>
      </c>
      <c r="I283" s="75" t="s">
        <v>3936</v>
      </c>
    </row>
    <row r="284" spans="1:9" ht="39.950000000000003" customHeight="1" x14ac:dyDescent="0.25">
      <c r="A284" s="60" t="s">
        <v>456</v>
      </c>
      <c r="B284" s="5" t="s">
        <v>33</v>
      </c>
      <c r="C284" s="5" t="s">
        <v>457</v>
      </c>
      <c r="D284" s="5" t="s">
        <v>458</v>
      </c>
      <c r="E284" s="17">
        <v>240000</v>
      </c>
      <c r="F284" s="5" t="s">
        <v>452</v>
      </c>
      <c r="G284" s="5"/>
      <c r="H284" s="74">
        <v>282.66666666666669</v>
      </c>
      <c r="I284" s="75" t="s">
        <v>3936</v>
      </c>
    </row>
    <row r="285" spans="1:9" ht="39.950000000000003" customHeight="1" x14ac:dyDescent="0.25">
      <c r="A285" s="5" t="s">
        <v>2888</v>
      </c>
      <c r="B285" s="5" t="s">
        <v>33</v>
      </c>
      <c r="C285" s="5" t="s">
        <v>2889</v>
      </c>
      <c r="D285" s="5" t="s">
        <v>2890</v>
      </c>
      <c r="E285" s="17">
        <v>399300</v>
      </c>
      <c r="F285" s="5" t="s">
        <v>73</v>
      </c>
      <c r="G285" s="5"/>
      <c r="H285" s="74">
        <v>282.66666666666669</v>
      </c>
      <c r="I285" s="75" t="s">
        <v>3936</v>
      </c>
    </row>
    <row r="286" spans="1:9" ht="39.950000000000003" customHeight="1" x14ac:dyDescent="0.25">
      <c r="A286" s="9" t="s">
        <v>1579</v>
      </c>
      <c r="B286" s="5" t="s">
        <v>51</v>
      </c>
      <c r="C286" s="9" t="s">
        <v>1580</v>
      </c>
      <c r="D286" s="11" t="s">
        <v>1581</v>
      </c>
      <c r="E286" s="38">
        <v>20000</v>
      </c>
      <c r="F286" s="9" t="s">
        <v>1582</v>
      </c>
      <c r="G286" s="5"/>
      <c r="H286" s="74">
        <v>282.33333333333331</v>
      </c>
      <c r="I286" s="75" t="s">
        <v>3936</v>
      </c>
    </row>
    <row r="287" spans="1:9" ht="39.950000000000003" customHeight="1" x14ac:dyDescent="0.25">
      <c r="A287" s="9" t="s">
        <v>1632</v>
      </c>
      <c r="B287" s="5" t="s">
        <v>51</v>
      </c>
      <c r="C287" s="9" t="s">
        <v>1628</v>
      </c>
      <c r="D287" s="11" t="s">
        <v>1633</v>
      </c>
      <c r="E287" s="38">
        <v>432000</v>
      </c>
      <c r="F287" s="9" t="s">
        <v>175</v>
      </c>
      <c r="G287" s="11"/>
      <c r="H287" s="74">
        <v>282.33333333333331</v>
      </c>
      <c r="I287" s="75" t="s">
        <v>3936</v>
      </c>
    </row>
    <row r="288" spans="1:9" ht="39.950000000000003" customHeight="1" x14ac:dyDescent="0.25">
      <c r="A288" s="5" t="s">
        <v>2645</v>
      </c>
      <c r="B288" s="5" t="s">
        <v>33</v>
      </c>
      <c r="C288" s="5" t="s">
        <v>2640</v>
      </c>
      <c r="D288" s="5" t="s">
        <v>2646</v>
      </c>
      <c r="E288" s="17">
        <v>1308000</v>
      </c>
      <c r="F288" s="5" t="s">
        <v>73</v>
      </c>
      <c r="G288" s="5"/>
      <c r="H288" s="74">
        <v>282.33333333333331</v>
      </c>
      <c r="I288" s="75" t="s">
        <v>3936</v>
      </c>
    </row>
    <row r="289" spans="1:9" ht="39.950000000000003" customHeight="1" x14ac:dyDescent="0.25">
      <c r="A289" s="5" t="s">
        <v>322</v>
      </c>
      <c r="B289" s="5" t="s">
        <v>33</v>
      </c>
      <c r="C289" s="5" t="s">
        <v>323</v>
      </c>
      <c r="D289" s="5" t="s">
        <v>324</v>
      </c>
      <c r="E289" s="17">
        <v>345133.32</v>
      </c>
      <c r="F289" s="5" t="s">
        <v>325</v>
      </c>
      <c r="G289" s="9"/>
      <c r="H289" s="74">
        <v>282</v>
      </c>
      <c r="I289" s="75" t="s">
        <v>3936</v>
      </c>
    </row>
    <row r="290" spans="1:9" ht="39.950000000000003" customHeight="1" x14ac:dyDescent="0.25">
      <c r="A290" s="5" t="s">
        <v>1211</v>
      </c>
      <c r="B290" s="5" t="s">
        <v>33</v>
      </c>
      <c r="C290" s="5" t="s">
        <v>1212</v>
      </c>
      <c r="D290" s="5" t="s">
        <v>1213</v>
      </c>
      <c r="E290" s="17">
        <v>115695.5</v>
      </c>
      <c r="F290" s="5" t="s">
        <v>1214</v>
      </c>
      <c r="G290" s="5"/>
      <c r="H290" s="74">
        <v>281.33333333333331</v>
      </c>
      <c r="I290" s="75" t="s">
        <v>3936</v>
      </c>
    </row>
    <row r="291" spans="1:9" ht="39.950000000000003" customHeight="1" x14ac:dyDescent="0.25">
      <c r="A291" s="9" t="s">
        <v>1333</v>
      </c>
      <c r="B291" s="5" t="s">
        <v>51</v>
      </c>
      <c r="C291" s="9" t="s">
        <v>1334</v>
      </c>
      <c r="D291" s="9" t="s">
        <v>1335</v>
      </c>
      <c r="E291" s="38">
        <v>131738.06</v>
      </c>
      <c r="F291" s="9" t="s">
        <v>1336</v>
      </c>
      <c r="G291" s="5"/>
      <c r="H291" s="74">
        <v>281.33333333333331</v>
      </c>
      <c r="I291" s="75" t="s">
        <v>3936</v>
      </c>
    </row>
    <row r="292" spans="1:9" ht="39.950000000000003" customHeight="1" x14ac:dyDescent="0.25">
      <c r="A292" s="5" t="s">
        <v>1600</v>
      </c>
      <c r="B292" s="5" t="s">
        <v>33</v>
      </c>
      <c r="C292" s="5" t="s">
        <v>1601</v>
      </c>
      <c r="D292" s="5" t="s">
        <v>1602</v>
      </c>
      <c r="E292" s="17">
        <v>256600</v>
      </c>
      <c r="F292" s="5" t="s">
        <v>859</v>
      </c>
      <c r="G292" s="9"/>
      <c r="H292" s="74">
        <v>281</v>
      </c>
      <c r="I292" s="75" t="s">
        <v>3936</v>
      </c>
    </row>
    <row r="293" spans="1:9" ht="39.950000000000003" customHeight="1" x14ac:dyDescent="0.25">
      <c r="A293" s="5" t="s">
        <v>1899</v>
      </c>
      <c r="B293" s="5" t="s">
        <v>51</v>
      </c>
      <c r="C293" s="5" t="s">
        <v>1900</v>
      </c>
      <c r="D293" s="5" t="s">
        <v>1901</v>
      </c>
      <c r="E293" s="38">
        <v>66000</v>
      </c>
      <c r="F293" s="9" t="s">
        <v>1902</v>
      </c>
      <c r="G293" s="5"/>
      <c r="H293" s="74">
        <v>280.66666666666669</v>
      </c>
      <c r="I293" s="75" t="s">
        <v>3936</v>
      </c>
    </row>
    <row r="294" spans="1:9" ht="39.950000000000003" customHeight="1" x14ac:dyDescent="0.25">
      <c r="A294" s="60" t="s">
        <v>1556</v>
      </c>
      <c r="B294" s="5" t="s">
        <v>33</v>
      </c>
      <c r="C294" s="5" t="s">
        <v>172</v>
      </c>
      <c r="D294" s="5" t="s">
        <v>1557</v>
      </c>
      <c r="E294" s="17">
        <v>69500</v>
      </c>
      <c r="F294" s="5" t="s">
        <v>1558</v>
      </c>
      <c r="G294" s="5"/>
      <c r="H294" s="74">
        <v>280</v>
      </c>
      <c r="I294" s="75" t="s">
        <v>3936</v>
      </c>
    </row>
    <row r="295" spans="1:9" ht="39.950000000000003" customHeight="1" x14ac:dyDescent="0.25">
      <c r="A295" s="60" t="s">
        <v>1060</v>
      </c>
      <c r="B295" s="5" t="s">
        <v>33</v>
      </c>
      <c r="C295" s="5" t="s">
        <v>1061</v>
      </c>
      <c r="D295" s="5" t="s">
        <v>1062</v>
      </c>
      <c r="E295" s="17">
        <v>54058</v>
      </c>
      <c r="F295" s="5" t="s">
        <v>63</v>
      </c>
      <c r="G295" s="5"/>
      <c r="H295" s="74">
        <v>279</v>
      </c>
      <c r="I295" s="75" t="s">
        <v>3936</v>
      </c>
    </row>
    <row r="296" spans="1:9" ht="39.950000000000003" customHeight="1" x14ac:dyDescent="0.25">
      <c r="A296" s="60" t="s">
        <v>2005</v>
      </c>
      <c r="B296" s="5" t="s">
        <v>51</v>
      </c>
      <c r="C296" s="5" t="s">
        <v>2006</v>
      </c>
      <c r="D296" s="5" t="s">
        <v>2007</v>
      </c>
      <c r="E296" s="38">
        <v>200000</v>
      </c>
      <c r="F296" s="9" t="s">
        <v>2008</v>
      </c>
      <c r="G296" s="5"/>
      <c r="H296" s="74">
        <v>279</v>
      </c>
      <c r="I296" s="75" t="s">
        <v>3936</v>
      </c>
    </row>
    <row r="297" spans="1:9" ht="39.950000000000003" customHeight="1" x14ac:dyDescent="0.25">
      <c r="A297" s="5" t="s">
        <v>500</v>
      </c>
      <c r="B297" s="5" t="s">
        <v>33</v>
      </c>
      <c r="C297" s="5" t="s">
        <v>501</v>
      </c>
      <c r="D297" s="5" t="s">
        <v>502</v>
      </c>
      <c r="E297" s="17">
        <v>48136.800000000003</v>
      </c>
      <c r="F297" s="5" t="s">
        <v>503</v>
      </c>
      <c r="G297" s="5"/>
      <c r="H297" s="74">
        <v>278.66666666666669</v>
      </c>
      <c r="I297" s="75" t="s">
        <v>3936</v>
      </c>
    </row>
    <row r="298" spans="1:9" ht="39.950000000000003" customHeight="1" x14ac:dyDescent="0.25">
      <c r="A298" s="5" t="s">
        <v>144</v>
      </c>
      <c r="B298" s="5" t="s">
        <v>33</v>
      </c>
      <c r="C298" s="5" t="s">
        <v>145</v>
      </c>
      <c r="D298" s="5" t="s">
        <v>146</v>
      </c>
      <c r="E298" s="17">
        <v>91857.47</v>
      </c>
      <c r="F298" s="5" t="s">
        <v>147</v>
      </c>
      <c r="G298" s="5"/>
      <c r="H298" s="74">
        <v>278.33333333333331</v>
      </c>
      <c r="I298" s="75" t="s">
        <v>3936</v>
      </c>
    </row>
    <row r="299" spans="1:9" ht="39.950000000000003" customHeight="1" x14ac:dyDescent="0.25">
      <c r="A299" s="5" t="s">
        <v>571</v>
      </c>
      <c r="B299" s="5" t="s">
        <v>33</v>
      </c>
      <c r="C299" s="5" t="s">
        <v>565</v>
      </c>
      <c r="D299" s="5" t="s">
        <v>572</v>
      </c>
      <c r="E299" s="17">
        <v>1400000</v>
      </c>
      <c r="F299" s="5" t="s">
        <v>73</v>
      </c>
      <c r="G299" s="9"/>
      <c r="H299" s="74">
        <v>278.33333333333331</v>
      </c>
      <c r="I299" s="75" t="s">
        <v>3936</v>
      </c>
    </row>
    <row r="300" spans="1:9" ht="39.950000000000003" customHeight="1" x14ac:dyDescent="0.25">
      <c r="A300" s="5" t="s">
        <v>1351</v>
      </c>
      <c r="B300" s="5" t="s">
        <v>33</v>
      </c>
      <c r="C300" s="5" t="s">
        <v>1352</v>
      </c>
      <c r="D300" s="5" t="s">
        <v>1353</v>
      </c>
      <c r="E300" s="17">
        <v>253000</v>
      </c>
      <c r="F300" s="5" t="s">
        <v>1354</v>
      </c>
      <c r="G300" s="9"/>
      <c r="H300" s="74">
        <v>278.33333333333331</v>
      </c>
      <c r="I300" s="75" t="s">
        <v>3936</v>
      </c>
    </row>
    <row r="301" spans="1:9" ht="39.950000000000003" customHeight="1" x14ac:dyDescent="0.25">
      <c r="A301" s="5" t="s">
        <v>99</v>
      </c>
      <c r="B301" s="5" t="s">
        <v>33</v>
      </c>
      <c r="C301" s="5" t="s">
        <v>92</v>
      </c>
      <c r="D301" s="18" t="s">
        <v>100</v>
      </c>
      <c r="E301" s="17">
        <v>1288900</v>
      </c>
      <c r="F301" s="5" t="s">
        <v>94</v>
      </c>
      <c r="G301" s="9"/>
      <c r="H301" s="74">
        <v>278</v>
      </c>
      <c r="I301" s="75" t="s">
        <v>3936</v>
      </c>
    </row>
    <row r="302" spans="1:9" ht="39.950000000000003" customHeight="1" x14ac:dyDescent="0.25">
      <c r="A302" s="60" t="s">
        <v>1089</v>
      </c>
      <c r="B302" s="5" t="s">
        <v>33</v>
      </c>
      <c r="C302" s="5" t="s">
        <v>1090</v>
      </c>
      <c r="D302" s="5" t="s">
        <v>1091</v>
      </c>
      <c r="E302" s="17">
        <v>192000</v>
      </c>
      <c r="F302" s="5" t="s">
        <v>728</v>
      </c>
      <c r="G302" s="5"/>
      <c r="H302" s="74">
        <v>278</v>
      </c>
      <c r="I302" s="75" t="s">
        <v>3936</v>
      </c>
    </row>
    <row r="303" spans="1:9" ht="39.950000000000003" customHeight="1" x14ac:dyDescent="0.25">
      <c r="A303" s="9" t="s">
        <v>1567</v>
      </c>
      <c r="B303" s="5" t="s">
        <v>51</v>
      </c>
      <c r="C303" s="9" t="s">
        <v>1568</v>
      </c>
      <c r="D303" s="9" t="s">
        <v>1569</v>
      </c>
      <c r="E303" s="38">
        <v>125300</v>
      </c>
      <c r="F303" s="9" t="s">
        <v>1570</v>
      </c>
      <c r="G303" s="5"/>
      <c r="H303" s="74">
        <v>278</v>
      </c>
      <c r="I303" s="75" t="s">
        <v>3936</v>
      </c>
    </row>
    <row r="304" spans="1:9" ht="39.950000000000003" customHeight="1" x14ac:dyDescent="0.25">
      <c r="A304" s="5" t="s">
        <v>69</v>
      </c>
      <c r="B304" s="5" t="s">
        <v>33</v>
      </c>
      <c r="C304" s="5" t="s">
        <v>70</v>
      </c>
      <c r="D304" s="5" t="s">
        <v>71</v>
      </c>
      <c r="E304" s="17">
        <v>341605</v>
      </c>
      <c r="F304" s="5" t="s">
        <v>73</v>
      </c>
      <c r="G304" s="5"/>
      <c r="H304" s="74">
        <v>277</v>
      </c>
      <c r="I304" s="75" t="s">
        <v>3936</v>
      </c>
    </row>
    <row r="305" spans="1:9" ht="39.950000000000003" customHeight="1" x14ac:dyDescent="0.25">
      <c r="A305" s="5" t="s">
        <v>32</v>
      </c>
      <c r="B305" s="5" t="s">
        <v>33</v>
      </c>
      <c r="C305" s="5" t="s">
        <v>34</v>
      </c>
      <c r="D305" s="5" t="s">
        <v>35</v>
      </c>
      <c r="E305" s="17">
        <v>370460.32</v>
      </c>
      <c r="F305" s="5" t="s">
        <v>37</v>
      </c>
      <c r="G305" s="5"/>
      <c r="H305" s="74">
        <v>276.66666666666669</v>
      </c>
      <c r="I305" s="75" t="s">
        <v>3936</v>
      </c>
    </row>
    <row r="306" spans="1:9" ht="39.950000000000003" customHeight="1" x14ac:dyDescent="0.25">
      <c r="A306" s="60" t="s">
        <v>704</v>
      </c>
      <c r="B306" s="5" t="s">
        <v>33</v>
      </c>
      <c r="C306" s="5" t="s">
        <v>699</v>
      </c>
      <c r="D306" s="5" t="s">
        <v>705</v>
      </c>
      <c r="E306" s="17">
        <v>91188.36</v>
      </c>
      <c r="F306" s="5" t="s">
        <v>701</v>
      </c>
      <c r="G306" s="5"/>
      <c r="H306" s="74">
        <v>276.33333333333331</v>
      </c>
      <c r="I306" s="75" t="s">
        <v>3936</v>
      </c>
    </row>
    <row r="307" spans="1:9" ht="39.950000000000003" customHeight="1" x14ac:dyDescent="0.25">
      <c r="A307" s="5" t="s">
        <v>1204</v>
      </c>
      <c r="B307" s="5" t="s">
        <v>33</v>
      </c>
      <c r="C307" s="5" t="s">
        <v>1205</v>
      </c>
      <c r="D307" s="5" t="s">
        <v>1206</v>
      </c>
      <c r="E307" s="17">
        <v>1146800</v>
      </c>
      <c r="F307" s="5" t="s">
        <v>73</v>
      </c>
      <c r="G307" s="5"/>
      <c r="H307" s="74">
        <v>276.33333333333331</v>
      </c>
      <c r="I307" s="75" t="s">
        <v>3936</v>
      </c>
    </row>
    <row r="308" spans="1:9" ht="39.950000000000003" customHeight="1" x14ac:dyDescent="0.25">
      <c r="A308" s="60" t="s">
        <v>422</v>
      </c>
      <c r="B308" s="5" t="s">
        <v>33</v>
      </c>
      <c r="C308" s="5" t="s">
        <v>423</v>
      </c>
      <c r="D308" s="5" t="s">
        <v>424</v>
      </c>
      <c r="E308" s="17">
        <v>360000</v>
      </c>
      <c r="F308" s="5" t="s">
        <v>425</v>
      </c>
      <c r="G308" s="5"/>
      <c r="H308" s="74">
        <v>276</v>
      </c>
      <c r="I308" s="75" t="s">
        <v>3936</v>
      </c>
    </row>
    <row r="309" spans="1:9" ht="39.950000000000003" customHeight="1" x14ac:dyDescent="0.25">
      <c r="A309" s="5" t="s">
        <v>588</v>
      </c>
      <c r="B309" s="5" t="s">
        <v>33</v>
      </c>
      <c r="C309" s="5" t="s">
        <v>589</v>
      </c>
      <c r="D309" s="5" t="s">
        <v>590</v>
      </c>
      <c r="E309" s="17">
        <v>332860</v>
      </c>
      <c r="F309" s="5" t="s">
        <v>390</v>
      </c>
      <c r="G309" s="5"/>
      <c r="H309" s="74">
        <v>276</v>
      </c>
      <c r="I309" s="75" t="s">
        <v>3936</v>
      </c>
    </row>
    <row r="310" spans="1:9" ht="39.950000000000003" customHeight="1" x14ac:dyDescent="0.25">
      <c r="A310" s="60" t="s">
        <v>1176</v>
      </c>
      <c r="B310" s="5" t="s">
        <v>33</v>
      </c>
      <c r="C310" s="5" t="s">
        <v>1169</v>
      </c>
      <c r="D310" s="5" t="s">
        <v>1177</v>
      </c>
      <c r="E310" s="17">
        <v>2600000</v>
      </c>
      <c r="F310" s="5" t="s">
        <v>1171</v>
      </c>
      <c r="G310" s="5"/>
      <c r="H310" s="74">
        <v>276</v>
      </c>
      <c r="I310" s="75" t="s">
        <v>3936</v>
      </c>
    </row>
    <row r="311" spans="1:9" ht="39.950000000000003" customHeight="1" x14ac:dyDescent="0.25">
      <c r="A311" s="60" t="s">
        <v>1191</v>
      </c>
      <c r="B311" s="5" t="s">
        <v>33</v>
      </c>
      <c r="C311" s="5" t="s">
        <v>1192</v>
      </c>
      <c r="D311" s="5" t="s">
        <v>1193</v>
      </c>
      <c r="E311" s="17">
        <v>77700</v>
      </c>
      <c r="F311" s="5" t="s">
        <v>1194</v>
      </c>
      <c r="G311" s="65"/>
      <c r="H311" s="74">
        <v>276</v>
      </c>
      <c r="I311" s="75" t="s">
        <v>3936</v>
      </c>
    </row>
    <row r="312" spans="1:9" ht="39.950000000000003" customHeight="1" x14ac:dyDescent="0.25">
      <c r="A312" s="5" t="s">
        <v>2521</v>
      </c>
      <c r="B312" s="5" t="s">
        <v>33</v>
      </c>
      <c r="C312" s="5" t="s">
        <v>2522</v>
      </c>
      <c r="D312" s="5" t="s">
        <v>2523</v>
      </c>
      <c r="E312" s="17">
        <v>614048.15</v>
      </c>
      <c r="F312" s="5" t="s">
        <v>1475</v>
      </c>
      <c r="G312" s="5"/>
      <c r="H312" s="74">
        <v>276</v>
      </c>
      <c r="I312" s="75" t="s">
        <v>3936</v>
      </c>
    </row>
    <row r="313" spans="1:9" ht="39.950000000000003" customHeight="1" x14ac:dyDescent="0.25">
      <c r="A313" s="60" t="s">
        <v>1238</v>
      </c>
      <c r="B313" s="5" t="s">
        <v>33</v>
      </c>
      <c r="C313" s="5" t="s">
        <v>1239</v>
      </c>
      <c r="D313" s="5" t="s">
        <v>1240</v>
      </c>
      <c r="E313" s="17">
        <v>99856.65</v>
      </c>
      <c r="F313" s="5" t="s">
        <v>1241</v>
      </c>
      <c r="G313" s="9"/>
      <c r="H313" s="74">
        <v>275.66666666666669</v>
      </c>
      <c r="I313" s="75" t="s">
        <v>3936</v>
      </c>
    </row>
    <row r="314" spans="1:9" ht="39.950000000000003" customHeight="1" x14ac:dyDescent="0.25">
      <c r="A314" s="5" t="s">
        <v>973</v>
      </c>
      <c r="B314" s="5" t="s">
        <v>33</v>
      </c>
      <c r="C314" s="5" t="s">
        <v>974</v>
      </c>
      <c r="D314" s="5" t="s">
        <v>975</v>
      </c>
      <c r="E314" s="17">
        <v>117517.32</v>
      </c>
      <c r="F314" s="5" t="s">
        <v>976</v>
      </c>
      <c r="G314" s="5"/>
      <c r="H314" s="74">
        <v>275.33333333333331</v>
      </c>
      <c r="I314" s="75" t="s">
        <v>3936</v>
      </c>
    </row>
    <row r="315" spans="1:9" ht="39.950000000000003" customHeight="1" x14ac:dyDescent="0.25">
      <c r="A315" s="9" t="s">
        <v>2362</v>
      </c>
      <c r="B315" s="5" t="s">
        <v>51</v>
      </c>
      <c r="C315" s="9" t="s">
        <v>2357</v>
      </c>
      <c r="D315" s="9" t="s">
        <v>2363</v>
      </c>
      <c r="E315" s="38">
        <v>120000</v>
      </c>
      <c r="F315" s="9" t="s">
        <v>2359</v>
      </c>
      <c r="G315" s="5"/>
      <c r="H315" s="74">
        <v>274.66666666666669</v>
      </c>
      <c r="I315" s="75" t="s">
        <v>3936</v>
      </c>
    </row>
    <row r="316" spans="1:9" ht="39.950000000000003" customHeight="1" x14ac:dyDescent="0.25">
      <c r="A316" s="60" t="s">
        <v>1650</v>
      </c>
      <c r="B316" s="5" t="s">
        <v>33</v>
      </c>
      <c r="C316" s="5" t="s">
        <v>1651</v>
      </c>
      <c r="D316" s="5" t="s">
        <v>1652</v>
      </c>
      <c r="E316" s="17">
        <v>260167.01</v>
      </c>
      <c r="F316" s="5" t="s">
        <v>240</v>
      </c>
      <c r="G316" s="65"/>
      <c r="H316" s="74">
        <v>274.33333333333331</v>
      </c>
      <c r="I316" s="75" t="s">
        <v>3936</v>
      </c>
    </row>
    <row r="317" spans="1:9" ht="39.950000000000003" customHeight="1" x14ac:dyDescent="0.25">
      <c r="A317" s="9" t="s">
        <v>1984</v>
      </c>
      <c r="B317" s="5" t="s">
        <v>51</v>
      </c>
      <c r="C317" s="9" t="s">
        <v>1985</v>
      </c>
      <c r="D317" s="9" t="s">
        <v>1986</v>
      </c>
      <c r="E317" s="38">
        <v>162450</v>
      </c>
      <c r="F317" s="9" t="s">
        <v>1987</v>
      </c>
      <c r="G317" s="5"/>
      <c r="H317" s="74">
        <v>274.33333333333331</v>
      </c>
      <c r="I317" s="75" t="s">
        <v>3936</v>
      </c>
    </row>
    <row r="318" spans="1:9" ht="39.950000000000003" customHeight="1" x14ac:dyDescent="0.25">
      <c r="A318" s="5" t="s">
        <v>489</v>
      </c>
      <c r="B318" s="5" t="s">
        <v>33</v>
      </c>
      <c r="C318" s="5" t="s">
        <v>490</v>
      </c>
      <c r="D318" s="5" t="s">
        <v>491</v>
      </c>
      <c r="E318" s="17">
        <v>1111410.1299999999</v>
      </c>
      <c r="F318" s="5" t="s">
        <v>73</v>
      </c>
      <c r="G318" s="5"/>
      <c r="H318" s="74">
        <v>274</v>
      </c>
      <c r="I318" s="75" t="s">
        <v>3936</v>
      </c>
    </row>
    <row r="319" spans="1:9" ht="39.950000000000003" customHeight="1" x14ac:dyDescent="0.25">
      <c r="A319" s="5" t="s">
        <v>541</v>
      </c>
      <c r="B319" s="5" t="s">
        <v>33</v>
      </c>
      <c r="C319" s="5" t="s">
        <v>542</v>
      </c>
      <c r="D319" s="5" t="s">
        <v>543</v>
      </c>
      <c r="E319" s="17">
        <v>60000</v>
      </c>
      <c r="F319" s="5" t="s">
        <v>538</v>
      </c>
      <c r="G319" s="5"/>
      <c r="H319" s="74">
        <v>273.33333333333331</v>
      </c>
      <c r="I319" s="75" t="s">
        <v>3936</v>
      </c>
    </row>
    <row r="320" spans="1:9" ht="39.950000000000003" customHeight="1" x14ac:dyDescent="0.25">
      <c r="A320" s="9" t="s">
        <v>1818</v>
      </c>
      <c r="B320" s="5" t="s">
        <v>51</v>
      </c>
      <c r="C320" s="9" t="s">
        <v>1809</v>
      </c>
      <c r="D320" s="9" t="s">
        <v>1819</v>
      </c>
      <c r="E320" s="38">
        <v>251480.5</v>
      </c>
      <c r="F320" s="9" t="s">
        <v>1214</v>
      </c>
      <c r="G320" s="5"/>
      <c r="H320" s="74">
        <v>273.33333333333331</v>
      </c>
      <c r="I320" s="75" t="s">
        <v>3936</v>
      </c>
    </row>
    <row r="321" spans="1:9" ht="39.950000000000003" customHeight="1" x14ac:dyDescent="0.25">
      <c r="A321" s="60" t="s">
        <v>546</v>
      </c>
      <c r="B321" s="5" t="s">
        <v>33</v>
      </c>
      <c r="C321" s="5" t="s">
        <v>547</v>
      </c>
      <c r="D321" s="5" t="s">
        <v>548</v>
      </c>
      <c r="E321" s="17">
        <v>40000</v>
      </c>
      <c r="F321" s="5" t="s">
        <v>538</v>
      </c>
      <c r="G321" s="5"/>
      <c r="H321" s="74">
        <v>272.66666666666669</v>
      </c>
      <c r="I321" s="75" t="s">
        <v>3936</v>
      </c>
    </row>
    <row r="322" spans="1:9" ht="39.950000000000003" customHeight="1" x14ac:dyDescent="0.25">
      <c r="A322" s="5" t="s">
        <v>410</v>
      </c>
      <c r="B322" s="5" t="s">
        <v>33</v>
      </c>
      <c r="C322" s="5" t="s">
        <v>411</v>
      </c>
      <c r="D322" s="5" t="s">
        <v>412</v>
      </c>
      <c r="E322" s="17">
        <v>44934</v>
      </c>
      <c r="F322" s="5" t="s">
        <v>413</v>
      </c>
      <c r="G322" s="5"/>
      <c r="H322" s="74">
        <v>272.33333333333331</v>
      </c>
      <c r="I322" s="75" t="s">
        <v>3936</v>
      </c>
    </row>
    <row r="323" spans="1:9" ht="39.950000000000003" customHeight="1" x14ac:dyDescent="0.25">
      <c r="A323" s="5" t="s">
        <v>918</v>
      </c>
      <c r="B323" s="5" t="s">
        <v>33</v>
      </c>
      <c r="C323" s="5" t="s">
        <v>919</v>
      </c>
      <c r="D323" s="5" t="s">
        <v>920</v>
      </c>
      <c r="E323" s="17">
        <v>200000</v>
      </c>
      <c r="F323" s="5" t="s">
        <v>921</v>
      </c>
      <c r="G323" s="9"/>
      <c r="H323" s="74">
        <v>272.33333333333331</v>
      </c>
      <c r="I323" s="75" t="s">
        <v>3936</v>
      </c>
    </row>
    <row r="324" spans="1:9" ht="39.950000000000003" customHeight="1" x14ac:dyDescent="0.25">
      <c r="A324" s="5" t="s">
        <v>1605</v>
      </c>
      <c r="B324" s="5" t="s">
        <v>33</v>
      </c>
      <c r="C324" s="5" t="s">
        <v>1606</v>
      </c>
      <c r="D324" s="5" t="s">
        <v>1607</v>
      </c>
      <c r="E324" s="17">
        <v>436453.9</v>
      </c>
      <c r="F324" s="5" t="s">
        <v>859</v>
      </c>
      <c r="G324" s="9"/>
      <c r="H324" s="74">
        <v>272.33333333333331</v>
      </c>
      <c r="I324" s="75" t="s">
        <v>3936</v>
      </c>
    </row>
    <row r="325" spans="1:9" ht="39.950000000000003" customHeight="1" x14ac:dyDescent="0.25">
      <c r="A325" s="5" t="s">
        <v>376</v>
      </c>
      <c r="B325" s="5" t="s">
        <v>33</v>
      </c>
      <c r="C325" s="5" t="s">
        <v>172</v>
      </c>
      <c r="D325" s="5" t="s">
        <v>377</v>
      </c>
      <c r="E325" s="17">
        <v>67450</v>
      </c>
      <c r="F325" s="5" t="s">
        <v>378</v>
      </c>
      <c r="G325" s="5"/>
      <c r="H325" s="74">
        <v>272</v>
      </c>
      <c r="I325" s="75" t="s">
        <v>3936</v>
      </c>
    </row>
    <row r="326" spans="1:9" ht="39.950000000000003" customHeight="1" x14ac:dyDescent="0.25">
      <c r="A326" s="60" t="s">
        <v>935</v>
      </c>
      <c r="B326" s="5" t="s">
        <v>33</v>
      </c>
      <c r="C326" s="5" t="s">
        <v>936</v>
      </c>
      <c r="D326" s="5" t="s">
        <v>937</v>
      </c>
      <c r="E326" s="17">
        <v>74967.12</v>
      </c>
      <c r="F326" s="5" t="s">
        <v>938</v>
      </c>
      <c r="G326" s="5"/>
      <c r="H326" s="74">
        <v>271.66666666666669</v>
      </c>
      <c r="I326" s="75" t="s">
        <v>3936</v>
      </c>
    </row>
    <row r="327" spans="1:9" ht="39.950000000000003" customHeight="1" x14ac:dyDescent="0.25">
      <c r="A327" s="9" t="s">
        <v>1256</v>
      </c>
      <c r="B327" s="5" t="s">
        <v>51</v>
      </c>
      <c r="C327" s="9" t="s">
        <v>1257</v>
      </c>
      <c r="D327" s="9" t="s">
        <v>1258</v>
      </c>
      <c r="E327" s="38">
        <v>73240</v>
      </c>
      <c r="F327" s="9" t="s">
        <v>153</v>
      </c>
      <c r="G327" s="11"/>
      <c r="H327" s="74">
        <v>271.33333333333331</v>
      </c>
      <c r="I327" s="75" t="s">
        <v>3936</v>
      </c>
    </row>
    <row r="328" spans="1:9" ht="39.950000000000003" customHeight="1" x14ac:dyDescent="0.25">
      <c r="A328" s="9" t="s">
        <v>1266</v>
      </c>
      <c r="B328" s="5" t="s">
        <v>51</v>
      </c>
      <c r="C328" s="9" t="s">
        <v>1267</v>
      </c>
      <c r="D328" s="9" t="s">
        <v>1268</v>
      </c>
      <c r="E328" s="38">
        <v>572800</v>
      </c>
      <c r="F328" s="9" t="s">
        <v>1269</v>
      </c>
      <c r="G328" s="9"/>
      <c r="H328" s="74">
        <v>271</v>
      </c>
      <c r="I328" s="75" t="s">
        <v>3936</v>
      </c>
    </row>
    <row r="329" spans="1:9" ht="39.950000000000003" customHeight="1" x14ac:dyDescent="0.25">
      <c r="A329" s="60" t="s">
        <v>1429</v>
      </c>
      <c r="B329" s="5" t="s">
        <v>33</v>
      </c>
      <c r="C329" s="5" t="s">
        <v>1430</v>
      </c>
      <c r="D329" s="5" t="s">
        <v>1431</v>
      </c>
      <c r="E329" s="17">
        <v>136960</v>
      </c>
      <c r="F329" s="5" t="s">
        <v>1426</v>
      </c>
      <c r="G329" s="9"/>
      <c r="H329" s="74">
        <v>271</v>
      </c>
      <c r="I329" s="75" t="s">
        <v>3936</v>
      </c>
    </row>
    <row r="330" spans="1:9" ht="39.950000000000003" customHeight="1" x14ac:dyDescent="0.25">
      <c r="A330" s="5" t="s">
        <v>1742</v>
      </c>
      <c r="B330" s="5" t="s">
        <v>33</v>
      </c>
      <c r="C330" s="5" t="s">
        <v>1736</v>
      </c>
      <c r="D330" s="5" t="s">
        <v>1743</v>
      </c>
      <c r="E330" s="17">
        <v>65000</v>
      </c>
      <c r="F330" s="5" t="s">
        <v>1514</v>
      </c>
      <c r="G330" s="9"/>
      <c r="H330" s="74">
        <v>271</v>
      </c>
      <c r="I330" s="75" t="s">
        <v>3936</v>
      </c>
    </row>
    <row r="331" spans="1:9" ht="39.950000000000003" customHeight="1" x14ac:dyDescent="0.25">
      <c r="A331" s="9" t="s">
        <v>753</v>
      </c>
      <c r="B331" s="5" t="s">
        <v>51</v>
      </c>
      <c r="C331" s="9" t="s">
        <v>754</v>
      </c>
      <c r="D331" s="11" t="s">
        <v>755</v>
      </c>
      <c r="E331" s="38">
        <v>50000</v>
      </c>
      <c r="F331" s="9" t="s">
        <v>756</v>
      </c>
      <c r="G331" s="5"/>
      <c r="H331" s="74">
        <v>270</v>
      </c>
      <c r="I331" s="75" t="s">
        <v>3936</v>
      </c>
    </row>
    <row r="332" spans="1:9" ht="39.950000000000003" customHeight="1" x14ac:dyDescent="0.25">
      <c r="A332" s="9" t="s">
        <v>2350</v>
      </c>
      <c r="B332" s="5" t="s">
        <v>51</v>
      </c>
      <c r="C332" s="9" t="s">
        <v>2351</v>
      </c>
      <c r="D332" s="11" t="s">
        <v>2352</v>
      </c>
      <c r="E332" s="38">
        <v>350000</v>
      </c>
      <c r="F332" s="9" t="s">
        <v>2353</v>
      </c>
      <c r="G332" s="5"/>
      <c r="H332" s="74">
        <v>269.66666666666669</v>
      </c>
      <c r="I332" s="75" t="s">
        <v>3936</v>
      </c>
    </row>
    <row r="333" spans="1:9" ht="39.950000000000003" customHeight="1" x14ac:dyDescent="0.25">
      <c r="A333" s="9" t="s">
        <v>1121</v>
      </c>
      <c r="B333" s="5" t="s">
        <v>51</v>
      </c>
      <c r="C333" s="9" t="s">
        <v>1122</v>
      </c>
      <c r="D333" s="9" t="s">
        <v>1123</v>
      </c>
      <c r="E333" s="38">
        <v>63561</v>
      </c>
      <c r="F333" s="11" t="s">
        <v>1124</v>
      </c>
      <c r="G333" s="5"/>
      <c r="H333" s="74">
        <v>269.33333333333331</v>
      </c>
      <c r="I333" s="75" t="s">
        <v>3936</v>
      </c>
    </row>
    <row r="334" spans="1:9" ht="39.950000000000003" customHeight="1" x14ac:dyDescent="0.25">
      <c r="A334" s="9" t="s">
        <v>1291</v>
      </c>
      <c r="B334" s="5" t="s">
        <v>51</v>
      </c>
      <c r="C334" s="9" t="s">
        <v>1292</v>
      </c>
      <c r="D334" s="9" t="s">
        <v>1293</v>
      </c>
      <c r="E334" s="38">
        <v>499505</v>
      </c>
      <c r="F334" s="9" t="s">
        <v>1294</v>
      </c>
      <c r="G334" s="5"/>
      <c r="H334" s="74">
        <v>269.33333333333331</v>
      </c>
      <c r="I334" s="75" t="s">
        <v>3936</v>
      </c>
    </row>
    <row r="335" spans="1:9" ht="39.950000000000003" customHeight="1" x14ac:dyDescent="0.25">
      <c r="A335" s="60" t="s">
        <v>2560</v>
      </c>
      <c r="B335" s="5" t="s">
        <v>33</v>
      </c>
      <c r="C335" s="5" t="s">
        <v>2561</v>
      </c>
      <c r="D335" s="5" t="s">
        <v>2562</v>
      </c>
      <c r="E335" s="17">
        <v>632086</v>
      </c>
      <c r="F335" s="5" t="s">
        <v>1732</v>
      </c>
      <c r="G335" s="9"/>
      <c r="H335" s="74">
        <v>269</v>
      </c>
      <c r="I335" s="75" t="s">
        <v>3936</v>
      </c>
    </row>
    <row r="336" spans="1:9" ht="39.950000000000003" customHeight="1" x14ac:dyDescent="0.25">
      <c r="A336" s="5" t="s">
        <v>1893</v>
      </c>
      <c r="B336" s="5" t="s">
        <v>33</v>
      </c>
      <c r="C336" s="5" t="s">
        <v>1894</v>
      </c>
      <c r="D336" s="5" t="s">
        <v>1895</v>
      </c>
      <c r="E336" s="17">
        <v>120000</v>
      </c>
      <c r="F336" s="5" t="s">
        <v>1896</v>
      </c>
      <c r="G336" s="11"/>
      <c r="H336" s="74">
        <v>268.66666666666669</v>
      </c>
      <c r="I336" s="75" t="s">
        <v>3936</v>
      </c>
    </row>
    <row r="337" spans="1:9" ht="39.950000000000003" customHeight="1" x14ac:dyDescent="0.25">
      <c r="A337" s="5" t="s">
        <v>2576</v>
      </c>
      <c r="B337" s="5" t="s">
        <v>33</v>
      </c>
      <c r="C337" s="5" t="s">
        <v>2577</v>
      </c>
      <c r="D337" s="5" t="s">
        <v>2578</v>
      </c>
      <c r="E337" s="17">
        <v>300000</v>
      </c>
      <c r="F337" s="5" t="s">
        <v>1637</v>
      </c>
      <c r="G337" s="5"/>
      <c r="H337" s="74">
        <v>268.66666666666669</v>
      </c>
      <c r="I337" s="75" t="s">
        <v>3936</v>
      </c>
    </row>
    <row r="338" spans="1:9" ht="39.950000000000003" customHeight="1" x14ac:dyDescent="0.25">
      <c r="A338" s="5" t="s">
        <v>908</v>
      </c>
      <c r="B338" s="5" t="s">
        <v>33</v>
      </c>
      <c r="C338" s="5" t="s">
        <v>909</v>
      </c>
      <c r="D338" s="5" t="s">
        <v>910</v>
      </c>
      <c r="E338" s="17">
        <v>249590</v>
      </c>
      <c r="F338" s="5" t="s">
        <v>73</v>
      </c>
      <c r="G338" s="5"/>
      <c r="H338" s="74">
        <v>268.33333333333331</v>
      </c>
      <c r="I338" s="75" t="s">
        <v>3936</v>
      </c>
    </row>
    <row r="339" spans="1:9" ht="39.950000000000003" customHeight="1" x14ac:dyDescent="0.25">
      <c r="A339" s="5" t="s">
        <v>1030</v>
      </c>
      <c r="B339" s="5" t="s">
        <v>33</v>
      </c>
      <c r="C339" s="5" t="s">
        <v>1031</v>
      </c>
      <c r="D339" s="5" t="s">
        <v>1032</v>
      </c>
      <c r="E339" s="17">
        <v>442500</v>
      </c>
      <c r="F339" s="5" t="s">
        <v>1033</v>
      </c>
      <c r="G339" s="9"/>
      <c r="H339" s="74">
        <v>268</v>
      </c>
      <c r="I339" s="75" t="s">
        <v>3936</v>
      </c>
    </row>
    <row r="340" spans="1:9" ht="39.950000000000003" customHeight="1" x14ac:dyDescent="0.25">
      <c r="A340" s="5" t="s">
        <v>50</v>
      </c>
      <c r="B340" s="5" t="s">
        <v>51</v>
      </c>
      <c r="C340" s="5" t="s">
        <v>52</v>
      </c>
      <c r="D340" s="5" t="s">
        <v>53</v>
      </c>
      <c r="E340" s="17">
        <v>84000</v>
      </c>
      <c r="F340" s="5" t="s">
        <v>54</v>
      </c>
      <c r="G340" s="5"/>
      <c r="H340" s="74">
        <v>267.66666666666669</v>
      </c>
      <c r="I340" s="75" t="s">
        <v>3936</v>
      </c>
    </row>
    <row r="341" spans="1:9" ht="39.950000000000003" customHeight="1" x14ac:dyDescent="0.25">
      <c r="A341" s="5" t="s">
        <v>633</v>
      </c>
      <c r="B341" s="5" t="s">
        <v>33</v>
      </c>
      <c r="C341" s="5" t="s">
        <v>628</v>
      </c>
      <c r="D341" s="5" t="s">
        <v>634</v>
      </c>
      <c r="E341" s="17">
        <v>200000</v>
      </c>
      <c r="F341" s="5" t="s">
        <v>630</v>
      </c>
      <c r="G341" s="5"/>
      <c r="H341" s="74">
        <v>267.33333333333331</v>
      </c>
      <c r="I341" s="75" t="s">
        <v>3936</v>
      </c>
    </row>
    <row r="342" spans="1:9" ht="39.950000000000003" customHeight="1" x14ac:dyDescent="0.25">
      <c r="A342" s="5" t="s">
        <v>1075</v>
      </c>
      <c r="B342" s="5" t="s">
        <v>33</v>
      </c>
      <c r="C342" s="5" t="s">
        <v>1076</v>
      </c>
      <c r="D342" s="5" t="s">
        <v>1077</v>
      </c>
      <c r="E342" s="17">
        <v>162300</v>
      </c>
      <c r="F342" s="5" t="s">
        <v>63</v>
      </c>
      <c r="G342" s="9"/>
      <c r="H342" s="74">
        <v>266.66666666666669</v>
      </c>
      <c r="I342" s="75" t="s">
        <v>3936</v>
      </c>
    </row>
    <row r="343" spans="1:9" ht="39.950000000000003" customHeight="1" x14ac:dyDescent="0.25">
      <c r="A343" s="5" t="s">
        <v>244</v>
      </c>
      <c r="B343" s="5" t="s">
        <v>51</v>
      </c>
      <c r="C343" s="5" t="s">
        <v>245</v>
      </c>
      <c r="D343" s="5" t="s">
        <v>246</v>
      </c>
      <c r="E343" s="17">
        <v>100000</v>
      </c>
      <c r="F343" s="5" t="s">
        <v>247</v>
      </c>
      <c r="G343" s="5"/>
      <c r="H343" s="74">
        <v>266.33333333333331</v>
      </c>
      <c r="I343" s="75" t="s">
        <v>3936</v>
      </c>
    </row>
    <row r="344" spans="1:9" ht="39.950000000000003" customHeight="1" x14ac:dyDescent="0.25">
      <c r="A344" s="60" t="s">
        <v>1020</v>
      </c>
      <c r="B344" s="5" t="s">
        <v>33</v>
      </c>
      <c r="C344" s="5" t="s">
        <v>1021</v>
      </c>
      <c r="D344" s="5" t="s">
        <v>1022</v>
      </c>
      <c r="E344" s="17">
        <v>609818.75</v>
      </c>
      <c r="F344" s="5" t="s">
        <v>1023</v>
      </c>
      <c r="G344" s="9"/>
      <c r="H344" s="74">
        <v>266.33333333333331</v>
      </c>
      <c r="I344" s="75" t="s">
        <v>3936</v>
      </c>
    </row>
    <row r="345" spans="1:9" ht="39.950000000000003" customHeight="1" x14ac:dyDescent="0.25">
      <c r="A345" s="60" t="s">
        <v>440</v>
      </c>
      <c r="B345" s="5" t="s">
        <v>33</v>
      </c>
      <c r="C345" s="5" t="s">
        <v>441</v>
      </c>
      <c r="D345" s="5" t="s">
        <v>442</v>
      </c>
      <c r="E345" s="17">
        <v>620100</v>
      </c>
      <c r="F345" s="5" t="s">
        <v>444</v>
      </c>
      <c r="G345" s="9"/>
      <c r="H345" s="74">
        <v>266</v>
      </c>
      <c r="I345" s="75" t="s">
        <v>3936</v>
      </c>
    </row>
    <row r="346" spans="1:9" ht="39.950000000000003" customHeight="1" x14ac:dyDescent="0.25">
      <c r="A346" s="60" t="s">
        <v>2712</v>
      </c>
      <c r="B346" s="5" t="s">
        <v>33</v>
      </c>
      <c r="C346" s="5" t="s">
        <v>2713</v>
      </c>
      <c r="D346" s="5" t="s">
        <v>2714</v>
      </c>
      <c r="E346" s="17">
        <v>70000</v>
      </c>
      <c r="F346" s="5" t="s">
        <v>1023</v>
      </c>
      <c r="G346" s="5"/>
      <c r="H346" s="74">
        <v>266</v>
      </c>
      <c r="I346" s="75" t="s">
        <v>3936</v>
      </c>
    </row>
    <row r="347" spans="1:9" ht="39.950000000000003" customHeight="1" x14ac:dyDescent="0.25">
      <c r="A347" s="60" t="s">
        <v>1439</v>
      </c>
      <c r="B347" s="5" t="s">
        <v>33</v>
      </c>
      <c r="C347" s="5" t="s">
        <v>1440</v>
      </c>
      <c r="D347" s="5" t="s">
        <v>1441</v>
      </c>
      <c r="E347" s="17">
        <v>178800</v>
      </c>
      <c r="F347" s="5" t="s">
        <v>1442</v>
      </c>
      <c r="G347" s="5"/>
      <c r="H347" s="74">
        <v>265.33333333333331</v>
      </c>
      <c r="I347" s="75" t="s">
        <v>3936</v>
      </c>
    </row>
    <row r="348" spans="1:9" ht="39.950000000000003" customHeight="1" x14ac:dyDescent="0.25">
      <c r="A348" s="5" t="s">
        <v>185</v>
      </c>
      <c r="B348" s="5" t="s">
        <v>51</v>
      </c>
      <c r="C348" s="5" t="s">
        <v>186</v>
      </c>
      <c r="D348" s="5" t="s">
        <v>187</v>
      </c>
      <c r="E348" s="17">
        <v>414308.85</v>
      </c>
      <c r="F348" s="5" t="s">
        <v>188</v>
      </c>
      <c r="G348" s="11"/>
      <c r="H348" s="74">
        <v>264.33333333333331</v>
      </c>
      <c r="I348" s="75" t="s">
        <v>3936</v>
      </c>
    </row>
    <row r="349" spans="1:9" ht="39.950000000000003" customHeight="1" x14ac:dyDescent="0.25">
      <c r="A349" s="9" t="s">
        <v>1261</v>
      </c>
      <c r="B349" s="5" t="s">
        <v>51</v>
      </c>
      <c r="C349" s="9" t="s">
        <v>1262</v>
      </c>
      <c r="D349" s="11" t="s">
        <v>1263</v>
      </c>
      <c r="E349" s="38">
        <v>32693.32</v>
      </c>
      <c r="F349" s="9" t="s">
        <v>1264</v>
      </c>
      <c r="G349" s="5"/>
      <c r="H349" s="74">
        <v>263</v>
      </c>
      <c r="I349" s="75" t="s">
        <v>3936</v>
      </c>
    </row>
    <row r="350" spans="1:9" ht="39.950000000000003" customHeight="1" x14ac:dyDescent="0.25">
      <c r="A350" s="60" t="s">
        <v>1777</v>
      </c>
      <c r="B350" s="5" t="s">
        <v>33</v>
      </c>
      <c r="C350" s="5" t="s">
        <v>1778</v>
      </c>
      <c r="D350" s="5" t="s">
        <v>1779</v>
      </c>
      <c r="E350" s="17">
        <v>550000</v>
      </c>
      <c r="F350" s="5" t="s">
        <v>1780</v>
      </c>
      <c r="G350" s="5"/>
      <c r="H350" s="74">
        <v>263</v>
      </c>
      <c r="I350" s="75" t="s">
        <v>3936</v>
      </c>
    </row>
    <row r="351" spans="1:9" ht="39.950000000000003" customHeight="1" x14ac:dyDescent="0.25">
      <c r="A351" s="5" t="s">
        <v>2267</v>
      </c>
      <c r="B351" s="5" t="s">
        <v>33</v>
      </c>
      <c r="C351" s="5" t="s">
        <v>2268</v>
      </c>
      <c r="D351" s="5" t="s">
        <v>2269</v>
      </c>
      <c r="E351" s="17">
        <v>338304</v>
      </c>
      <c r="F351" s="5" t="s">
        <v>253</v>
      </c>
      <c r="G351" s="5"/>
      <c r="H351" s="74">
        <v>263</v>
      </c>
      <c r="I351" s="75" t="s">
        <v>3936</v>
      </c>
    </row>
    <row r="352" spans="1:9" ht="39.950000000000003" customHeight="1" x14ac:dyDescent="0.25">
      <c r="A352" s="9" t="s">
        <v>434</v>
      </c>
      <c r="B352" s="5" t="s">
        <v>51</v>
      </c>
      <c r="C352" s="9" t="s">
        <v>435</v>
      </c>
      <c r="D352" s="9" t="s">
        <v>436</v>
      </c>
      <c r="E352" s="38">
        <v>133070</v>
      </c>
      <c r="F352" s="9" t="s">
        <v>437</v>
      </c>
      <c r="G352" s="9"/>
      <c r="H352" s="74">
        <v>262.33333333333331</v>
      </c>
      <c r="I352" s="75" t="s">
        <v>3936</v>
      </c>
    </row>
    <row r="353" spans="1:9" ht="39.950000000000003" customHeight="1" x14ac:dyDescent="0.25">
      <c r="A353" s="60" t="s">
        <v>851</v>
      </c>
      <c r="B353" s="5" t="s">
        <v>33</v>
      </c>
      <c r="C353" s="5" t="s">
        <v>852</v>
      </c>
      <c r="D353" s="5" t="s">
        <v>853</v>
      </c>
      <c r="E353" s="17">
        <v>197375.06</v>
      </c>
      <c r="F353" s="5" t="s">
        <v>73</v>
      </c>
      <c r="G353" s="9"/>
      <c r="H353" s="74">
        <v>262</v>
      </c>
      <c r="I353" s="75" t="s">
        <v>3936</v>
      </c>
    </row>
    <row r="354" spans="1:9" ht="39.950000000000003" customHeight="1" x14ac:dyDescent="0.25">
      <c r="A354" s="5" t="s">
        <v>360</v>
      </c>
      <c r="B354" s="5" t="s">
        <v>51</v>
      </c>
      <c r="C354" s="5" t="s">
        <v>354</v>
      </c>
      <c r="D354" s="5" t="s">
        <v>361</v>
      </c>
      <c r="E354" s="17">
        <v>649980</v>
      </c>
      <c r="F354" s="5" t="s">
        <v>347</v>
      </c>
      <c r="G354" s="9"/>
      <c r="H354" s="74">
        <v>261</v>
      </c>
      <c r="I354" s="75" t="s">
        <v>3936</v>
      </c>
    </row>
    <row r="355" spans="1:9" ht="39.950000000000003" customHeight="1" x14ac:dyDescent="0.25">
      <c r="A355" s="60" t="s">
        <v>1857</v>
      </c>
      <c r="B355" s="5" t="s">
        <v>33</v>
      </c>
      <c r="C355" s="5" t="s">
        <v>1858</v>
      </c>
      <c r="D355" s="5" t="s">
        <v>1859</v>
      </c>
      <c r="E355" s="17">
        <v>47071.72</v>
      </c>
      <c r="F355" s="5" t="s">
        <v>538</v>
      </c>
      <c r="G355" s="5"/>
      <c r="H355" s="74">
        <v>261</v>
      </c>
      <c r="I355" s="75" t="s">
        <v>3936</v>
      </c>
    </row>
    <row r="356" spans="1:9" ht="39.950000000000003" customHeight="1" x14ac:dyDescent="0.25">
      <c r="A356" s="9" t="s">
        <v>1316</v>
      </c>
      <c r="B356" s="5" t="s">
        <v>51</v>
      </c>
      <c r="C356" s="9" t="s">
        <v>1317</v>
      </c>
      <c r="D356" s="9" t="s">
        <v>1318</v>
      </c>
      <c r="E356" s="38">
        <v>66115.899999999994</v>
      </c>
      <c r="F356" s="9" t="s">
        <v>1319</v>
      </c>
      <c r="G356" s="5"/>
      <c r="H356" s="74">
        <v>260</v>
      </c>
      <c r="I356" s="75" t="s">
        <v>3936</v>
      </c>
    </row>
    <row r="357" spans="1:9" ht="39.950000000000003" customHeight="1" x14ac:dyDescent="0.25">
      <c r="A357" s="9" t="s">
        <v>1621</v>
      </c>
      <c r="B357" s="5" t="s">
        <v>51</v>
      </c>
      <c r="C357" s="9" t="s">
        <v>1622</v>
      </c>
      <c r="D357" s="11" t="s">
        <v>1623</v>
      </c>
      <c r="E357" s="38">
        <v>500000</v>
      </c>
      <c r="F357" s="9" t="s">
        <v>1624</v>
      </c>
      <c r="G357" s="5"/>
      <c r="H357" s="74">
        <v>258.66666666666669</v>
      </c>
      <c r="I357" s="75" t="s">
        <v>3936</v>
      </c>
    </row>
    <row r="358" spans="1:9" ht="39.950000000000003" customHeight="1" x14ac:dyDescent="0.25">
      <c r="A358" s="60" t="s">
        <v>2188</v>
      </c>
      <c r="B358" s="5" t="s">
        <v>33</v>
      </c>
      <c r="C358" s="9" t="s">
        <v>2189</v>
      </c>
      <c r="D358" s="9" t="s">
        <v>2190</v>
      </c>
      <c r="E358" s="71">
        <v>927704.17</v>
      </c>
      <c r="F358" s="5" t="s">
        <v>73</v>
      </c>
      <c r="G358" s="5"/>
      <c r="H358" s="74">
        <v>258.66666666666669</v>
      </c>
      <c r="I358" s="75" t="s">
        <v>3936</v>
      </c>
    </row>
    <row r="359" spans="1:9" ht="39.950000000000003" customHeight="1" x14ac:dyDescent="0.25">
      <c r="A359" s="60" t="s">
        <v>706</v>
      </c>
      <c r="B359" s="5" t="s">
        <v>33</v>
      </c>
      <c r="C359" s="5" t="s">
        <v>707</v>
      </c>
      <c r="D359" s="5" t="s">
        <v>708</v>
      </c>
      <c r="E359" s="17">
        <v>711386.16</v>
      </c>
      <c r="F359" s="5" t="s">
        <v>701</v>
      </c>
      <c r="G359" s="9"/>
      <c r="H359" s="74">
        <v>258.33333333333331</v>
      </c>
      <c r="I359" s="75" t="s">
        <v>3936</v>
      </c>
    </row>
    <row r="360" spans="1:9" ht="39.950000000000003" customHeight="1" x14ac:dyDescent="0.25">
      <c r="A360" s="60" t="s">
        <v>803</v>
      </c>
      <c r="B360" s="5" t="s">
        <v>33</v>
      </c>
      <c r="C360" s="5" t="s">
        <v>799</v>
      </c>
      <c r="D360" s="5" t="s">
        <v>804</v>
      </c>
      <c r="E360" s="17">
        <v>997772.88</v>
      </c>
      <c r="F360" s="5" t="s">
        <v>73</v>
      </c>
      <c r="G360" s="9"/>
      <c r="H360" s="74">
        <v>257.33333333333331</v>
      </c>
      <c r="I360" s="75" t="s">
        <v>3936</v>
      </c>
    </row>
    <row r="361" spans="1:9" ht="39.950000000000003" customHeight="1" x14ac:dyDescent="0.25">
      <c r="A361" s="60" t="s">
        <v>2394</v>
      </c>
      <c r="B361" s="5" t="s">
        <v>33</v>
      </c>
      <c r="C361" s="5" t="s">
        <v>2395</v>
      </c>
      <c r="D361" s="5" t="s">
        <v>2396</v>
      </c>
      <c r="E361" s="17">
        <v>268000</v>
      </c>
      <c r="F361" s="5" t="s">
        <v>2397</v>
      </c>
      <c r="G361" s="5"/>
      <c r="H361" s="74">
        <v>257.33333333333331</v>
      </c>
      <c r="I361" s="75" t="s">
        <v>3936</v>
      </c>
    </row>
    <row r="362" spans="1:9" ht="39.950000000000003" customHeight="1" x14ac:dyDescent="0.25">
      <c r="A362" s="60" t="s">
        <v>1397</v>
      </c>
      <c r="B362" s="5" t="s">
        <v>33</v>
      </c>
      <c r="C362" s="5" t="s">
        <v>1398</v>
      </c>
      <c r="D362" s="5" t="s">
        <v>1399</v>
      </c>
      <c r="E362" s="17">
        <v>223240.63</v>
      </c>
      <c r="F362" s="5" t="s">
        <v>993</v>
      </c>
      <c r="G362" s="5"/>
      <c r="H362" s="74">
        <v>257</v>
      </c>
      <c r="I362" s="75" t="s">
        <v>3936</v>
      </c>
    </row>
    <row r="363" spans="1:9" ht="39.950000000000003" customHeight="1" x14ac:dyDescent="0.25">
      <c r="A363" s="9" t="s">
        <v>954</v>
      </c>
      <c r="B363" s="5" t="s">
        <v>51</v>
      </c>
      <c r="C363" s="9" t="s">
        <v>955</v>
      </c>
      <c r="D363" s="9" t="s">
        <v>956</v>
      </c>
      <c r="E363" s="38">
        <v>60000</v>
      </c>
      <c r="F363" s="9" t="s">
        <v>957</v>
      </c>
      <c r="G363" s="9"/>
      <c r="H363" s="74">
        <v>256.66666666666669</v>
      </c>
      <c r="I363" s="75" t="s">
        <v>3936</v>
      </c>
    </row>
    <row r="364" spans="1:9" ht="39.950000000000003" customHeight="1" x14ac:dyDescent="0.25">
      <c r="A364" s="9" t="s">
        <v>1244</v>
      </c>
      <c r="B364" s="5" t="s">
        <v>51</v>
      </c>
      <c r="C364" s="9" t="s">
        <v>1245</v>
      </c>
      <c r="D364" s="11" t="s">
        <v>1246</v>
      </c>
      <c r="E364" s="38">
        <v>500000</v>
      </c>
      <c r="F364" s="9" t="s">
        <v>1247</v>
      </c>
      <c r="G364" s="5"/>
      <c r="H364" s="74">
        <v>256.66666666666669</v>
      </c>
      <c r="I364" s="75" t="s">
        <v>3936</v>
      </c>
    </row>
    <row r="365" spans="1:9" ht="39.950000000000003" customHeight="1" x14ac:dyDescent="0.25">
      <c r="A365" s="5" t="s">
        <v>483</v>
      </c>
      <c r="B365" s="5" t="s">
        <v>33</v>
      </c>
      <c r="C365" s="5" t="s">
        <v>484</v>
      </c>
      <c r="D365" s="5" t="s">
        <v>485</v>
      </c>
      <c r="E365" s="17">
        <v>180000</v>
      </c>
      <c r="F365" s="5" t="s">
        <v>486</v>
      </c>
      <c r="G365" s="5"/>
      <c r="H365" s="74">
        <v>256.33333333333331</v>
      </c>
      <c r="I365" s="75" t="s">
        <v>3936</v>
      </c>
    </row>
    <row r="366" spans="1:9" ht="39.950000000000003" customHeight="1" x14ac:dyDescent="0.25">
      <c r="A366" s="60" t="s">
        <v>1544</v>
      </c>
      <c r="B366" s="5" t="s">
        <v>33</v>
      </c>
      <c r="C366" s="5" t="s">
        <v>1545</v>
      </c>
      <c r="D366" s="5" t="s">
        <v>1546</v>
      </c>
      <c r="E366" s="17">
        <v>49740</v>
      </c>
      <c r="F366" s="5" t="s">
        <v>1547</v>
      </c>
      <c r="G366" s="9"/>
      <c r="H366" s="74">
        <v>256.33333333333331</v>
      </c>
      <c r="I366" s="75" t="s">
        <v>3936</v>
      </c>
    </row>
    <row r="367" spans="1:9" ht="39.950000000000003" customHeight="1" x14ac:dyDescent="0.25">
      <c r="A367" s="9" t="s">
        <v>1851</v>
      </c>
      <c r="B367" s="5" t="s">
        <v>51</v>
      </c>
      <c r="C367" s="9" t="s">
        <v>1852</v>
      </c>
      <c r="D367" s="11" t="s">
        <v>1853</v>
      </c>
      <c r="E367" s="38">
        <v>150000</v>
      </c>
      <c r="F367" s="9" t="s">
        <v>1854</v>
      </c>
      <c r="G367" s="9"/>
      <c r="H367" s="74">
        <v>256</v>
      </c>
      <c r="I367" s="75" t="s">
        <v>3936</v>
      </c>
    </row>
    <row r="368" spans="1:9" ht="39.950000000000003" customHeight="1" x14ac:dyDescent="0.25">
      <c r="A368" s="60" t="s">
        <v>1729</v>
      </c>
      <c r="B368" s="5" t="s">
        <v>33</v>
      </c>
      <c r="C368" s="5" t="s">
        <v>1730</v>
      </c>
      <c r="D368" s="5" t="s">
        <v>1731</v>
      </c>
      <c r="E368" s="17">
        <v>679588.24</v>
      </c>
      <c r="F368" s="5" t="s">
        <v>1732</v>
      </c>
      <c r="G368" s="5"/>
      <c r="H368" s="74">
        <v>255.33333333333334</v>
      </c>
      <c r="I368" s="75" t="s">
        <v>3936</v>
      </c>
    </row>
    <row r="369" spans="1:9" ht="39.950000000000003" customHeight="1" x14ac:dyDescent="0.25">
      <c r="A369" s="5" t="s">
        <v>119</v>
      </c>
      <c r="B369" s="5" t="s">
        <v>33</v>
      </c>
      <c r="C369" s="5" t="s">
        <v>120</v>
      </c>
      <c r="D369" s="5" t="s">
        <v>121</v>
      </c>
      <c r="E369" s="17">
        <v>69808.08</v>
      </c>
      <c r="F369" s="5" t="s">
        <v>122</v>
      </c>
      <c r="G369" s="11"/>
      <c r="H369" s="74">
        <v>255</v>
      </c>
      <c r="I369" s="75" t="s">
        <v>3936</v>
      </c>
    </row>
    <row r="370" spans="1:9" ht="39.950000000000003" customHeight="1" x14ac:dyDescent="0.25">
      <c r="A370" s="9" t="s">
        <v>2428</v>
      </c>
      <c r="B370" s="5" t="s">
        <v>51</v>
      </c>
      <c r="C370" s="9" t="s">
        <v>2429</v>
      </c>
      <c r="D370" s="9" t="s">
        <v>2402</v>
      </c>
      <c r="E370" s="38">
        <v>164000</v>
      </c>
      <c r="F370" s="9" t="s">
        <v>2430</v>
      </c>
      <c r="G370" s="5"/>
      <c r="H370" s="74">
        <v>254.66666666666666</v>
      </c>
      <c r="I370" s="75" t="s">
        <v>3936</v>
      </c>
    </row>
    <row r="371" spans="1:9" ht="39.950000000000003" customHeight="1" x14ac:dyDescent="0.25">
      <c r="A371" s="5" t="s">
        <v>1328</v>
      </c>
      <c r="B371" s="5" t="s">
        <v>33</v>
      </c>
      <c r="C371" s="5" t="s">
        <v>1329</v>
      </c>
      <c r="D371" s="5" t="s">
        <v>1330</v>
      </c>
      <c r="E371" s="17">
        <v>799023.7</v>
      </c>
      <c r="F371" s="5" t="s">
        <v>859</v>
      </c>
      <c r="G371" s="5"/>
      <c r="H371" s="74">
        <v>254.33333333333334</v>
      </c>
      <c r="I371" s="75" t="s">
        <v>3936</v>
      </c>
    </row>
    <row r="372" spans="1:9" ht="39.950000000000003" customHeight="1" x14ac:dyDescent="0.25">
      <c r="A372" s="9" t="s">
        <v>807</v>
      </c>
      <c r="B372" s="5" t="s">
        <v>51</v>
      </c>
      <c r="C372" s="9" t="s">
        <v>808</v>
      </c>
      <c r="D372" s="9" t="s">
        <v>809</v>
      </c>
      <c r="E372" s="38">
        <v>72659.16</v>
      </c>
      <c r="F372" s="9" t="s">
        <v>810</v>
      </c>
      <c r="G372" s="5"/>
      <c r="H372" s="74">
        <v>253.33333333333334</v>
      </c>
      <c r="I372" s="75" t="s">
        <v>3936</v>
      </c>
    </row>
    <row r="373" spans="1:9" ht="39.950000000000003" customHeight="1" x14ac:dyDescent="0.25">
      <c r="A373" s="5" t="s">
        <v>1496</v>
      </c>
      <c r="B373" s="5" t="s">
        <v>33</v>
      </c>
      <c r="C373" s="5" t="s">
        <v>1497</v>
      </c>
      <c r="D373" s="5" t="s">
        <v>1498</v>
      </c>
      <c r="E373" s="17">
        <v>40000</v>
      </c>
      <c r="F373" s="5" t="s">
        <v>1490</v>
      </c>
      <c r="G373" s="5"/>
      <c r="H373" s="74">
        <v>253.33333333333334</v>
      </c>
      <c r="I373" s="75" t="s">
        <v>3936</v>
      </c>
    </row>
    <row r="374" spans="1:9" ht="39.950000000000003" customHeight="1" x14ac:dyDescent="0.25">
      <c r="A374" s="5" t="s">
        <v>2867</v>
      </c>
      <c r="B374" s="5" t="s">
        <v>33</v>
      </c>
      <c r="C374" s="5" t="s">
        <v>2868</v>
      </c>
      <c r="D374" s="5" t="s">
        <v>2869</v>
      </c>
      <c r="E374" s="17">
        <v>1149380</v>
      </c>
      <c r="F374" s="5" t="s">
        <v>73</v>
      </c>
      <c r="G374" s="5"/>
      <c r="H374" s="74">
        <v>253.33333333333334</v>
      </c>
      <c r="I374" s="75" t="s">
        <v>3936</v>
      </c>
    </row>
    <row r="375" spans="1:9" ht="39.950000000000003" customHeight="1" x14ac:dyDescent="0.25">
      <c r="A375" s="5" t="s">
        <v>862</v>
      </c>
      <c r="B375" s="5" t="s">
        <v>33</v>
      </c>
      <c r="C375" s="5" t="s">
        <v>857</v>
      </c>
      <c r="D375" s="5" t="s">
        <v>863</v>
      </c>
      <c r="E375" s="17">
        <v>309808.38</v>
      </c>
      <c r="F375" s="5" t="s">
        <v>859</v>
      </c>
      <c r="G375" s="5"/>
      <c r="H375" s="74">
        <v>252.66666666666666</v>
      </c>
      <c r="I375" s="75" t="s">
        <v>3936</v>
      </c>
    </row>
    <row r="376" spans="1:9" ht="39.950000000000003" customHeight="1" x14ac:dyDescent="0.25">
      <c r="A376" s="5" t="s">
        <v>192</v>
      </c>
      <c r="B376" s="5" t="s">
        <v>33</v>
      </c>
      <c r="C376" s="5" t="s">
        <v>193</v>
      </c>
      <c r="D376" s="5" t="s">
        <v>194</v>
      </c>
      <c r="E376" s="17">
        <v>267766.51</v>
      </c>
      <c r="F376" s="5" t="s">
        <v>195</v>
      </c>
      <c r="G376" s="5"/>
      <c r="H376" s="74">
        <v>252.33333333333334</v>
      </c>
      <c r="I376" s="75" t="s">
        <v>3936</v>
      </c>
    </row>
    <row r="377" spans="1:9" ht="39.950000000000003" customHeight="1" x14ac:dyDescent="0.25">
      <c r="A377" s="60" t="s">
        <v>2439</v>
      </c>
      <c r="B377" s="5" t="s">
        <v>33</v>
      </c>
      <c r="C377" s="5" t="s">
        <v>2440</v>
      </c>
      <c r="D377" s="5" t="s">
        <v>2441</v>
      </c>
      <c r="E377" s="17">
        <v>280000</v>
      </c>
      <c r="F377" s="5" t="s">
        <v>2442</v>
      </c>
      <c r="G377" s="9"/>
      <c r="H377" s="74">
        <v>252.33333333333334</v>
      </c>
      <c r="I377" s="75" t="s">
        <v>3936</v>
      </c>
    </row>
    <row r="378" spans="1:9" ht="39.950000000000003" customHeight="1" x14ac:dyDescent="0.25">
      <c r="A378" s="60" t="s">
        <v>1392</v>
      </c>
      <c r="B378" s="5" t="s">
        <v>33</v>
      </c>
      <c r="C378" s="5" t="s">
        <v>1393</v>
      </c>
      <c r="D378" s="5" t="s">
        <v>1394</v>
      </c>
      <c r="E378" s="17">
        <v>445266.8</v>
      </c>
      <c r="F378" s="5" t="s">
        <v>63</v>
      </c>
      <c r="G378" s="5"/>
      <c r="H378" s="74">
        <v>251.66666666666666</v>
      </c>
      <c r="I378" s="75" t="s">
        <v>3936</v>
      </c>
    </row>
    <row r="379" spans="1:9" ht="39.950000000000003" customHeight="1" x14ac:dyDescent="0.25">
      <c r="A379" s="60" t="s">
        <v>494</v>
      </c>
      <c r="B379" s="5" t="s">
        <v>33</v>
      </c>
      <c r="C379" s="5" t="s">
        <v>495</v>
      </c>
      <c r="D379" s="5" t="s">
        <v>496</v>
      </c>
      <c r="E379" s="17">
        <v>102600</v>
      </c>
      <c r="F379" s="5" t="s">
        <v>497</v>
      </c>
      <c r="G379" s="5"/>
      <c r="H379" s="74">
        <v>251.33333333333334</v>
      </c>
      <c r="I379" s="75" t="s">
        <v>3936</v>
      </c>
    </row>
    <row r="380" spans="1:9" ht="39.950000000000003" customHeight="1" x14ac:dyDescent="0.25">
      <c r="A380" s="60" t="s">
        <v>1047</v>
      </c>
      <c r="B380" s="5" t="s">
        <v>33</v>
      </c>
      <c r="C380" s="5" t="s">
        <v>1048</v>
      </c>
      <c r="D380" s="5" t="s">
        <v>1049</v>
      </c>
      <c r="E380" s="17">
        <v>382990.71</v>
      </c>
      <c r="F380" s="5" t="s">
        <v>390</v>
      </c>
      <c r="G380" s="5"/>
      <c r="H380" s="74">
        <v>251</v>
      </c>
      <c r="I380" s="75" t="s">
        <v>3936</v>
      </c>
    </row>
    <row r="381" spans="1:9" ht="39.950000000000003" customHeight="1" x14ac:dyDescent="0.25">
      <c r="A381" s="5" t="s">
        <v>1099</v>
      </c>
      <c r="B381" s="5" t="s">
        <v>33</v>
      </c>
      <c r="C381" s="5" t="s">
        <v>1100</v>
      </c>
      <c r="D381" s="5" t="s">
        <v>1101</v>
      </c>
      <c r="E381" s="17">
        <v>704000</v>
      </c>
      <c r="F381" s="5" t="s">
        <v>728</v>
      </c>
      <c r="G381" s="5"/>
      <c r="H381" s="74">
        <v>250.66666666666666</v>
      </c>
      <c r="I381" s="75" t="s">
        <v>3936</v>
      </c>
    </row>
    <row r="382" spans="1:9" ht="39.950000000000003" customHeight="1" x14ac:dyDescent="0.25">
      <c r="A382" s="60" t="s">
        <v>1434</v>
      </c>
      <c r="B382" s="5" t="s">
        <v>33</v>
      </c>
      <c r="C382" s="5" t="s">
        <v>1435</v>
      </c>
      <c r="D382" s="5" t="s">
        <v>1436</v>
      </c>
      <c r="E382" s="17">
        <v>60900.34</v>
      </c>
      <c r="F382" s="5" t="s">
        <v>73</v>
      </c>
      <c r="G382" s="9"/>
      <c r="H382" s="74">
        <v>250.33333333333334</v>
      </c>
      <c r="I382" s="75" t="s">
        <v>3936</v>
      </c>
    </row>
    <row r="383" spans="1:9" ht="39.950000000000003" customHeight="1" x14ac:dyDescent="0.25">
      <c r="A383" s="60" t="s">
        <v>582</v>
      </c>
      <c r="B383" s="5" t="s">
        <v>33</v>
      </c>
      <c r="C383" s="5" t="s">
        <v>583</v>
      </c>
      <c r="D383" s="5" t="s">
        <v>584</v>
      </c>
      <c r="E383" s="17">
        <v>377095.48</v>
      </c>
      <c r="F383" s="5" t="s">
        <v>585</v>
      </c>
      <c r="G383" s="5"/>
      <c r="H383" s="74">
        <v>250</v>
      </c>
      <c r="I383" s="75" t="s">
        <v>3936</v>
      </c>
    </row>
    <row r="384" spans="1:9" ht="39.950000000000003" customHeight="1" x14ac:dyDescent="0.25">
      <c r="A384" s="5" t="s">
        <v>622</v>
      </c>
      <c r="B384" s="5" t="s">
        <v>33</v>
      </c>
      <c r="C384" s="5" t="s">
        <v>623</v>
      </c>
      <c r="D384" s="5" t="s">
        <v>624</v>
      </c>
      <c r="E384" s="17">
        <v>0</v>
      </c>
      <c r="F384" s="5" t="s">
        <v>596</v>
      </c>
      <c r="G384" s="5"/>
      <c r="H384" s="74">
        <v>249.66666666666666</v>
      </c>
      <c r="I384" s="75" t="s">
        <v>3936</v>
      </c>
    </row>
    <row r="385" spans="1:9" ht="39.950000000000003" customHeight="1" x14ac:dyDescent="0.25">
      <c r="A385" s="9" t="s">
        <v>1065</v>
      </c>
      <c r="B385" s="5" t="s">
        <v>51</v>
      </c>
      <c r="C385" s="9" t="s">
        <v>1066</v>
      </c>
      <c r="D385" s="9" t="s">
        <v>1067</v>
      </c>
      <c r="E385" s="38">
        <v>245000</v>
      </c>
      <c r="F385" s="9" t="s">
        <v>63</v>
      </c>
      <c r="G385" s="5"/>
      <c r="H385" s="74">
        <v>249.66666666666666</v>
      </c>
      <c r="I385" s="75" t="s">
        <v>3936</v>
      </c>
    </row>
    <row r="386" spans="1:9" ht="39.950000000000003" customHeight="1" x14ac:dyDescent="0.25">
      <c r="A386" s="5" t="s">
        <v>1110</v>
      </c>
      <c r="B386" s="5" t="s">
        <v>33</v>
      </c>
      <c r="C386" s="5" t="s">
        <v>1111</v>
      </c>
      <c r="D386" s="5" t="s">
        <v>1112</v>
      </c>
      <c r="E386" s="17">
        <v>150000</v>
      </c>
      <c r="F386" s="5" t="s">
        <v>1107</v>
      </c>
      <c r="G386" s="5"/>
      <c r="H386" s="74">
        <v>249.33333333333334</v>
      </c>
      <c r="I386" s="75" t="s">
        <v>3936</v>
      </c>
    </row>
    <row r="387" spans="1:9" ht="39.950000000000003" customHeight="1" x14ac:dyDescent="0.25">
      <c r="A387" s="60" t="s">
        <v>1450</v>
      </c>
      <c r="B387" s="5" t="s">
        <v>33</v>
      </c>
      <c r="C387" s="5" t="s">
        <v>1451</v>
      </c>
      <c r="D387" s="5" t="s">
        <v>1452</v>
      </c>
      <c r="E387" s="17">
        <v>267625.44</v>
      </c>
      <c r="F387" s="5" t="s">
        <v>1033</v>
      </c>
      <c r="G387" s="11"/>
      <c r="H387" s="74">
        <v>249.33333333333334</v>
      </c>
      <c r="I387" s="75" t="s">
        <v>3936</v>
      </c>
    </row>
    <row r="388" spans="1:9" ht="39.950000000000003" customHeight="1" x14ac:dyDescent="0.25">
      <c r="A388" s="60" t="s">
        <v>2497</v>
      </c>
      <c r="B388" s="5" t="s">
        <v>33</v>
      </c>
      <c r="C388" s="5" t="s">
        <v>2498</v>
      </c>
      <c r="D388" s="5" t="s">
        <v>2499</v>
      </c>
      <c r="E388" s="17">
        <v>982220</v>
      </c>
      <c r="F388" s="5" t="s">
        <v>2500</v>
      </c>
      <c r="G388" s="9"/>
      <c r="H388" s="74">
        <v>249</v>
      </c>
      <c r="I388" s="75" t="s">
        <v>3936</v>
      </c>
    </row>
    <row r="389" spans="1:9" ht="39.950000000000003" customHeight="1" x14ac:dyDescent="0.25">
      <c r="A389" s="60" t="s">
        <v>2003</v>
      </c>
      <c r="B389" s="5" t="s">
        <v>33</v>
      </c>
      <c r="C389" s="5" t="s">
        <v>1999</v>
      </c>
      <c r="D389" s="5" t="s">
        <v>2004</v>
      </c>
      <c r="E389" s="17">
        <v>136400</v>
      </c>
      <c r="F389" s="5" t="s">
        <v>94</v>
      </c>
      <c r="G389" s="5"/>
      <c r="H389" s="74">
        <v>247.66666666666666</v>
      </c>
      <c r="I389" s="75" t="s">
        <v>3936</v>
      </c>
    </row>
    <row r="390" spans="1:9" ht="39.950000000000003" customHeight="1" x14ac:dyDescent="0.25">
      <c r="A390" s="9" t="s">
        <v>557</v>
      </c>
      <c r="B390" s="5" t="s">
        <v>51</v>
      </c>
      <c r="C390" s="9" t="s">
        <v>558</v>
      </c>
      <c r="D390" s="9" t="s">
        <v>559</v>
      </c>
      <c r="E390" s="38">
        <v>400000</v>
      </c>
      <c r="F390" s="9" t="s">
        <v>560</v>
      </c>
      <c r="G390" s="5"/>
      <c r="H390" s="74">
        <v>247.33333333333334</v>
      </c>
      <c r="I390" s="75" t="s">
        <v>3936</v>
      </c>
    </row>
    <row r="391" spans="1:9" ht="39.950000000000003" customHeight="1" x14ac:dyDescent="0.25">
      <c r="A391" s="9" t="s">
        <v>1297</v>
      </c>
      <c r="B391" s="5" t="s">
        <v>51</v>
      </c>
      <c r="C391" s="9" t="s">
        <v>1298</v>
      </c>
      <c r="D391" s="9" t="s">
        <v>1299</v>
      </c>
      <c r="E391" s="38">
        <v>30000</v>
      </c>
      <c r="F391" s="9" t="s">
        <v>1300</v>
      </c>
      <c r="G391" s="9"/>
      <c r="H391" s="74">
        <v>247.33333333333334</v>
      </c>
      <c r="I391" s="75" t="s">
        <v>3936</v>
      </c>
    </row>
    <row r="392" spans="1:9" ht="39.950000000000003" customHeight="1" x14ac:dyDescent="0.25">
      <c r="A392" s="5" t="s">
        <v>287</v>
      </c>
      <c r="B392" s="5" t="s">
        <v>33</v>
      </c>
      <c r="C392" s="5" t="s">
        <v>288</v>
      </c>
      <c r="D392" s="5" t="s">
        <v>289</v>
      </c>
      <c r="E392" s="17">
        <v>270000</v>
      </c>
      <c r="F392" s="5" t="s">
        <v>290</v>
      </c>
      <c r="G392" s="11"/>
      <c r="H392" s="74">
        <v>247</v>
      </c>
      <c r="I392" s="75" t="s">
        <v>3936</v>
      </c>
    </row>
    <row r="393" spans="1:9" ht="39.950000000000003" customHeight="1" x14ac:dyDescent="0.25">
      <c r="A393" s="5" t="s">
        <v>2615</v>
      </c>
      <c r="B393" s="5" t="s">
        <v>33</v>
      </c>
      <c r="C393" s="5" t="s">
        <v>2611</v>
      </c>
      <c r="D393" s="5" t="s">
        <v>2616</v>
      </c>
      <c r="E393" s="17">
        <v>451456</v>
      </c>
      <c r="F393" s="5" t="s">
        <v>73</v>
      </c>
      <c r="G393" s="5"/>
      <c r="H393" s="74">
        <v>246.66666666666666</v>
      </c>
      <c r="I393" s="75" t="s">
        <v>3936</v>
      </c>
    </row>
    <row r="394" spans="1:9" ht="39.950000000000003" customHeight="1" x14ac:dyDescent="0.25">
      <c r="A394" s="60" t="s">
        <v>2057</v>
      </c>
      <c r="B394" s="5" t="s">
        <v>33</v>
      </c>
      <c r="C394" s="5" t="s">
        <v>2053</v>
      </c>
      <c r="D394" s="5" t="s">
        <v>2058</v>
      </c>
      <c r="E394" s="71">
        <v>323278.44</v>
      </c>
      <c r="F394" s="5" t="s">
        <v>253</v>
      </c>
      <c r="G394" s="5"/>
      <c r="H394" s="74">
        <v>246.33333333333334</v>
      </c>
      <c r="I394" s="75" t="s">
        <v>3936</v>
      </c>
    </row>
    <row r="395" spans="1:9" ht="39.950000000000003" customHeight="1" x14ac:dyDescent="0.25">
      <c r="A395" s="9" t="s">
        <v>512</v>
      </c>
      <c r="B395" s="5" t="s">
        <v>51</v>
      </c>
      <c r="C395" s="9" t="s">
        <v>513</v>
      </c>
      <c r="D395" s="9" t="s">
        <v>514</v>
      </c>
      <c r="E395" s="38">
        <v>434000</v>
      </c>
      <c r="F395" s="9" t="s">
        <v>515</v>
      </c>
      <c r="G395" s="5"/>
      <c r="H395" s="74">
        <v>245.66666666666666</v>
      </c>
      <c r="I395" s="75" t="s">
        <v>3936</v>
      </c>
    </row>
    <row r="396" spans="1:9" ht="39.950000000000003" customHeight="1" x14ac:dyDescent="0.25">
      <c r="A396" s="60" t="s">
        <v>1013</v>
      </c>
      <c r="B396" s="5" t="s">
        <v>33</v>
      </c>
      <c r="C396" s="5" t="s">
        <v>1014</v>
      </c>
      <c r="D396" s="5" t="s">
        <v>1015</v>
      </c>
      <c r="E396" s="17">
        <v>2389959.12</v>
      </c>
      <c r="F396" s="5" t="s">
        <v>108</v>
      </c>
      <c r="G396" s="5"/>
      <c r="H396" s="74">
        <v>245.33333333333334</v>
      </c>
      <c r="I396" s="75" t="s">
        <v>3936</v>
      </c>
    </row>
    <row r="397" spans="1:9" ht="39.950000000000003" customHeight="1" x14ac:dyDescent="0.25">
      <c r="A397" s="5" t="s">
        <v>345</v>
      </c>
      <c r="B397" s="5" t="s">
        <v>33</v>
      </c>
      <c r="C397" s="5" t="s">
        <v>172</v>
      </c>
      <c r="D397" s="5" t="s">
        <v>346</v>
      </c>
      <c r="E397" s="17">
        <v>388555.13</v>
      </c>
      <c r="F397" s="5" t="s">
        <v>347</v>
      </c>
      <c r="G397" s="9"/>
      <c r="H397" s="74">
        <v>245</v>
      </c>
      <c r="I397" s="75" t="s">
        <v>3936</v>
      </c>
    </row>
    <row r="398" spans="1:9" ht="39.950000000000003" customHeight="1" x14ac:dyDescent="0.25">
      <c r="A398" s="5" t="s">
        <v>980</v>
      </c>
      <c r="B398" s="5" t="s">
        <v>33</v>
      </c>
      <c r="C398" s="5" t="s">
        <v>981</v>
      </c>
      <c r="D398" s="5" t="s">
        <v>45</v>
      </c>
      <c r="E398" s="17">
        <v>130000</v>
      </c>
      <c r="F398" s="5" t="s">
        <v>976</v>
      </c>
      <c r="G398" s="5"/>
      <c r="H398" s="74">
        <v>244.66666666666666</v>
      </c>
      <c r="I398" s="75" t="s">
        <v>3936</v>
      </c>
    </row>
    <row r="399" spans="1:9" ht="39.950000000000003" customHeight="1" x14ac:dyDescent="0.25">
      <c r="A399" s="60" t="s">
        <v>405</v>
      </c>
      <c r="B399" s="5" t="s">
        <v>33</v>
      </c>
      <c r="C399" s="5" t="s">
        <v>406</v>
      </c>
      <c r="D399" s="5" t="s">
        <v>407</v>
      </c>
      <c r="E399" s="17">
        <v>68680</v>
      </c>
      <c r="F399" s="5" t="s">
        <v>108</v>
      </c>
      <c r="G399" s="9"/>
      <c r="H399" s="74">
        <v>244.33333333333334</v>
      </c>
      <c r="I399" s="75" t="s">
        <v>3936</v>
      </c>
    </row>
    <row r="400" spans="1:9" ht="39.950000000000003" customHeight="1" x14ac:dyDescent="0.25">
      <c r="A400" s="9" t="s">
        <v>1198</v>
      </c>
      <c r="B400" s="5" t="s">
        <v>51</v>
      </c>
      <c r="C400" s="9" t="s">
        <v>1199</v>
      </c>
      <c r="D400" s="9" t="s">
        <v>1200</v>
      </c>
      <c r="E400" s="38">
        <v>348000</v>
      </c>
      <c r="F400" s="9" t="s">
        <v>1201</v>
      </c>
      <c r="G400" s="5"/>
      <c r="H400" s="74">
        <v>243.33333333333334</v>
      </c>
      <c r="I400" s="75" t="s">
        <v>3936</v>
      </c>
    </row>
    <row r="401" spans="1:9" ht="39.950000000000003" customHeight="1" x14ac:dyDescent="0.25">
      <c r="A401" s="5" t="s">
        <v>985</v>
      </c>
      <c r="B401" s="5" t="s">
        <v>33</v>
      </c>
      <c r="C401" s="5" t="s">
        <v>986</v>
      </c>
      <c r="D401" s="5" t="s">
        <v>987</v>
      </c>
      <c r="E401" s="17">
        <v>1347817.58</v>
      </c>
      <c r="F401" s="5" t="s">
        <v>73</v>
      </c>
      <c r="G401" s="5"/>
      <c r="H401" s="74">
        <v>242.66666666666666</v>
      </c>
      <c r="I401" s="75" t="s">
        <v>3936</v>
      </c>
    </row>
    <row r="402" spans="1:9" ht="39.950000000000003" customHeight="1" x14ac:dyDescent="0.25">
      <c r="A402" s="60" t="s">
        <v>2161</v>
      </c>
      <c r="B402" s="5" t="s">
        <v>33</v>
      </c>
      <c r="C402" s="5" t="s">
        <v>2162</v>
      </c>
      <c r="D402" s="5" t="s">
        <v>2163</v>
      </c>
      <c r="E402" s="17">
        <v>500000</v>
      </c>
      <c r="F402" s="5" t="s">
        <v>253</v>
      </c>
      <c r="G402" s="5"/>
      <c r="H402" s="74">
        <v>242.66666666666666</v>
      </c>
      <c r="I402" s="75" t="s">
        <v>3936</v>
      </c>
    </row>
    <row r="403" spans="1:9" ht="39.950000000000003" customHeight="1" x14ac:dyDescent="0.25">
      <c r="A403" s="5" t="s">
        <v>823</v>
      </c>
      <c r="B403" s="5" t="s">
        <v>33</v>
      </c>
      <c r="C403" s="5" t="s">
        <v>824</v>
      </c>
      <c r="D403" s="5" t="s">
        <v>825</v>
      </c>
      <c r="E403" s="17">
        <v>54100</v>
      </c>
      <c r="F403" s="5" t="s">
        <v>469</v>
      </c>
      <c r="G403" s="5"/>
      <c r="H403" s="74">
        <v>242</v>
      </c>
      <c r="I403" s="75" t="s">
        <v>3936</v>
      </c>
    </row>
    <row r="404" spans="1:9" ht="39.950000000000003" customHeight="1" x14ac:dyDescent="0.25">
      <c r="A404" s="5" t="s">
        <v>830</v>
      </c>
      <c r="B404" s="5" t="s">
        <v>33</v>
      </c>
      <c r="C404" s="5" t="s">
        <v>831</v>
      </c>
      <c r="D404" s="5" t="s">
        <v>832</v>
      </c>
      <c r="E404" s="17">
        <v>293034.33</v>
      </c>
      <c r="F404" s="5" t="s">
        <v>833</v>
      </c>
      <c r="G404" s="65"/>
      <c r="H404" s="74">
        <v>242</v>
      </c>
      <c r="I404" s="75" t="s">
        <v>3936</v>
      </c>
    </row>
    <row r="405" spans="1:9" ht="39.950000000000003" customHeight="1" x14ac:dyDescent="0.25">
      <c r="A405" s="5" t="s">
        <v>2526</v>
      </c>
      <c r="B405" s="5" t="s">
        <v>33</v>
      </c>
      <c r="C405" s="5" t="s">
        <v>2527</v>
      </c>
      <c r="D405" s="5" t="s">
        <v>2528</v>
      </c>
      <c r="E405" s="17">
        <v>738261.48</v>
      </c>
      <c r="F405" s="5" t="s">
        <v>73</v>
      </c>
      <c r="G405" s="5"/>
      <c r="H405" s="74">
        <v>242</v>
      </c>
      <c r="I405" s="75" t="s">
        <v>3936</v>
      </c>
    </row>
    <row r="406" spans="1:9" ht="39.950000000000003" customHeight="1" x14ac:dyDescent="0.25">
      <c r="A406" s="5" t="s">
        <v>1143</v>
      </c>
      <c r="B406" s="5" t="s">
        <v>33</v>
      </c>
      <c r="C406" s="5" t="s">
        <v>1144</v>
      </c>
      <c r="D406" s="5" t="s">
        <v>1145</v>
      </c>
      <c r="E406" s="17">
        <v>214900</v>
      </c>
      <c r="F406" s="5" t="s">
        <v>1146</v>
      </c>
      <c r="G406" s="9"/>
      <c r="H406" s="74">
        <v>241.66666666666666</v>
      </c>
      <c r="I406" s="75" t="s">
        <v>3936</v>
      </c>
    </row>
    <row r="407" spans="1:9" ht="39.950000000000003" customHeight="1" x14ac:dyDescent="0.25">
      <c r="A407" s="9" t="s">
        <v>1744</v>
      </c>
      <c r="B407" s="5" t="s">
        <v>51</v>
      </c>
      <c r="C407" s="9" t="s">
        <v>1745</v>
      </c>
      <c r="D407" s="9" t="s">
        <v>526</v>
      </c>
      <c r="E407" s="38">
        <v>94100</v>
      </c>
      <c r="F407" s="9" t="s">
        <v>1746</v>
      </c>
      <c r="G407" s="5"/>
      <c r="H407" s="74">
        <v>241.66666666666666</v>
      </c>
      <c r="I407" s="75" t="s">
        <v>3936</v>
      </c>
    </row>
    <row r="408" spans="1:9" ht="39.950000000000003" customHeight="1" x14ac:dyDescent="0.25">
      <c r="A408" s="5" t="s">
        <v>104</v>
      </c>
      <c r="B408" s="5" t="s">
        <v>33</v>
      </c>
      <c r="C408" s="5" t="s">
        <v>105</v>
      </c>
      <c r="D408" s="5" t="s">
        <v>106</v>
      </c>
      <c r="E408" s="17">
        <v>193281.12</v>
      </c>
      <c r="F408" s="5" t="s">
        <v>108</v>
      </c>
      <c r="G408" s="5"/>
      <c r="H408" s="74">
        <v>241</v>
      </c>
      <c r="I408" s="75" t="s">
        <v>3936</v>
      </c>
    </row>
    <row r="409" spans="1:9" ht="39.950000000000003" customHeight="1" x14ac:dyDescent="0.25">
      <c r="A409" s="9" t="s">
        <v>1285</v>
      </c>
      <c r="B409" s="5" t="s">
        <v>51</v>
      </c>
      <c r="C409" s="9" t="s">
        <v>1286</v>
      </c>
      <c r="D409" s="9" t="s">
        <v>1287</v>
      </c>
      <c r="E409" s="38">
        <v>163000</v>
      </c>
      <c r="F409" s="9" t="s">
        <v>1288</v>
      </c>
      <c r="G409" s="5"/>
      <c r="H409" s="74">
        <v>241</v>
      </c>
      <c r="I409" s="75" t="s">
        <v>3936</v>
      </c>
    </row>
    <row r="410" spans="1:9" ht="39.950000000000003" customHeight="1" x14ac:dyDescent="0.25">
      <c r="A410" s="5" t="s">
        <v>311</v>
      </c>
      <c r="B410" s="5" t="s">
        <v>33</v>
      </c>
      <c r="C410" s="5" t="s">
        <v>312</v>
      </c>
      <c r="D410" s="5" t="s">
        <v>313</v>
      </c>
      <c r="E410" s="17">
        <v>37863.96</v>
      </c>
      <c r="F410" s="5" t="s">
        <v>290</v>
      </c>
      <c r="G410" s="5"/>
      <c r="H410" s="74">
        <v>240.66666666666666</v>
      </c>
      <c r="I410" s="75" t="s">
        <v>3936</v>
      </c>
    </row>
    <row r="411" spans="1:9" ht="39.950000000000003" customHeight="1" x14ac:dyDescent="0.25">
      <c r="A411" s="60" t="s">
        <v>2021</v>
      </c>
      <c r="B411" s="5" t="s">
        <v>33</v>
      </c>
      <c r="C411" s="5" t="s">
        <v>2022</v>
      </c>
      <c r="D411" s="5" t="s">
        <v>2023</v>
      </c>
      <c r="E411" s="17">
        <v>168000</v>
      </c>
      <c r="F411" s="5" t="s">
        <v>2024</v>
      </c>
      <c r="G411" s="11"/>
      <c r="H411" s="74">
        <v>240</v>
      </c>
      <c r="I411" s="75" t="s">
        <v>3936</v>
      </c>
    </row>
    <row r="412" spans="1:9" ht="39.950000000000003" customHeight="1" x14ac:dyDescent="0.25">
      <c r="A412" s="5" t="s">
        <v>1178</v>
      </c>
      <c r="B412" s="5" t="s">
        <v>33</v>
      </c>
      <c r="C412" s="5" t="s">
        <v>1179</v>
      </c>
      <c r="D412" s="5" t="s">
        <v>1180</v>
      </c>
      <c r="E412" s="17">
        <v>600000</v>
      </c>
      <c r="F412" s="5" t="s">
        <v>201</v>
      </c>
      <c r="G412" s="5"/>
      <c r="H412" s="74">
        <v>238.66666666666666</v>
      </c>
      <c r="I412" s="75" t="s">
        <v>3936</v>
      </c>
    </row>
    <row r="413" spans="1:9" ht="39.950000000000003" customHeight="1" x14ac:dyDescent="0.25">
      <c r="A413" s="5" t="s">
        <v>881</v>
      </c>
      <c r="B413" s="5" t="s">
        <v>33</v>
      </c>
      <c r="C413" s="5" t="s">
        <v>882</v>
      </c>
      <c r="D413" s="5" t="s">
        <v>883</v>
      </c>
      <c r="E413" s="17">
        <v>234836</v>
      </c>
      <c r="F413" s="5" t="s">
        <v>884</v>
      </c>
      <c r="G413" s="5"/>
      <c r="H413" s="74">
        <v>238.33333333333334</v>
      </c>
      <c r="I413" s="75" t="s">
        <v>3936</v>
      </c>
    </row>
    <row r="414" spans="1:9" ht="39.950000000000003" customHeight="1" x14ac:dyDescent="0.25">
      <c r="A414" s="9" t="s">
        <v>996</v>
      </c>
      <c r="B414" s="5" t="s">
        <v>51</v>
      </c>
      <c r="C414" s="9" t="s">
        <v>997</v>
      </c>
      <c r="D414" s="9" t="s">
        <v>998</v>
      </c>
      <c r="E414" s="38">
        <v>270680</v>
      </c>
      <c r="F414" s="9" t="s">
        <v>999</v>
      </c>
      <c r="G414" s="11"/>
      <c r="H414" s="74">
        <v>237.66666666666666</v>
      </c>
      <c r="I414" s="75" t="s">
        <v>3936</v>
      </c>
    </row>
    <row r="415" spans="1:9" ht="39.950000000000003" customHeight="1" x14ac:dyDescent="0.25">
      <c r="A415" s="60" t="s">
        <v>2038</v>
      </c>
      <c r="B415" s="5" t="s">
        <v>33</v>
      </c>
      <c r="C415" s="5" t="s">
        <v>2039</v>
      </c>
      <c r="D415" s="5" t="s">
        <v>2040</v>
      </c>
      <c r="E415" s="17">
        <v>78400</v>
      </c>
      <c r="F415" s="5" t="s">
        <v>2024</v>
      </c>
      <c r="G415" s="5"/>
      <c r="H415" s="74">
        <v>237.66666666666666</v>
      </c>
      <c r="I415" s="75" t="s">
        <v>3936</v>
      </c>
    </row>
    <row r="416" spans="1:9" ht="39.950000000000003" customHeight="1" x14ac:dyDescent="0.25">
      <c r="A416" s="60" t="s">
        <v>530</v>
      </c>
      <c r="B416" s="5" t="s">
        <v>33</v>
      </c>
      <c r="C416" s="5" t="s">
        <v>531</v>
      </c>
      <c r="D416" s="5" t="s">
        <v>532</v>
      </c>
      <c r="E416" s="17">
        <v>500000</v>
      </c>
      <c r="F416" s="5" t="s">
        <v>253</v>
      </c>
      <c r="G416" s="5"/>
      <c r="H416" s="74">
        <v>237</v>
      </c>
      <c r="I416" s="75" t="s">
        <v>3936</v>
      </c>
    </row>
    <row r="417" spans="1:9" ht="39.950000000000003" customHeight="1" x14ac:dyDescent="0.25">
      <c r="A417" s="9" t="s">
        <v>1231</v>
      </c>
      <c r="B417" s="5" t="s">
        <v>51</v>
      </c>
      <c r="C417" s="11" t="s">
        <v>1232</v>
      </c>
      <c r="D417" s="11" t="s">
        <v>1233</v>
      </c>
      <c r="E417" s="38">
        <v>183800</v>
      </c>
      <c r="F417" s="11" t="s">
        <v>503</v>
      </c>
      <c r="G417" s="5"/>
      <c r="H417" s="74">
        <v>237</v>
      </c>
      <c r="I417" s="75" t="s">
        <v>3936</v>
      </c>
    </row>
    <row r="418" spans="1:9" ht="39.950000000000003" customHeight="1" x14ac:dyDescent="0.25">
      <c r="A418" s="60" t="s">
        <v>1406</v>
      </c>
      <c r="B418" s="5" t="s">
        <v>33</v>
      </c>
      <c r="C418" s="5" t="s">
        <v>1407</v>
      </c>
      <c r="D418" s="5" t="s">
        <v>1258</v>
      </c>
      <c r="E418" s="17">
        <v>127800</v>
      </c>
      <c r="F418" s="5" t="s">
        <v>1408</v>
      </c>
      <c r="G418" s="5"/>
      <c r="H418" s="74">
        <v>237</v>
      </c>
      <c r="I418" s="75" t="s">
        <v>3936</v>
      </c>
    </row>
    <row r="419" spans="1:9" ht="39.950000000000003" customHeight="1" x14ac:dyDescent="0.25">
      <c r="A419" s="60" t="s">
        <v>2492</v>
      </c>
      <c r="B419" s="5" t="s">
        <v>33</v>
      </c>
      <c r="C419" s="5" t="s">
        <v>2493</v>
      </c>
      <c r="D419" s="5" t="s">
        <v>2494</v>
      </c>
      <c r="E419" s="17">
        <v>1224168</v>
      </c>
      <c r="F419" s="5" t="s">
        <v>1732</v>
      </c>
      <c r="G419" s="5"/>
      <c r="H419" s="74">
        <v>237</v>
      </c>
      <c r="I419" s="75" t="s">
        <v>3936</v>
      </c>
    </row>
    <row r="420" spans="1:9" ht="39.950000000000003" customHeight="1" x14ac:dyDescent="0.25">
      <c r="A420" s="5" t="s">
        <v>1820</v>
      </c>
      <c r="B420" s="5" t="s">
        <v>33</v>
      </c>
      <c r="C420" s="5" t="s">
        <v>1821</v>
      </c>
      <c r="D420" s="5" t="s">
        <v>1822</v>
      </c>
      <c r="E420" s="17">
        <v>277666.61</v>
      </c>
      <c r="F420" s="5" t="s">
        <v>73</v>
      </c>
      <c r="G420" s="11"/>
      <c r="H420" s="74">
        <v>236.66666666666666</v>
      </c>
      <c r="I420" s="75" t="s">
        <v>3936</v>
      </c>
    </row>
    <row r="421" spans="1:9" ht="39.950000000000003" customHeight="1" x14ac:dyDescent="0.25">
      <c r="A421" s="60" t="s">
        <v>1972</v>
      </c>
      <c r="B421" s="5" t="s">
        <v>33</v>
      </c>
      <c r="C421" s="5" t="s">
        <v>1973</v>
      </c>
      <c r="D421" s="5" t="s">
        <v>1974</v>
      </c>
      <c r="E421" s="17">
        <v>552712</v>
      </c>
      <c r="F421" s="5" t="s">
        <v>425</v>
      </c>
      <c r="G421" s="5"/>
      <c r="H421" s="74">
        <v>236.33333333333334</v>
      </c>
      <c r="I421" s="75" t="s">
        <v>3936</v>
      </c>
    </row>
    <row r="422" spans="1:9" ht="39.950000000000003" customHeight="1" x14ac:dyDescent="0.25">
      <c r="A422" s="60" t="s">
        <v>662</v>
      </c>
      <c r="B422" s="5" t="s">
        <v>33</v>
      </c>
      <c r="C422" s="5" t="s">
        <v>658</v>
      </c>
      <c r="D422" s="5" t="s">
        <v>663</v>
      </c>
      <c r="E422" s="17">
        <v>368150</v>
      </c>
      <c r="F422" s="5" t="s">
        <v>73</v>
      </c>
      <c r="G422" s="9"/>
      <c r="H422" s="74">
        <v>235.66666666666666</v>
      </c>
      <c r="I422" s="75" t="s">
        <v>3936</v>
      </c>
    </row>
    <row r="423" spans="1:9" ht="39.950000000000003" customHeight="1" x14ac:dyDescent="0.25">
      <c r="A423" s="9" t="s">
        <v>2456</v>
      </c>
      <c r="B423" s="5" t="s">
        <v>51</v>
      </c>
      <c r="C423" s="9" t="s">
        <v>2457</v>
      </c>
      <c r="D423" s="9" t="s">
        <v>2458</v>
      </c>
      <c r="E423" s="38">
        <v>150000</v>
      </c>
      <c r="F423" s="9" t="s">
        <v>2459</v>
      </c>
      <c r="G423" s="5"/>
      <c r="H423" s="74">
        <v>235.33333333333334</v>
      </c>
      <c r="I423" s="75" t="s">
        <v>3936</v>
      </c>
    </row>
    <row r="424" spans="1:9" ht="39.950000000000003" customHeight="1" x14ac:dyDescent="0.25">
      <c r="A424" s="5" t="s">
        <v>333</v>
      </c>
      <c r="B424" s="5" t="s">
        <v>33</v>
      </c>
      <c r="C424" s="5" t="s">
        <v>334</v>
      </c>
      <c r="D424" s="5" t="s">
        <v>335</v>
      </c>
      <c r="E424" s="17">
        <v>1111410.1299999999</v>
      </c>
      <c r="F424" s="5" t="s">
        <v>73</v>
      </c>
      <c r="G424" s="5"/>
      <c r="H424" s="74">
        <v>234</v>
      </c>
      <c r="I424" s="75" t="s">
        <v>3936</v>
      </c>
    </row>
    <row r="425" spans="1:9" ht="39.950000000000003" customHeight="1" x14ac:dyDescent="0.25">
      <c r="A425" s="9" t="s">
        <v>1864</v>
      </c>
      <c r="B425" s="5" t="s">
        <v>51</v>
      </c>
      <c r="C425" s="9" t="s">
        <v>1865</v>
      </c>
      <c r="D425" s="9" t="s">
        <v>1866</v>
      </c>
      <c r="E425" s="38">
        <v>364200</v>
      </c>
      <c r="F425" s="9" t="s">
        <v>1867</v>
      </c>
      <c r="G425" s="11"/>
      <c r="H425" s="74">
        <v>234</v>
      </c>
      <c r="I425" s="75" t="s">
        <v>3936</v>
      </c>
    </row>
    <row r="426" spans="1:9" ht="39.950000000000003" customHeight="1" x14ac:dyDescent="0.25">
      <c r="A426" s="5" t="s">
        <v>274</v>
      </c>
      <c r="B426" s="5" t="s">
        <v>33</v>
      </c>
      <c r="C426" s="5" t="s">
        <v>267</v>
      </c>
      <c r="D426" s="5" t="s">
        <v>275</v>
      </c>
      <c r="E426" s="17">
        <v>220000</v>
      </c>
      <c r="F426" s="5" t="s">
        <v>269</v>
      </c>
      <c r="G426" s="5"/>
      <c r="H426" s="74">
        <v>233.66666666666666</v>
      </c>
      <c r="I426" s="75" t="s">
        <v>3936</v>
      </c>
    </row>
    <row r="427" spans="1:9" ht="39.950000000000003" customHeight="1" x14ac:dyDescent="0.25">
      <c r="A427" s="5" t="s">
        <v>2416</v>
      </c>
      <c r="B427" s="5" t="s">
        <v>33</v>
      </c>
      <c r="C427" s="5" t="s">
        <v>2417</v>
      </c>
      <c r="D427" s="5" t="s">
        <v>2418</v>
      </c>
      <c r="E427" s="17">
        <v>1261817.04</v>
      </c>
      <c r="F427" s="5" t="s">
        <v>73</v>
      </c>
      <c r="G427" s="5"/>
      <c r="H427" s="74">
        <v>233.33333333333334</v>
      </c>
      <c r="I427" s="75" t="s">
        <v>3936</v>
      </c>
    </row>
    <row r="428" spans="1:9" ht="39.950000000000003" customHeight="1" x14ac:dyDescent="0.25">
      <c r="A428" s="9" t="s">
        <v>774</v>
      </c>
      <c r="B428" s="5" t="s">
        <v>51</v>
      </c>
      <c r="C428" s="9" t="s">
        <v>769</v>
      </c>
      <c r="D428" s="9" t="s">
        <v>775</v>
      </c>
      <c r="E428" s="38">
        <v>212700.49</v>
      </c>
      <c r="F428" s="9" t="s">
        <v>771</v>
      </c>
      <c r="G428" s="5"/>
      <c r="H428" s="74">
        <v>232.66666666666666</v>
      </c>
      <c r="I428" s="75" t="s">
        <v>3936</v>
      </c>
    </row>
    <row r="429" spans="1:9" ht="39.950000000000003" customHeight="1" x14ac:dyDescent="0.25">
      <c r="A429" s="5" t="s">
        <v>250</v>
      </c>
      <c r="B429" s="5" t="s">
        <v>33</v>
      </c>
      <c r="C429" s="5" t="s">
        <v>251</v>
      </c>
      <c r="D429" s="5" t="s">
        <v>252</v>
      </c>
      <c r="E429" s="17">
        <v>283010</v>
      </c>
      <c r="F429" s="5" t="s">
        <v>253</v>
      </c>
      <c r="G429" s="9"/>
      <c r="H429" s="74">
        <v>231.66666666666666</v>
      </c>
      <c r="I429" s="75" t="s">
        <v>3936</v>
      </c>
    </row>
    <row r="430" spans="1:9" ht="39.950000000000003" customHeight="1" x14ac:dyDescent="0.25">
      <c r="A430" s="5" t="s">
        <v>217</v>
      </c>
      <c r="B430" s="5" t="s">
        <v>33</v>
      </c>
      <c r="C430" s="5" t="s">
        <v>210</v>
      </c>
      <c r="D430" s="5" t="s">
        <v>218</v>
      </c>
      <c r="E430" s="17">
        <v>70000</v>
      </c>
      <c r="F430" s="5" t="s">
        <v>212</v>
      </c>
      <c r="G430" s="5"/>
      <c r="H430" s="74">
        <v>231</v>
      </c>
      <c r="I430" s="75" t="s">
        <v>3936</v>
      </c>
    </row>
    <row r="431" spans="1:9" ht="39.950000000000003" customHeight="1" x14ac:dyDescent="0.25">
      <c r="A431" s="9" t="s">
        <v>306</v>
      </c>
      <c r="B431" s="5" t="s">
        <v>33</v>
      </c>
      <c r="C431" s="5" t="s">
        <v>307</v>
      </c>
      <c r="D431" s="5" t="s">
        <v>308</v>
      </c>
      <c r="E431" s="17">
        <v>200000</v>
      </c>
      <c r="F431" s="5" t="s">
        <v>290</v>
      </c>
      <c r="G431" s="5"/>
      <c r="H431" s="74">
        <v>231</v>
      </c>
      <c r="I431" s="75" t="s">
        <v>3936</v>
      </c>
    </row>
    <row r="432" spans="1:9" ht="39.950000000000003" customHeight="1" x14ac:dyDescent="0.25">
      <c r="A432" s="60" t="s">
        <v>2093</v>
      </c>
      <c r="B432" s="5" t="s">
        <v>51</v>
      </c>
      <c r="C432" s="5" t="s">
        <v>2086</v>
      </c>
      <c r="D432" s="5" t="s">
        <v>2094</v>
      </c>
      <c r="E432" s="38">
        <v>177890</v>
      </c>
      <c r="F432" s="5" t="s">
        <v>2088</v>
      </c>
      <c r="G432" s="5"/>
      <c r="H432" s="74">
        <v>229.66666666666666</v>
      </c>
      <c r="I432" s="75" t="s">
        <v>3936</v>
      </c>
    </row>
    <row r="433" spans="1:9" ht="39.950000000000003" customHeight="1" x14ac:dyDescent="0.25">
      <c r="A433" s="5" t="s">
        <v>1870</v>
      </c>
      <c r="B433" s="5" t="s">
        <v>33</v>
      </c>
      <c r="C433" s="5" t="s">
        <v>1871</v>
      </c>
      <c r="D433" s="5" t="s">
        <v>1872</v>
      </c>
      <c r="E433" s="17">
        <v>749942.88</v>
      </c>
      <c r="F433" s="5" t="s">
        <v>73</v>
      </c>
      <c r="G433" s="5"/>
      <c r="H433" s="74">
        <v>227.66666666666666</v>
      </c>
      <c r="I433" s="75" t="s">
        <v>3936</v>
      </c>
    </row>
    <row r="434" spans="1:9" ht="39.950000000000003" customHeight="1" x14ac:dyDescent="0.25">
      <c r="A434" s="5" t="s">
        <v>1595</v>
      </c>
      <c r="B434" s="5" t="s">
        <v>33</v>
      </c>
      <c r="C434" s="5" t="s">
        <v>1596</v>
      </c>
      <c r="D434" s="5" t="s">
        <v>1597</v>
      </c>
      <c r="E434" s="17">
        <v>265000.03999999998</v>
      </c>
      <c r="F434" s="5" t="s">
        <v>859</v>
      </c>
      <c r="G434" s="5"/>
      <c r="H434" s="74">
        <v>227</v>
      </c>
      <c r="I434" s="75" t="s">
        <v>3936</v>
      </c>
    </row>
    <row r="435" spans="1:9" ht="39.950000000000003" customHeight="1" x14ac:dyDescent="0.25">
      <c r="A435" s="5" t="s">
        <v>2069</v>
      </c>
      <c r="B435" s="5" t="s">
        <v>33</v>
      </c>
      <c r="C435" s="5" t="s">
        <v>2070</v>
      </c>
      <c r="D435" s="5" t="s">
        <v>2071</v>
      </c>
      <c r="E435" s="17">
        <v>240000</v>
      </c>
      <c r="F435" s="5" t="s">
        <v>648</v>
      </c>
      <c r="G435" s="5"/>
      <c r="H435" s="74">
        <v>227</v>
      </c>
      <c r="I435" s="75" t="s">
        <v>3936</v>
      </c>
    </row>
    <row r="436" spans="1:9" ht="39.950000000000003" customHeight="1" x14ac:dyDescent="0.25">
      <c r="A436" s="60" t="s">
        <v>763</v>
      </c>
      <c r="B436" s="5" t="s">
        <v>33</v>
      </c>
      <c r="C436" s="5" t="s">
        <v>764</v>
      </c>
      <c r="D436" s="5" t="s">
        <v>765</v>
      </c>
      <c r="E436" s="17">
        <v>290550.48</v>
      </c>
      <c r="F436" s="5" t="s">
        <v>73</v>
      </c>
      <c r="G436" s="5"/>
      <c r="H436" s="74">
        <v>226.66666666666666</v>
      </c>
      <c r="I436" s="75" t="s">
        <v>3936</v>
      </c>
    </row>
    <row r="437" spans="1:9" ht="39.950000000000003" customHeight="1" x14ac:dyDescent="0.25">
      <c r="A437" s="5" t="s">
        <v>1506</v>
      </c>
      <c r="B437" s="5" t="s">
        <v>33</v>
      </c>
      <c r="C437" s="5" t="s">
        <v>1507</v>
      </c>
      <c r="D437" s="5" t="s">
        <v>1508</v>
      </c>
      <c r="E437" s="17">
        <v>777859.48</v>
      </c>
      <c r="F437" s="5" t="s">
        <v>73</v>
      </c>
      <c r="G437" s="5"/>
      <c r="H437" s="74">
        <v>226.33333333333334</v>
      </c>
      <c r="I437" s="75" t="s">
        <v>3936</v>
      </c>
    </row>
    <row r="438" spans="1:9" ht="39.950000000000003" customHeight="1" x14ac:dyDescent="0.25">
      <c r="A438" s="60" t="s">
        <v>1880</v>
      </c>
      <c r="B438" s="5" t="s">
        <v>33</v>
      </c>
      <c r="C438" s="5" t="s">
        <v>1881</v>
      </c>
      <c r="D438" s="5" t="s">
        <v>1882</v>
      </c>
      <c r="E438" s="17">
        <v>980304</v>
      </c>
      <c r="F438" s="5" t="s">
        <v>73</v>
      </c>
      <c r="G438" s="9"/>
      <c r="H438" s="74">
        <v>225.33333333333334</v>
      </c>
      <c r="I438" s="75" t="s">
        <v>3936</v>
      </c>
    </row>
    <row r="439" spans="1:9" ht="39.950000000000003" customHeight="1" x14ac:dyDescent="0.25">
      <c r="A439" s="60" t="s">
        <v>696</v>
      </c>
      <c r="B439" s="5" t="s">
        <v>33</v>
      </c>
      <c r="C439" s="5" t="s">
        <v>692</v>
      </c>
      <c r="D439" s="5" t="s">
        <v>697</v>
      </c>
      <c r="E439" s="17">
        <v>738607</v>
      </c>
      <c r="F439" s="5" t="s">
        <v>73</v>
      </c>
      <c r="G439" s="11"/>
      <c r="H439" s="74">
        <v>221.66666666666666</v>
      </c>
      <c r="I439" s="75" t="s">
        <v>3936</v>
      </c>
    </row>
    <row r="440" spans="1:9" ht="39.950000000000003" customHeight="1" x14ac:dyDescent="0.25">
      <c r="A440" s="5" t="s">
        <v>645</v>
      </c>
      <c r="B440" s="5" t="s">
        <v>33</v>
      </c>
      <c r="C440" s="5" t="s">
        <v>646</v>
      </c>
      <c r="D440" s="5" t="s">
        <v>647</v>
      </c>
      <c r="E440" s="17">
        <v>1704249.92</v>
      </c>
      <c r="F440" s="5" t="s">
        <v>648</v>
      </c>
      <c r="G440" s="5"/>
      <c r="H440" s="74">
        <v>221.33333333333334</v>
      </c>
      <c r="I440" s="75" t="s">
        <v>3936</v>
      </c>
    </row>
    <row r="441" spans="1:9" ht="39.950000000000003" customHeight="1" x14ac:dyDescent="0.25">
      <c r="A441" s="5" t="s">
        <v>284</v>
      </c>
      <c r="B441" s="5" t="s">
        <v>51</v>
      </c>
      <c r="C441" s="5" t="s">
        <v>277</v>
      </c>
      <c r="D441" s="5" t="s">
        <v>285</v>
      </c>
      <c r="E441" s="17">
        <v>400000</v>
      </c>
      <c r="F441" s="5" t="s">
        <v>269</v>
      </c>
      <c r="G441" s="5"/>
      <c r="H441" s="74">
        <v>220</v>
      </c>
      <c r="I441" s="75" t="s">
        <v>3936</v>
      </c>
    </row>
    <row r="442" spans="1:9" ht="39.950000000000003" customHeight="1" x14ac:dyDescent="0.25">
      <c r="A442" s="5" t="s">
        <v>400</v>
      </c>
      <c r="B442" s="5" t="s">
        <v>51</v>
      </c>
      <c r="C442" s="5" t="s">
        <v>401</v>
      </c>
      <c r="D442" s="5" t="s">
        <v>402</v>
      </c>
      <c r="E442" s="17">
        <v>188300</v>
      </c>
      <c r="F442" s="5" t="s">
        <v>403</v>
      </c>
      <c r="G442" s="5"/>
      <c r="H442" s="74">
        <v>220</v>
      </c>
      <c r="I442" s="75" t="s">
        <v>3936</v>
      </c>
    </row>
    <row r="443" spans="1:9" ht="39.950000000000003" customHeight="1" x14ac:dyDescent="0.25">
      <c r="A443" s="5" t="s">
        <v>1655</v>
      </c>
      <c r="B443" s="5" t="s">
        <v>33</v>
      </c>
      <c r="C443" s="5" t="s">
        <v>1656</v>
      </c>
      <c r="D443" s="5" t="s">
        <v>1657</v>
      </c>
      <c r="E443" s="17">
        <v>489600</v>
      </c>
      <c r="F443" s="5" t="s">
        <v>201</v>
      </c>
      <c r="G443" s="5"/>
      <c r="H443" s="74">
        <v>218.66666666666666</v>
      </c>
      <c r="I443" s="75" t="s">
        <v>3936</v>
      </c>
    </row>
    <row r="444" spans="1:9" ht="39.950000000000003" customHeight="1" x14ac:dyDescent="0.25">
      <c r="A444" s="5" t="s">
        <v>1762</v>
      </c>
      <c r="B444" s="5" t="s">
        <v>33</v>
      </c>
      <c r="C444" s="5" t="s">
        <v>1763</v>
      </c>
      <c r="D444" s="5" t="s">
        <v>1764</v>
      </c>
      <c r="E444" s="17">
        <v>1215394.8999999999</v>
      </c>
      <c r="F444" s="5" t="s">
        <v>1752</v>
      </c>
      <c r="G444" s="5"/>
      <c r="H444" s="74">
        <v>215.66666666666666</v>
      </c>
      <c r="I444" s="75" t="s">
        <v>3936</v>
      </c>
    </row>
    <row r="445" spans="1:9" ht="39.950000000000003" customHeight="1" x14ac:dyDescent="0.25">
      <c r="A445" s="60" t="s">
        <v>1345</v>
      </c>
      <c r="B445" s="5" t="s">
        <v>33</v>
      </c>
      <c r="C445" s="5" t="s">
        <v>1346</v>
      </c>
      <c r="D445" s="5" t="s">
        <v>1347</v>
      </c>
      <c r="E445" s="17">
        <v>200000</v>
      </c>
      <c r="F445" s="5" t="s">
        <v>1342</v>
      </c>
      <c r="G445" s="9"/>
      <c r="H445" s="74">
        <v>214</v>
      </c>
      <c r="I445" s="75" t="s">
        <v>3936</v>
      </c>
    </row>
    <row r="446" spans="1:9" ht="39.950000000000003" customHeight="1" x14ac:dyDescent="0.25">
      <c r="A446" s="5" t="s">
        <v>779</v>
      </c>
      <c r="B446" s="5" t="s">
        <v>33</v>
      </c>
      <c r="C446" s="5" t="s">
        <v>780</v>
      </c>
      <c r="D446" s="5" t="s">
        <v>781</v>
      </c>
      <c r="E446" s="17">
        <v>0</v>
      </c>
      <c r="F446" s="5" t="s">
        <v>73</v>
      </c>
      <c r="G446" s="9"/>
      <c r="H446" s="74">
        <v>213.33333333333334</v>
      </c>
      <c r="I446" s="75" t="s">
        <v>3936</v>
      </c>
    </row>
    <row r="447" spans="1:9" ht="39.950000000000003" customHeight="1" x14ac:dyDescent="0.25">
      <c r="A447" s="5" t="s">
        <v>741</v>
      </c>
      <c r="B447" s="5" t="s">
        <v>33</v>
      </c>
      <c r="C447" s="5" t="s">
        <v>742</v>
      </c>
      <c r="D447" s="5" t="s">
        <v>743</v>
      </c>
      <c r="E447" s="17">
        <v>195000</v>
      </c>
      <c r="F447" s="5" t="s">
        <v>73</v>
      </c>
      <c r="G447" s="9"/>
      <c r="H447" s="74">
        <v>211.66666666666666</v>
      </c>
      <c r="I447" s="75" t="s">
        <v>3936</v>
      </c>
    </row>
    <row r="448" spans="1:9" ht="39.950000000000003" customHeight="1" x14ac:dyDescent="0.25">
      <c r="A448" s="9" t="s">
        <v>1792</v>
      </c>
      <c r="B448" s="5" t="s">
        <v>51</v>
      </c>
      <c r="C448" s="9" t="s">
        <v>1793</v>
      </c>
      <c r="D448" s="11" t="s">
        <v>1794</v>
      </c>
      <c r="E448" s="38">
        <v>2321073.5299999998</v>
      </c>
      <c r="F448" s="9" t="s">
        <v>1795</v>
      </c>
      <c r="G448" s="5"/>
      <c r="H448" s="74">
        <v>210.33333333333334</v>
      </c>
      <c r="I448" s="75" t="s">
        <v>3936</v>
      </c>
    </row>
    <row r="449" spans="1:9" ht="39.950000000000003" customHeight="1" x14ac:dyDescent="0.25">
      <c r="A449" s="60" t="s">
        <v>2159</v>
      </c>
      <c r="B449" s="5" t="s">
        <v>33</v>
      </c>
      <c r="C449" s="5" t="s">
        <v>3932</v>
      </c>
      <c r="D449" s="5" t="s">
        <v>2160</v>
      </c>
      <c r="E449" s="17">
        <v>106832</v>
      </c>
      <c r="F449" s="5" t="s">
        <v>73</v>
      </c>
      <c r="G449" s="11"/>
      <c r="H449" s="74">
        <v>209.66666666666666</v>
      </c>
      <c r="I449" s="75" t="s">
        <v>3936</v>
      </c>
    </row>
    <row r="450" spans="1:9" ht="39.950000000000003" customHeight="1" x14ac:dyDescent="0.25">
      <c r="A450" s="5" t="s">
        <v>2700</v>
      </c>
      <c r="B450" s="5" t="s">
        <v>33</v>
      </c>
      <c r="C450" s="5" t="s">
        <v>2701</v>
      </c>
      <c r="D450" s="5" t="s">
        <v>2702</v>
      </c>
      <c r="E450" s="17">
        <v>1067863.3700000001</v>
      </c>
      <c r="F450" s="5" t="s">
        <v>1033</v>
      </c>
      <c r="G450" s="5"/>
      <c r="H450" s="74">
        <v>208</v>
      </c>
      <c r="I450" s="75" t="s">
        <v>3936</v>
      </c>
    </row>
    <row r="451" spans="1:9" ht="39.950000000000003" customHeight="1" x14ac:dyDescent="0.25">
      <c r="A451" s="5" t="s">
        <v>1323</v>
      </c>
      <c r="B451" s="5" t="s">
        <v>33</v>
      </c>
      <c r="C451" s="5" t="s">
        <v>1324</v>
      </c>
      <c r="D451" s="5" t="s">
        <v>1325</v>
      </c>
      <c r="E451" s="17">
        <v>583526.5</v>
      </c>
      <c r="F451" s="5" t="s">
        <v>859</v>
      </c>
      <c r="G451" s="5"/>
      <c r="H451" s="74">
        <v>205.33333333333334</v>
      </c>
      <c r="I451" s="75" t="s">
        <v>3936</v>
      </c>
    </row>
    <row r="452" spans="1:9" ht="39.950000000000003" customHeight="1" x14ac:dyDescent="0.25">
      <c r="A452" s="5" t="s">
        <v>165</v>
      </c>
      <c r="B452" s="5" t="s">
        <v>51</v>
      </c>
      <c r="C452" s="5" t="s">
        <v>166</v>
      </c>
      <c r="D452" s="5" t="s">
        <v>167</v>
      </c>
      <c r="E452" s="17">
        <v>267000</v>
      </c>
      <c r="F452" s="5" t="s">
        <v>168</v>
      </c>
      <c r="G452" s="5"/>
      <c r="H452" s="74">
        <v>205</v>
      </c>
      <c r="I452" s="75" t="s">
        <v>3936</v>
      </c>
    </row>
    <row r="453" spans="1:9" ht="39.950000000000003" customHeight="1" x14ac:dyDescent="0.25">
      <c r="A453" s="5" t="s">
        <v>785</v>
      </c>
      <c r="B453" s="5" t="s">
        <v>33</v>
      </c>
      <c r="C453" s="5" t="s">
        <v>786</v>
      </c>
      <c r="D453" s="5" t="s">
        <v>787</v>
      </c>
      <c r="E453" s="17">
        <v>698651</v>
      </c>
      <c r="F453" s="5" t="s">
        <v>73</v>
      </c>
      <c r="G453" s="5"/>
      <c r="H453" s="74">
        <v>205</v>
      </c>
      <c r="I453" s="75" t="s">
        <v>3936</v>
      </c>
    </row>
    <row r="455" spans="1:9" ht="21" x14ac:dyDescent="0.35">
      <c r="A455" s="80" t="s">
        <v>3937</v>
      </c>
    </row>
    <row r="456" spans="1:9" ht="18" customHeight="1" x14ac:dyDescent="0.35">
      <c r="B456" s="82"/>
      <c r="C456" s="82"/>
      <c r="D456" s="82"/>
      <c r="E456" s="82"/>
      <c r="F456" s="82"/>
    </row>
    <row r="457" spans="1:9" ht="30" x14ac:dyDescent="0.25">
      <c r="A457" s="4" t="s">
        <v>2</v>
      </c>
      <c r="B457" s="4" t="s">
        <v>3</v>
      </c>
      <c r="C457" s="4" t="s">
        <v>4</v>
      </c>
      <c r="D457" s="4" t="s">
        <v>5</v>
      </c>
      <c r="E457" s="4" t="s">
        <v>7</v>
      </c>
      <c r="F457" s="4" t="s">
        <v>8</v>
      </c>
      <c r="G457" s="4" t="s">
        <v>14</v>
      </c>
      <c r="H457" s="4" t="s">
        <v>30</v>
      </c>
      <c r="I457" s="4" t="s">
        <v>31</v>
      </c>
    </row>
    <row r="458" spans="1:9" ht="39.950000000000003" customHeight="1" x14ac:dyDescent="0.25">
      <c r="A458" s="5" t="s">
        <v>126</v>
      </c>
      <c r="B458" s="5" t="s">
        <v>33</v>
      </c>
      <c r="C458" s="5" t="s">
        <v>127</v>
      </c>
      <c r="D458" s="5" t="s">
        <v>128</v>
      </c>
      <c r="E458" s="17">
        <v>275400</v>
      </c>
      <c r="F458" s="5" t="s">
        <v>122</v>
      </c>
      <c r="G458" s="5"/>
      <c r="H458" s="74">
        <v>194.33333333333334</v>
      </c>
      <c r="I458" s="75" t="s">
        <v>3938</v>
      </c>
    </row>
    <row r="459" spans="1:9" ht="39.950000000000003" customHeight="1" x14ac:dyDescent="0.25">
      <c r="A459" s="5" t="s">
        <v>158</v>
      </c>
      <c r="B459" s="5" t="s">
        <v>51</v>
      </c>
      <c r="C459" s="5" t="s">
        <v>159</v>
      </c>
      <c r="D459" s="5" t="s">
        <v>160</v>
      </c>
      <c r="E459" s="17">
        <v>120000</v>
      </c>
      <c r="F459" s="5" t="s">
        <v>161</v>
      </c>
      <c r="G459" s="11"/>
      <c r="H459" s="74">
        <v>196.33333333333334</v>
      </c>
      <c r="I459" s="75" t="s">
        <v>3938</v>
      </c>
    </row>
    <row r="460" spans="1:9" ht="39.950000000000003" customHeight="1" x14ac:dyDescent="0.25">
      <c r="A460" s="5" t="s">
        <v>209</v>
      </c>
      <c r="B460" s="5" t="s">
        <v>33</v>
      </c>
      <c r="C460" s="5" t="s">
        <v>210</v>
      </c>
      <c r="D460" s="5" t="s">
        <v>211</v>
      </c>
      <c r="E460" s="17">
        <v>150000</v>
      </c>
      <c r="F460" s="5" t="s">
        <v>212</v>
      </c>
      <c r="G460" s="5"/>
      <c r="H460" s="74">
        <v>142.33333333333334</v>
      </c>
      <c r="I460" s="75" t="s">
        <v>3938</v>
      </c>
    </row>
    <row r="461" spans="1:9" ht="39.950000000000003" customHeight="1" x14ac:dyDescent="0.25">
      <c r="A461" s="5" t="s">
        <v>215</v>
      </c>
      <c r="B461" s="5" t="s">
        <v>33</v>
      </c>
      <c r="C461" s="5" t="s">
        <v>210</v>
      </c>
      <c r="D461" s="5" t="s">
        <v>216</v>
      </c>
      <c r="E461" s="17">
        <v>120000</v>
      </c>
      <c r="F461" s="5" t="s">
        <v>212</v>
      </c>
      <c r="G461" s="5"/>
      <c r="H461" s="74">
        <v>159.66666666666666</v>
      </c>
      <c r="I461" s="75" t="s">
        <v>3938</v>
      </c>
    </row>
    <row r="462" spans="1:9" ht="39.950000000000003" customHeight="1" x14ac:dyDescent="0.25">
      <c r="A462" s="5" t="s">
        <v>276</v>
      </c>
      <c r="B462" s="5" t="s">
        <v>51</v>
      </c>
      <c r="C462" s="5" t="s">
        <v>277</v>
      </c>
      <c r="D462" s="5" t="s">
        <v>278</v>
      </c>
      <c r="E462" s="17">
        <v>80000</v>
      </c>
      <c r="F462" s="5" t="s">
        <v>269</v>
      </c>
      <c r="G462" s="9"/>
      <c r="H462" s="74">
        <v>163.33333333333334</v>
      </c>
      <c r="I462" s="75" t="s">
        <v>3938</v>
      </c>
    </row>
    <row r="463" spans="1:9" ht="39.950000000000003" customHeight="1" x14ac:dyDescent="0.25">
      <c r="A463" s="5" t="s">
        <v>281</v>
      </c>
      <c r="B463" s="5" t="s">
        <v>33</v>
      </c>
      <c r="C463" s="5" t="s">
        <v>267</v>
      </c>
      <c r="D463" s="5" t="s">
        <v>282</v>
      </c>
      <c r="E463" s="17">
        <v>50000</v>
      </c>
      <c r="F463" s="5" t="s">
        <v>269</v>
      </c>
      <c r="G463" s="5"/>
      <c r="H463" s="74">
        <v>142.66666666666666</v>
      </c>
      <c r="I463" s="75" t="s">
        <v>3938</v>
      </c>
    </row>
    <row r="464" spans="1:9" ht="39.950000000000003" customHeight="1" x14ac:dyDescent="0.25">
      <c r="A464" s="5" t="s">
        <v>351</v>
      </c>
      <c r="B464" s="5" t="s">
        <v>33</v>
      </c>
      <c r="C464" s="5" t="s">
        <v>172</v>
      </c>
      <c r="D464" s="5" t="s">
        <v>352</v>
      </c>
      <c r="E464" s="17">
        <v>259202</v>
      </c>
      <c r="F464" s="5" t="s">
        <v>347</v>
      </c>
      <c r="G464" s="5"/>
      <c r="H464" s="74">
        <v>141.66666666666666</v>
      </c>
      <c r="I464" s="75" t="s">
        <v>3938</v>
      </c>
    </row>
    <row r="465" spans="1:9" ht="39.950000000000003" customHeight="1" x14ac:dyDescent="0.25">
      <c r="A465" s="5" t="s">
        <v>353</v>
      </c>
      <c r="B465" s="5" t="s">
        <v>51</v>
      </c>
      <c r="C465" s="5" t="s">
        <v>354</v>
      </c>
      <c r="D465" s="5" t="s">
        <v>221</v>
      </c>
      <c r="E465" s="17">
        <v>473200</v>
      </c>
      <c r="F465" s="5" t="s">
        <v>347</v>
      </c>
      <c r="G465" s="5"/>
      <c r="H465" s="74">
        <v>152</v>
      </c>
      <c r="I465" s="75" t="s">
        <v>3938</v>
      </c>
    </row>
    <row r="466" spans="1:9" ht="39.950000000000003" customHeight="1" x14ac:dyDescent="0.25">
      <c r="A466" s="60" t="s">
        <v>607</v>
      </c>
      <c r="B466" s="5" t="s">
        <v>33</v>
      </c>
      <c r="C466" s="5" t="s">
        <v>608</v>
      </c>
      <c r="D466" s="5" t="s">
        <v>609</v>
      </c>
      <c r="E466" s="17">
        <v>800000</v>
      </c>
      <c r="F466" s="5" t="s">
        <v>596</v>
      </c>
      <c r="G466" s="5"/>
      <c r="H466" s="74">
        <v>147</v>
      </c>
      <c r="I466" s="75" t="s">
        <v>3938</v>
      </c>
    </row>
    <row r="467" spans="1:9" ht="39.950000000000003" customHeight="1" x14ac:dyDescent="0.25">
      <c r="A467" s="60" t="s">
        <v>691</v>
      </c>
      <c r="B467" s="5" t="s">
        <v>33</v>
      </c>
      <c r="C467" s="5" t="s">
        <v>692</v>
      </c>
      <c r="D467" s="5" t="s">
        <v>693</v>
      </c>
      <c r="E467" s="17">
        <v>1212370</v>
      </c>
      <c r="F467" s="5" t="s">
        <v>73</v>
      </c>
      <c r="G467" s="5"/>
      <c r="H467" s="74">
        <v>168</v>
      </c>
      <c r="I467" s="75" t="s">
        <v>3938</v>
      </c>
    </row>
    <row r="468" spans="1:9" ht="39.950000000000003" customHeight="1" x14ac:dyDescent="0.25">
      <c r="A468" s="60" t="s">
        <v>698</v>
      </c>
      <c r="B468" s="5" t="s">
        <v>33</v>
      </c>
      <c r="C468" s="5" t="s">
        <v>699</v>
      </c>
      <c r="D468" s="5" t="s">
        <v>700</v>
      </c>
      <c r="E468" s="17">
        <v>49990</v>
      </c>
      <c r="F468" s="5" t="s">
        <v>701</v>
      </c>
      <c r="G468" s="5"/>
      <c r="H468" s="74">
        <v>183</v>
      </c>
      <c r="I468" s="75" t="s">
        <v>3938</v>
      </c>
    </row>
    <row r="469" spans="1:9" ht="39.950000000000003" customHeight="1" x14ac:dyDescent="0.25">
      <c r="A469" s="9" t="s">
        <v>768</v>
      </c>
      <c r="B469" s="5" t="s">
        <v>51</v>
      </c>
      <c r="C469" s="9" t="s">
        <v>769</v>
      </c>
      <c r="D469" s="9" t="s">
        <v>770</v>
      </c>
      <c r="E469" s="38">
        <v>137325.73000000001</v>
      </c>
      <c r="F469" s="9" t="s">
        <v>771</v>
      </c>
      <c r="G469" s="11"/>
      <c r="H469" s="74">
        <v>191.66666666666666</v>
      </c>
      <c r="I469" s="75" t="s">
        <v>3938</v>
      </c>
    </row>
    <row r="470" spans="1:9" ht="39.950000000000003" customHeight="1" x14ac:dyDescent="0.25">
      <c r="A470" s="5" t="s">
        <v>790</v>
      </c>
      <c r="B470" s="5" t="s">
        <v>33</v>
      </c>
      <c r="C470" s="5" t="s">
        <v>791</v>
      </c>
      <c r="D470" s="5" t="s">
        <v>792</v>
      </c>
      <c r="E470" s="17">
        <v>3027360</v>
      </c>
      <c r="F470" s="5" t="s">
        <v>794</v>
      </c>
      <c r="G470" s="5"/>
      <c r="H470" s="74">
        <v>190</v>
      </c>
      <c r="I470" s="75" t="s">
        <v>3938</v>
      </c>
    </row>
    <row r="471" spans="1:9" ht="39.950000000000003" customHeight="1" x14ac:dyDescent="0.25">
      <c r="A471" s="5" t="s">
        <v>1225</v>
      </c>
      <c r="B471" s="5" t="s">
        <v>33</v>
      </c>
      <c r="C471" s="5" t="s">
        <v>1226</v>
      </c>
      <c r="D471" s="5" t="s">
        <v>1227</v>
      </c>
      <c r="E471" s="17">
        <v>300000</v>
      </c>
      <c r="F471" s="5" t="s">
        <v>1220</v>
      </c>
      <c r="G471" s="5"/>
      <c r="H471" s="74">
        <v>198.33333333333334</v>
      </c>
      <c r="I471" s="75" t="s">
        <v>3938</v>
      </c>
    </row>
    <row r="472" spans="1:9" ht="39.950000000000003" customHeight="1" x14ac:dyDescent="0.25">
      <c r="A472" s="9" t="s">
        <v>1279</v>
      </c>
      <c r="B472" s="5" t="s">
        <v>51</v>
      </c>
      <c r="C472" s="9" t="s">
        <v>1280</v>
      </c>
      <c r="D472" s="9" t="s">
        <v>1281</v>
      </c>
      <c r="E472" s="38">
        <v>200000</v>
      </c>
      <c r="F472" s="9" t="s">
        <v>1282</v>
      </c>
      <c r="G472" s="9"/>
      <c r="H472" s="74">
        <v>198</v>
      </c>
      <c r="I472" s="75" t="s">
        <v>3938</v>
      </c>
    </row>
    <row r="473" spans="1:9" ht="39.950000000000003" customHeight="1" x14ac:dyDescent="0.25">
      <c r="A473" s="5" t="s">
        <v>1417</v>
      </c>
      <c r="B473" s="5" t="s">
        <v>51</v>
      </c>
      <c r="C473" s="5" t="s">
        <v>1418</v>
      </c>
      <c r="D473" s="5" t="s">
        <v>1419</v>
      </c>
      <c r="E473" s="38">
        <v>310000</v>
      </c>
      <c r="F473" s="5" t="s">
        <v>1420</v>
      </c>
      <c r="G473" s="65"/>
      <c r="H473" s="74">
        <v>186</v>
      </c>
      <c r="I473" s="75" t="s">
        <v>3938</v>
      </c>
    </row>
    <row r="474" spans="1:9" ht="39.950000000000003" customHeight="1" x14ac:dyDescent="0.25">
      <c r="A474" s="5" t="s">
        <v>1718</v>
      </c>
      <c r="B474" s="5" t="s">
        <v>33</v>
      </c>
      <c r="C474" s="5" t="s">
        <v>1719</v>
      </c>
      <c r="D474" s="5" t="s">
        <v>1720</v>
      </c>
      <c r="E474" s="17">
        <v>693592.44</v>
      </c>
      <c r="F474" s="5" t="s">
        <v>73</v>
      </c>
      <c r="G474" s="5"/>
      <c r="H474" s="74">
        <v>190.66666666666666</v>
      </c>
      <c r="I474" s="75" t="s">
        <v>3938</v>
      </c>
    </row>
    <row r="475" spans="1:9" ht="39.950000000000003" customHeight="1" x14ac:dyDescent="0.25">
      <c r="A475" s="60" t="s">
        <v>1920</v>
      </c>
      <c r="B475" s="5" t="s">
        <v>51</v>
      </c>
      <c r="C475" s="5" t="s">
        <v>1921</v>
      </c>
      <c r="D475" s="5" t="s">
        <v>221</v>
      </c>
      <c r="E475" s="38">
        <v>85449.78</v>
      </c>
      <c r="F475" s="9" t="s">
        <v>1922</v>
      </c>
      <c r="G475" s="9"/>
      <c r="H475" s="74">
        <v>167.33333333333334</v>
      </c>
      <c r="I475" s="75" t="s">
        <v>3938</v>
      </c>
    </row>
    <row r="476" spans="1:9" ht="39.950000000000003" customHeight="1" x14ac:dyDescent="0.25">
      <c r="A476" s="60" t="s">
        <v>2011</v>
      </c>
      <c r="B476" s="5" t="s">
        <v>33</v>
      </c>
      <c r="C476" s="5" t="s">
        <v>2012</v>
      </c>
      <c r="D476" s="5" t="s">
        <v>2013</v>
      </c>
      <c r="E476" s="17">
        <v>337705.54</v>
      </c>
      <c r="F476" s="5" t="s">
        <v>921</v>
      </c>
      <c r="G476" s="5"/>
      <c r="H476" s="74">
        <v>162.66666666666666</v>
      </c>
      <c r="I476" s="75" t="s">
        <v>3938</v>
      </c>
    </row>
    <row r="477" spans="1:9" ht="39.950000000000003" customHeight="1" x14ac:dyDescent="0.25">
      <c r="A477" s="60" t="s">
        <v>2052</v>
      </c>
      <c r="B477" s="5" t="s">
        <v>33</v>
      </c>
      <c r="C477" s="5" t="s">
        <v>2053</v>
      </c>
      <c r="D477" s="5" t="s">
        <v>2054</v>
      </c>
      <c r="E477" s="71">
        <v>236635.08</v>
      </c>
      <c r="F477" s="5" t="s">
        <v>253</v>
      </c>
      <c r="G477" s="9"/>
      <c r="H477" s="74">
        <v>187</v>
      </c>
      <c r="I477" s="75" t="s">
        <v>3938</v>
      </c>
    </row>
    <row r="478" spans="1:9" ht="39.950000000000003" customHeight="1" x14ac:dyDescent="0.25">
      <c r="A478" s="60" t="s">
        <v>2079</v>
      </c>
      <c r="B478" s="5" t="s">
        <v>33</v>
      </c>
      <c r="C478" s="5" t="s">
        <v>2080</v>
      </c>
      <c r="D478" s="5" t="s">
        <v>2081</v>
      </c>
      <c r="E478" s="17">
        <v>1370825</v>
      </c>
      <c r="F478" s="5" t="s">
        <v>2082</v>
      </c>
      <c r="G478" s="5"/>
      <c r="H478" s="74">
        <v>186.66666666666666</v>
      </c>
      <c r="I478" s="75" t="s">
        <v>3938</v>
      </c>
    </row>
    <row r="479" spans="1:9" ht="39.950000000000003" customHeight="1" x14ac:dyDescent="0.25">
      <c r="A479" s="9" t="s">
        <v>2356</v>
      </c>
      <c r="B479" s="5" t="s">
        <v>51</v>
      </c>
      <c r="C479" s="9" t="s">
        <v>2357</v>
      </c>
      <c r="D479" s="9" t="s">
        <v>2358</v>
      </c>
      <c r="E479" s="38">
        <v>254600</v>
      </c>
      <c r="F479" s="9" t="s">
        <v>2359</v>
      </c>
      <c r="G479" s="65"/>
      <c r="H479" s="74">
        <v>200.66666666666666</v>
      </c>
      <c r="I479" s="75" t="s">
        <v>3938</v>
      </c>
    </row>
    <row r="480" spans="1:9" ht="39.950000000000003" customHeight="1" x14ac:dyDescent="0.25">
      <c r="A480" s="9" t="s">
        <v>2485</v>
      </c>
      <c r="B480" s="5" t="s">
        <v>51</v>
      </c>
      <c r="C480" s="9" t="s">
        <v>2482</v>
      </c>
      <c r="D480" s="9" t="s">
        <v>2486</v>
      </c>
      <c r="E480" s="38">
        <v>200000</v>
      </c>
      <c r="F480" s="9" t="s">
        <v>390</v>
      </c>
      <c r="G480" s="11"/>
      <c r="H480" s="74">
        <v>177.66666666666666</v>
      </c>
      <c r="I480" s="75" t="s">
        <v>3938</v>
      </c>
    </row>
    <row r="482" spans="1:10" ht="21" x14ac:dyDescent="0.35">
      <c r="A482" s="80" t="s">
        <v>3004</v>
      </c>
    </row>
    <row r="483" spans="1:10" ht="30" x14ac:dyDescent="0.25">
      <c r="A483" s="4" t="s">
        <v>2</v>
      </c>
      <c r="B483" s="4" t="s">
        <v>3</v>
      </c>
      <c r="C483" s="4" t="s">
        <v>4</v>
      </c>
      <c r="D483" s="4" t="s">
        <v>5</v>
      </c>
      <c r="E483" s="4" t="s">
        <v>7</v>
      </c>
      <c r="F483" s="4" t="s">
        <v>8</v>
      </c>
      <c r="G483" s="4" t="s">
        <v>14</v>
      </c>
      <c r="H483" s="4" t="s">
        <v>30</v>
      </c>
      <c r="I483" s="4" t="s">
        <v>31</v>
      </c>
      <c r="J483" s="2"/>
    </row>
    <row r="484" spans="1:10" ht="39.950000000000003" customHeight="1" x14ac:dyDescent="0.25">
      <c r="A484" s="5" t="s">
        <v>77</v>
      </c>
      <c r="B484" s="5" t="s">
        <v>33</v>
      </c>
      <c r="C484" s="5" t="s">
        <v>78</v>
      </c>
      <c r="D484" s="5" t="s">
        <v>79</v>
      </c>
      <c r="E484" s="17">
        <v>523070</v>
      </c>
      <c r="F484" s="5" t="s">
        <v>73</v>
      </c>
      <c r="G484" s="5" t="s">
        <v>2915</v>
      </c>
      <c r="H484" s="74">
        <v>0</v>
      </c>
      <c r="I484" s="75" t="s">
        <v>3938</v>
      </c>
      <c r="J484" s="2"/>
    </row>
    <row r="485" spans="1:10" ht="39.950000000000003" customHeight="1" x14ac:dyDescent="0.25">
      <c r="A485" s="5" t="s">
        <v>171</v>
      </c>
      <c r="B485" s="5" t="s">
        <v>33</v>
      </c>
      <c r="C485" s="5" t="s">
        <v>172</v>
      </c>
      <c r="D485" s="5" t="s">
        <v>173</v>
      </c>
      <c r="E485" s="17">
        <v>192880.29</v>
      </c>
      <c r="F485" s="5" t="s">
        <v>175</v>
      </c>
      <c r="G485" s="5" t="s">
        <v>2915</v>
      </c>
      <c r="H485" s="74">
        <v>0</v>
      </c>
      <c r="I485" s="75" t="s">
        <v>3938</v>
      </c>
      <c r="J485" s="2"/>
    </row>
    <row r="486" spans="1:10" ht="39.950000000000003" customHeight="1" x14ac:dyDescent="0.25">
      <c r="A486" s="5" t="s">
        <v>231</v>
      </c>
      <c r="B486" s="5" t="s">
        <v>51</v>
      </c>
      <c r="C486" s="5" t="s">
        <v>232</v>
      </c>
      <c r="D486" s="5" t="s">
        <v>233</v>
      </c>
      <c r="E486" s="17">
        <v>344990</v>
      </c>
      <c r="F486" s="5" t="s">
        <v>234</v>
      </c>
      <c r="G486" s="5" t="s">
        <v>2915</v>
      </c>
      <c r="H486" s="74">
        <v>0</v>
      </c>
      <c r="I486" s="75" t="s">
        <v>3938</v>
      </c>
      <c r="J486" s="2"/>
    </row>
    <row r="487" spans="1:10" ht="39.950000000000003" customHeight="1" x14ac:dyDescent="0.25">
      <c r="A487" s="5" t="s">
        <v>417</v>
      </c>
      <c r="B487" s="5" t="s">
        <v>33</v>
      </c>
      <c r="C487" s="5" t="s">
        <v>411</v>
      </c>
      <c r="D487" s="5" t="s">
        <v>418</v>
      </c>
      <c r="E487" s="17">
        <v>38337</v>
      </c>
      <c r="F487" s="5" t="s">
        <v>413</v>
      </c>
      <c r="G487" s="5" t="s">
        <v>419</v>
      </c>
      <c r="H487" s="74">
        <v>0</v>
      </c>
      <c r="I487" s="75" t="s">
        <v>3938</v>
      </c>
      <c r="J487" s="2"/>
    </row>
    <row r="488" spans="1:10" ht="39.950000000000003" customHeight="1" x14ac:dyDescent="0.25">
      <c r="A488" s="5" t="s">
        <v>420</v>
      </c>
      <c r="B488" s="5" t="s">
        <v>33</v>
      </c>
      <c r="C488" s="5" t="s">
        <v>411</v>
      </c>
      <c r="D488" s="5" t="s">
        <v>421</v>
      </c>
      <c r="E488" s="17">
        <v>78212</v>
      </c>
      <c r="F488" s="5" t="s">
        <v>413</v>
      </c>
      <c r="G488" s="5" t="s">
        <v>419</v>
      </c>
      <c r="H488" s="74">
        <v>0</v>
      </c>
      <c r="I488" s="75" t="s">
        <v>3938</v>
      </c>
      <c r="J488" s="2"/>
    </row>
    <row r="489" spans="1:10" ht="39.950000000000003" customHeight="1" x14ac:dyDescent="0.25">
      <c r="A489" s="5" t="s">
        <v>479</v>
      </c>
      <c r="B489" s="5" t="s">
        <v>33</v>
      </c>
      <c r="C489" s="5" t="s">
        <v>473</v>
      </c>
      <c r="D489" s="5" t="s">
        <v>480</v>
      </c>
      <c r="E489" s="17">
        <v>10000</v>
      </c>
      <c r="F489" s="5" t="s">
        <v>475</v>
      </c>
      <c r="G489" s="5" t="s">
        <v>419</v>
      </c>
      <c r="H489" s="74">
        <v>0</v>
      </c>
      <c r="I489" s="75" t="s">
        <v>3938</v>
      </c>
      <c r="J489" s="2"/>
    </row>
    <row r="490" spans="1:10" ht="39.950000000000003" customHeight="1" x14ac:dyDescent="0.25">
      <c r="A490" s="5" t="s">
        <v>481</v>
      </c>
      <c r="B490" s="5" t="s">
        <v>33</v>
      </c>
      <c r="C490" s="5" t="s">
        <v>473</v>
      </c>
      <c r="D490" s="5" t="s">
        <v>482</v>
      </c>
      <c r="E490" s="17">
        <v>10000</v>
      </c>
      <c r="F490" s="5" t="s">
        <v>475</v>
      </c>
      <c r="G490" s="5" t="s">
        <v>419</v>
      </c>
      <c r="H490" s="74">
        <v>0</v>
      </c>
      <c r="I490" s="75" t="s">
        <v>3938</v>
      </c>
      <c r="J490" s="2"/>
    </row>
    <row r="491" spans="1:10" ht="39.950000000000003" customHeight="1" x14ac:dyDescent="0.25">
      <c r="A491" s="5" t="s">
        <v>519</v>
      </c>
      <c r="B491" s="5" t="s">
        <v>33</v>
      </c>
      <c r="C491" s="5" t="s">
        <v>520</v>
      </c>
      <c r="D491" s="5" t="s">
        <v>521</v>
      </c>
      <c r="E491" s="17">
        <v>630000</v>
      </c>
      <c r="F491" s="5" t="s">
        <v>73</v>
      </c>
      <c r="G491" s="5" t="s">
        <v>2915</v>
      </c>
      <c r="H491" s="74">
        <v>0</v>
      </c>
      <c r="I491" s="75" t="s">
        <v>3938</v>
      </c>
      <c r="J491" s="2"/>
    </row>
    <row r="492" spans="1:10" ht="39.950000000000003" customHeight="1" x14ac:dyDescent="0.25">
      <c r="A492" s="5" t="s">
        <v>524</v>
      </c>
      <c r="B492" s="5" t="s">
        <v>33</v>
      </c>
      <c r="C492" s="5" t="s">
        <v>525</v>
      </c>
      <c r="D492" s="5" t="s">
        <v>526</v>
      </c>
      <c r="E492" s="17">
        <v>50000</v>
      </c>
      <c r="F492" s="5" t="s">
        <v>527</v>
      </c>
      <c r="G492" s="5" t="s">
        <v>2915</v>
      </c>
      <c r="H492" s="74">
        <v>0</v>
      </c>
      <c r="I492" s="75" t="s">
        <v>3938</v>
      </c>
      <c r="J492" s="2"/>
    </row>
    <row r="493" spans="1:10" ht="39.950000000000003" customHeight="1" x14ac:dyDescent="0.25">
      <c r="A493" s="5" t="s">
        <v>580</v>
      </c>
      <c r="B493" s="5" t="s">
        <v>33</v>
      </c>
      <c r="C493" s="5" t="s">
        <v>574</v>
      </c>
      <c r="D493" s="5" t="s">
        <v>581</v>
      </c>
      <c r="E493" s="17">
        <v>120000</v>
      </c>
      <c r="F493" s="5" t="s">
        <v>425</v>
      </c>
      <c r="G493" s="5" t="s">
        <v>419</v>
      </c>
      <c r="H493" s="74">
        <v>0</v>
      </c>
      <c r="I493" s="75" t="s">
        <v>3938</v>
      </c>
      <c r="J493" s="2"/>
    </row>
    <row r="494" spans="1:10" ht="39.950000000000003" customHeight="1" x14ac:dyDescent="0.25">
      <c r="A494" s="5" t="s">
        <v>667</v>
      </c>
      <c r="B494" s="5" t="s">
        <v>33</v>
      </c>
      <c r="C494" s="5" t="s">
        <v>668</v>
      </c>
      <c r="D494" s="5" t="s">
        <v>669</v>
      </c>
      <c r="E494" s="17">
        <v>2241682.9500000002</v>
      </c>
      <c r="F494" s="5" t="s">
        <v>670</v>
      </c>
      <c r="G494" s="5" t="s">
        <v>419</v>
      </c>
      <c r="H494" s="74">
        <v>0</v>
      </c>
      <c r="I494" s="75" t="s">
        <v>3938</v>
      </c>
      <c r="J494" s="2"/>
    </row>
    <row r="495" spans="1:10" ht="39.950000000000003" customHeight="1" x14ac:dyDescent="0.25">
      <c r="A495" s="5" t="s">
        <v>673</v>
      </c>
      <c r="B495" s="5" t="s">
        <v>33</v>
      </c>
      <c r="C495" s="5" t="s">
        <v>674</v>
      </c>
      <c r="D495" s="5" t="s">
        <v>675</v>
      </c>
      <c r="E495" s="17">
        <v>373709.52</v>
      </c>
      <c r="F495" s="5" t="s">
        <v>676</v>
      </c>
      <c r="G495" s="5" t="s">
        <v>2915</v>
      </c>
      <c r="H495" s="74">
        <v>0</v>
      </c>
      <c r="I495" s="75" t="s">
        <v>3938</v>
      </c>
      <c r="J495" s="2"/>
    </row>
    <row r="496" spans="1:10" ht="39.950000000000003" customHeight="1" x14ac:dyDescent="0.25">
      <c r="A496" s="5" t="s">
        <v>680</v>
      </c>
      <c r="B496" s="5" t="s">
        <v>33</v>
      </c>
      <c r="C496" s="5" t="s">
        <v>681</v>
      </c>
      <c r="D496" s="5" t="s">
        <v>682</v>
      </c>
      <c r="E496" s="17">
        <v>283360</v>
      </c>
      <c r="F496" s="5" t="s">
        <v>486</v>
      </c>
      <c r="G496" s="5" t="s">
        <v>2915</v>
      </c>
      <c r="H496" s="74">
        <v>0</v>
      </c>
      <c r="I496" s="75" t="s">
        <v>3938</v>
      </c>
      <c r="J496" s="2"/>
    </row>
    <row r="497" spans="1:10" ht="39.950000000000003" customHeight="1" x14ac:dyDescent="0.25">
      <c r="A497" s="9" t="s">
        <v>736</v>
      </c>
      <c r="B497" s="5" t="s">
        <v>33</v>
      </c>
      <c r="C497" s="5" t="s">
        <v>737</v>
      </c>
      <c r="D497" s="5" t="s">
        <v>738</v>
      </c>
      <c r="E497" s="17">
        <v>396180.65</v>
      </c>
      <c r="F497" s="5" t="s">
        <v>73</v>
      </c>
      <c r="G497" s="5" t="s">
        <v>2915</v>
      </c>
      <c r="H497" s="74">
        <v>0</v>
      </c>
      <c r="I497" s="75" t="s">
        <v>3938</v>
      </c>
      <c r="J497" s="2"/>
    </row>
    <row r="498" spans="1:10" ht="39.950000000000003" customHeight="1" x14ac:dyDescent="0.25">
      <c r="A498" s="5" t="s">
        <v>818</v>
      </c>
      <c r="B498" s="5" t="s">
        <v>33</v>
      </c>
      <c r="C498" s="5" t="s">
        <v>819</v>
      </c>
      <c r="D498" s="5" t="s">
        <v>820</v>
      </c>
      <c r="E498" s="17">
        <v>629084.76</v>
      </c>
      <c r="F498" s="5" t="s">
        <v>37</v>
      </c>
      <c r="G498" s="5" t="s">
        <v>419</v>
      </c>
      <c r="H498" s="74">
        <v>0</v>
      </c>
      <c r="I498" s="75" t="s">
        <v>3938</v>
      </c>
      <c r="J498" s="2"/>
    </row>
    <row r="499" spans="1:10" ht="39.950000000000003" customHeight="1" x14ac:dyDescent="0.25">
      <c r="A499" s="5" t="s">
        <v>841</v>
      </c>
      <c r="B499" s="5" t="s">
        <v>33</v>
      </c>
      <c r="C499" s="5" t="s">
        <v>842</v>
      </c>
      <c r="D499" s="5" t="s">
        <v>843</v>
      </c>
      <c r="E499" s="17">
        <v>908000</v>
      </c>
      <c r="F499" s="5" t="s">
        <v>73</v>
      </c>
      <c r="G499" s="5" t="s">
        <v>2915</v>
      </c>
      <c r="H499" s="74">
        <v>0</v>
      </c>
      <c r="I499" s="75" t="s">
        <v>3938</v>
      </c>
      <c r="J499" s="2"/>
    </row>
    <row r="500" spans="1:10" ht="39.950000000000003" customHeight="1" x14ac:dyDescent="0.25">
      <c r="A500" s="5" t="s">
        <v>1041</v>
      </c>
      <c r="B500" s="5" t="s">
        <v>33</v>
      </c>
      <c r="C500" s="5" t="s">
        <v>1042</v>
      </c>
      <c r="D500" s="5" t="s">
        <v>1043</v>
      </c>
      <c r="E500" s="17">
        <v>69600</v>
      </c>
      <c r="F500" s="5" t="s">
        <v>1044</v>
      </c>
      <c r="G500" s="5" t="s">
        <v>2915</v>
      </c>
      <c r="H500" s="74">
        <v>0</v>
      </c>
      <c r="I500" s="75" t="s">
        <v>3938</v>
      </c>
      <c r="J500" s="2"/>
    </row>
    <row r="501" spans="1:10" ht="39.950000000000003" customHeight="1" x14ac:dyDescent="0.25">
      <c r="A501" s="5" t="s">
        <v>1080</v>
      </c>
      <c r="B501" s="5" t="s">
        <v>33</v>
      </c>
      <c r="C501" s="5" t="s">
        <v>1081</v>
      </c>
      <c r="D501" s="5" t="s">
        <v>1082</v>
      </c>
      <c r="E501" s="17">
        <v>83615</v>
      </c>
      <c r="F501" s="5" t="s">
        <v>63</v>
      </c>
      <c r="G501" s="5" t="s">
        <v>2915</v>
      </c>
      <c r="H501" s="74">
        <v>0</v>
      </c>
      <c r="I501" s="75" t="s">
        <v>3938</v>
      </c>
      <c r="J501" s="2"/>
    </row>
    <row r="502" spans="1:10" ht="39.950000000000003" customHeight="1" x14ac:dyDescent="0.25">
      <c r="A502" s="5" t="s">
        <v>1085</v>
      </c>
      <c r="B502" s="5" t="s">
        <v>33</v>
      </c>
      <c r="C502" s="5" t="s">
        <v>1081</v>
      </c>
      <c r="D502" s="5" t="s">
        <v>1086</v>
      </c>
      <c r="E502" s="17">
        <v>81020</v>
      </c>
      <c r="F502" s="5" t="s">
        <v>63</v>
      </c>
      <c r="G502" s="5" t="s">
        <v>2915</v>
      </c>
      <c r="H502" s="74">
        <v>0</v>
      </c>
      <c r="I502" s="75" t="s">
        <v>3938</v>
      </c>
      <c r="J502" s="2"/>
    </row>
    <row r="503" spans="1:10" ht="39.950000000000003" customHeight="1" x14ac:dyDescent="0.25">
      <c r="A503" s="5" t="s">
        <v>1087</v>
      </c>
      <c r="B503" s="5" t="s">
        <v>33</v>
      </c>
      <c r="C503" s="5" t="s">
        <v>1081</v>
      </c>
      <c r="D503" s="5" t="s">
        <v>1088</v>
      </c>
      <c r="E503" s="17">
        <v>95840.6</v>
      </c>
      <c r="F503" s="5" t="s">
        <v>63</v>
      </c>
      <c r="G503" s="5" t="s">
        <v>2915</v>
      </c>
      <c r="H503" s="74">
        <v>0</v>
      </c>
      <c r="I503" s="75" t="s">
        <v>3938</v>
      </c>
      <c r="J503" s="2"/>
    </row>
    <row r="504" spans="1:10" ht="39.950000000000003" customHeight="1" x14ac:dyDescent="0.25">
      <c r="A504" s="5" t="s">
        <v>1183</v>
      </c>
      <c r="B504" s="5" t="s">
        <v>33</v>
      </c>
      <c r="C504" s="5" t="s">
        <v>1184</v>
      </c>
      <c r="D504" s="5" t="s">
        <v>1185</v>
      </c>
      <c r="E504" s="17">
        <v>35000</v>
      </c>
      <c r="F504" s="5" t="s">
        <v>1186</v>
      </c>
      <c r="G504" s="5" t="s">
        <v>419</v>
      </c>
      <c r="H504" s="74">
        <v>0</v>
      </c>
      <c r="I504" s="75" t="s">
        <v>3938</v>
      </c>
      <c r="J504" s="2"/>
    </row>
    <row r="505" spans="1:10" ht="39.950000000000003" customHeight="1" x14ac:dyDescent="0.25">
      <c r="A505" s="5" t="s">
        <v>1189</v>
      </c>
      <c r="B505" s="5" t="s">
        <v>33</v>
      </c>
      <c r="C505" s="5" t="s">
        <v>1184</v>
      </c>
      <c r="D505" s="5" t="s">
        <v>1190</v>
      </c>
      <c r="E505" s="17">
        <v>110000</v>
      </c>
      <c r="F505" s="5" t="s">
        <v>1186</v>
      </c>
      <c r="G505" s="5" t="s">
        <v>419</v>
      </c>
      <c r="H505" s="74">
        <v>0</v>
      </c>
      <c r="I505" s="75" t="s">
        <v>3938</v>
      </c>
      <c r="J505" s="2"/>
    </row>
    <row r="506" spans="1:10" ht="39.950000000000003" customHeight="1" x14ac:dyDescent="0.25">
      <c r="A506" s="5" t="s">
        <v>1358</v>
      </c>
      <c r="B506" s="5" t="s">
        <v>33</v>
      </c>
      <c r="C506" s="5" t="s">
        <v>1359</v>
      </c>
      <c r="D506" s="5" t="s">
        <v>1360</v>
      </c>
      <c r="E506" s="17">
        <v>2073425.66</v>
      </c>
      <c r="F506" s="5" t="s">
        <v>1361</v>
      </c>
      <c r="G506" s="5" t="s">
        <v>2915</v>
      </c>
      <c r="H506" s="74">
        <v>0</v>
      </c>
      <c r="I506" s="75" t="s">
        <v>3938</v>
      </c>
      <c r="J506" s="2"/>
    </row>
    <row r="507" spans="1:10" ht="39.950000000000003" customHeight="1" x14ac:dyDescent="0.25">
      <c r="A507" s="13" t="s">
        <v>1387</v>
      </c>
      <c r="B507" s="5" t="s">
        <v>51</v>
      </c>
      <c r="C507" s="13" t="s">
        <v>1388</v>
      </c>
      <c r="D507" s="14" t="s">
        <v>1389</v>
      </c>
      <c r="E507" s="33">
        <v>275712</v>
      </c>
      <c r="F507" s="13" t="s">
        <v>1367</v>
      </c>
      <c r="G507" s="5" t="s">
        <v>2915</v>
      </c>
      <c r="H507" s="74">
        <v>0</v>
      </c>
      <c r="I507" s="75" t="s">
        <v>3938</v>
      </c>
      <c r="J507" s="2"/>
    </row>
    <row r="508" spans="1:10" ht="39.950000000000003" customHeight="1" x14ac:dyDescent="0.25">
      <c r="A508" s="5" t="s">
        <v>1533</v>
      </c>
      <c r="B508" s="5" t="s">
        <v>33</v>
      </c>
      <c r="C508" s="5" t="s">
        <v>1534</v>
      </c>
      <c r="D508" s="5" t="s">
        <v>1535</v>
      </c>
      <c r="E508" s="17">
        <v>73900</v>
      </c>
      <c r="F508" s="5" t="s">
        <v>1536</v>
      </c>
      <c r="G508" s="5" t="s">
        <v>2915</v>
      </c>
      <c r="H508" s="74">
        <v>0</v>
      </c>
      <c r="I508" s="75" t="s">
        <v>3938</v>
      </c>
      <c r="J508" s="2"/>
    </row>
    <row r="509" spans="1:10" ht="39.950000000000003" customHeight="1" x14ac:dyDescent="0.25">
      <c r="A509" s="5" t="s">
        <v>1610</v>
      </c>
      <c r="B509" s="5" t="s">
        <v>33</v>
      </c>
      <c r="C509" s="5" t="s">
        <v>1611</v>
      </c>
      <c r="D509" s="5" t="s">
        <v>1612</v>
      </c>
      <c r="E509" s="17">
        <v>0</v>
      </c>
      <c r="F509" s="5" t="s">
        <v>859</v>
      </c>
      <c r="G509" s="5" t="s">
        <v>2916</v>
      </c>
      <c r="H509" s="74">
        <v>0</v>
      </c>
      <c r="I509" s="75" t="s">
        <v>3938</v>
      </c>
      <c r="J509" s="2"/>
    </row>
    <row r="510" spans="1:10" ht="39.950000000000003" customHeight="1" x14ac:dyDescent="0.25">
      <c r="A510" s="5" t="s">
        <v>1634</v>
      </c>
      <c r="B510" s="5" t="s">
        <v>33</v>
      </c>
      <c r="C510" s="5" t="s">
        <v>1635</v>
      </c>
      <c r="D510" s="5" t="s">
        <v>1636</v>
      </c>
      <c r="E510" s="17">
        <v>1000000</v>
      </c>
      <c r="F510" s="5" t="s">
        <v>1637</v>
      </c>
      <c r="G510" s="5" t="s">
        <v>419</v>
      </c>
      <c r="H510" s="74">
        <v>0</v>
      </c>
      <c r="I510" s="75" t="s">
        <v>3938</v>
      </c>
      <c r="J510" s="2"/>
    </row>
    <row r="511" spans="1:10" ht="39.950000000000003" customHeight="1" x14ac:dyDescent="0.25">
      <c r="A511" s="5" t="s">
        <v>1641</v>
      </c>
      <c r="B511" s="5" t="s">
        <v>33</v>
      </c>
      <c r="C511" s="5" t="s">
        <v>1642</v>
      </c>
      <c r="D511" s="5" t="s">
        <v>1643</v>
      </c>
      <c r="E511" s="17">
        <v>161880</v>
      </c>
      <c r="F511" s="5" t="s">
        <v>94</v>
      </c>
      <c r="G511" s="5" t="s">
        <v>2917</v>
      </c>
      <c r="H511" s="74">
        <v>0</v>
      </c>
      <c r="I511" s="75" t="s">
        <v>3938</v>
      </c>
      <c r="J511" s="2"/>
    </row>
    <row r="512" spans="1:10" ht="39.950000000000003" customHeight="1" x14ac:dyDescent="0.25">
      <c r="A512" s="5" t="s">
        <v>1647</v>
      </c>
      <c r="B512" s="5" t="s">
        <v>33</v>
      </c>
      <c r="C512" s="5" t="s">
        <v>1642</v>
      </c>
      <c r="D512" s="5" t="s">
        <v>1648</v>
      </c>
      <c r="E512" s="17">
        <v>190080</v>
      </c>
      <c r="F512" s="5" t="s">
        <v>94</v>
      </c>
      <c r="G512" s="5" t="s">
        <v>2915</v>
      </c>
      <c r="H512" s="74">
        <v>0</v>
      </c>
      <c r="I512" s="75" t="s">
        <v>3938</v>
      </c>
      <c r="J512" s="2"/>
    </row>
    <row r="513" spans="1:10" ht="39.950000000000003" customHeight="1" x14ac:dyDescent="0.25">
      <c r="A513" s="5" t="s">
        <v>1707</v>
      </c>
      <c r="B513" s="5" t="s">
        <v>33</v>
      </c>
      <c r="C513" s="5" t="s">
        <v>1708</v>
      </c>
      <c r="D513" s="5" t="s">
        <v>1709</v>
      </c>
      <c r="E513" s="17">
        <v>388034.49</v>
      </c>
      <c r="F513" s="5" t="s">
        <v>73</v>
      </c>
      <c r="G513" s="5" t="s">
        <v>2915</v>
      </c>
      <c r="H513" s="74">
        <v>0</v>
      </c>
      <c r="I513" s="75" t="s">
        <v>3938</v>
      </c>
      <c r="J513" s="2"/>
    </row>
    <row r="514" spans="1:10" ht="39.950000000000003" customHeight="1" x14ac:dyDescent="0.25">
      <c r="A514" s="5" t="s">
        <v>1724</v>
      </c>
      <c r="B514" s="5" t="s">
        <v>33</v>
      </c>
      <c r="C514" s="5" t="s">
        <v>1725</v>
      </c>
      <c r="D514" s="5" t="s">
        <v>1726</v>
      </c>
      <c r="E514" s="17">
        <v>300000</v>
      </c>
      <c r="F514" s="5" t="s">
        <v>73</v>
      </c>
      <c r="G514" s="5" t="s">
        <v>2915</v>
      </c>
      <c r="H514" s="74">
        <v>0</v>
      </c>
      <c r="I514" s="75" t="s">
        <v>3938</v>
      </c>
      <c r="J514" s="2"/>
    </row>
    <row r="515" spans="1:10" ht="39.950000000000003" customHeight="1" x14ac:dyDescent="0.25">
      <c r="A515" s="13" t="s">
        <v>1803</v>
      </c>
      <c r="B515" s="5" t="s">
        <v>51</v>
      </c>
      <c r="C515" s="13" t="s">
        <v>1804</v>
      </c>
      <c r="D515" s="14" t="s">
        <v>1805</v>
      </c>
      <c r="E515" s="33">
        <v>80000</v>
      </c>
      <c r="F515" s="13" t="s">
        <v>1806</v>
      </c>
      <c r="G515" s="5" t="s">
        <v>2915</v>
      </c>
      <c r="H515" s="74">
        <v>0</v>
      </c>
      <c r="I515" s="75" t="s">
        <v>3938</v>
      </c>
      <c r="J515" s="2"/>
    </row>
    <row r="516" spans="1:10" ht="39.950000000000003" customHeight="1" x14ac:dyDescent="0.25">
      <c r="A516" s="5" t="s">
        <v>1840</v>
      </c>
      <c r="B516" s="5" t="s">
        <v>33</v>
      </c>
      <c r="C516" s="5" t="s">
        <v>1841</v>
      </c>
      <c r="D516" s="5" t="s">
        <v>1842</v>
      </c>
      <c r="E516" s="17">
        <v>190000</v>
      </c>
      <c r="F516" s="5" t="s">
        <v>1843</v>
      </c>
      <c r="G516" s="5" t="s">
        <v>419</v>
      </c>
      <c r="H516" s="74">
        <v>0</v>
      </c>
      <c r="I516" s="75" t="s">
        <v>3938</v>
      </c>
      <c r="J516" s="2"/>
    </row>
    <row r="517" spans="1:10" ht="39.950000000000003" customHeight="1" x14ac:dyDescent="0.25">
      <c r="A517" s="5" t="s">
        <v>1875</v>
      </c>
      <c r="B517" s="5" t="s">
        <v>33</v>
      </c>
      <c r="C517" s="5" t="s">
        <v>1876</v>
      </c>
      <c r="D517" s="5" t="s">
        <v>1842</v>
      </c>
      <c r="E517" s="17">
        <v>50000</v>
      </c>
      <c r="F517" s="5" t="s">
        <v>1877</v>
      </c>
      <c r="G517" s="5" t="s">
        <v>419</v>
      </c>
      <c r="H517" s="74">
        <v>0</v>
      </c>
      <c r="I517" s="75" t="s">
        <v>3938</v>
      </c>
      <c r="J517" s="2"/>
    </row>
    <row r="518" spans="1:10" ht="39.950000000000003" customHeight="1" x14ac:dyDescent="0.25">
      <c r="A518" s="5" t="s">
        <v>1925</v>
      </c>
      <c r="B518" s="5" t="s">
        <v>33</v>
      </c>
      <c r="C518" s="5" t="s">
        <v>1926</v>
      </c>
      <c r="D518" s="5" t="s">
        <v>1927</v>
      </c>
      <c r="E518" s="17">
        <v>334582.09999999998</v>
      </c>
      <c r="F518" s="5" t="s">
        <v>290</v>
      </c>
      <c r="G518" s="5" t="s">
        <v>419</v>
      </c>
      <c r="H518" s="74">
        <v>0</v>
      </c>
      <c r="I518" s="75" t="s">
        <v>3938</v>
      </c>
      <c r="J518" s="2"/>
    </row>
    <row r="519" spans="1:10" ht="39.950000000000003" customHeight="1" x14ac:dyDescent="0.25">
      <c r="A519" s="5" t="s">
        <v>1936</v>
      </c>
      <c r="B519" s="5" t="s">
        <v>33</v>
      </c>
      <c r="C519" s="5" t="s">
        <v>1937</v>
      </c>
      <c r="D519" s="5" t="s">
        <v>1938</v>
      </c>
      <c r="E519" s="17">
        <v>3000000</v>
      </c>
      <c r="F519" s="5" t="s">
        <v>1939</v>
      </c>
      <c r="G519" s="5" t="s">
        <v>2915</v>
      </c>
      <c r="H519" s="74">
        <v>0</v>
      </c>
      <c r="I519" s="75" t="s">
        <v>3938</v>
      </c>
      <c r="J519" s="2"/>
    </row>
    <row r="520" spans="1:10" ht="39.950000000000003" customHeight="1" x14ac:dyDescent="0.25">
      <c r="A520" s="5" t="s">
        <v>1942</v>
      </c>
      <c r="B520" s="5" t="s">
        <v>33</v>
      </c>
      <c r="C520" s="5" t="s">
        <v>1937</v>
      </c>
      <c r="D520" s="5" t="s">
        <v>1943</v>
      </c>
      <c r="E520" s="17">
        <v>3000000</v>
      </c>
      <c r="F520" s="5" t="s">
        <v>1939</v>
      </c>
      <c r="G520" s="5" t="s">
        <v>2915</v>
      </c>
      <c r="H520" s="74">
        <v>0</v>
      </c>
      <c r="I520" s="75" t="s">
        <v>3938</v>
      </c>
      <c r="J520" s="2"/>
    </row>
    <row r="521" spans="1:10" ht="39.950000000000003" customHeight="1" x14ac:dyDescent="0.25">
      <c r="A521" s="5" t="s">
        <v>1956</v>
      </c>
      <c r="B521" s="5" t="s">
        <v>33</v>
      </c>
      <c r="C521" s="5" t="s">
        <v>1937</v>
      </c>
      <c r="D521" s="5" t="s">
        <v>1957</v>
      </c>
      <c r="E521" s="17">
        <v>1000000</v>
      </c>
      <c r="F521" s="5" t="s">
        <v>1939</v>
      </c>
      <c r="G521" s="5" t="s">
        <v>2915</v>
      </c>
      <c r="H521" s="74">
        <v>0</v>
      </c>
      <c r="I521" s="75" t="s">
        <v>3938</v>
      </c>
      <c r="J521" s="2"/>
    </row>
    <row r="522" spans="1:10" ht="39.950000000000003" customHeight="1" x14ac:dyDescent="0.25">
      <c r="A522" s="5" t="s">
        <v>2036</v>
      </c>
      <c r="B522" s="5" t="s">
        <v>51</v>
      </c>
      <c r="C522" s="5" t="s">
        <v>2006</v>
      </c>
      <c r="D522" s="5" t="s">
        <v>2037</v>
      </c>
      <c r="E522" s="33">
        <v>27175</v>
      </c>
      <c r="F522" s="13" t="s">
        <v>2008</v>
      </c>
      <c r="G522" s="5" t="s">
        <v>419</v>
      </c>
      <c r="H522" s="74">
        <v>0</v>
      </c>
      <c r="I522" s="75" t="s">
        <v>3938</v>
      </c>
      <c r="J522" s="2"/>
    </row>
    <row r="523" spans="1:10" ht="39.950000000000003" customHeight="1" x14ac:dyDescent="0.25">
      <c r="A523" s="5" t="s">
        <v>2064</v>
      </c>
      <c r="B523" s="5" t="s">
        <v>33</v>
      </c>
      <c r="C523" s="5" t="s">
        <v>2065</v>
      </c>
      <c r="D523" s="5" t="s">
        <v>2066</v>
      </c>
      <c r="E523" s="17">
        <v>253200</v>
      </c>
      <c r="F523" s="5" t="s">
        <v>859</v>
      </c>
      <c r="G523" s="5" t="s">
        <v>2915</v>
      </c>
      <c r="H523" s="74">
        <v>0</v>
      </c>
      <c r="I523" s="75" t="s">
        <v>3938</v>
      </c>
      <c r="J523" s="2"/>
    </row>
    <row r="524" spans="1:10" ht="39.950000000000003" customHeight="1" x14ac:dyDescent="0.25">
      <c r="A524" s="5" t="s">
        <v>2112</v>
      </c>
      <c r="B524" s="5" t="s">
        <v>33</v>
      </c>
      <c r="C524" s="5" t="s">
        <v>2113</v>
      </c>
      <c r="D524" s="5" t="s">
        <v>2114</v>
      </c>
      <c r="E524" s="17">
        <v>661500</v>
      </c>
      <c r="F524" s="5" t="s">
        <v>73</v>
      </c>
      <c r="G524" s="5" t="s">
        <v>2915</v>
      </c>
      <c r="H524" s="74">
        <v>0</v>
      </c>
      <c r="I524" s="75" t="s">
        <v>3938</v>
      </c>
      <c r="J524" s="2"/>
    </row>
    <row r="525" spans="1:10" ht="39.950000000000003" customHeight="1" x14ac:dyDescent="0.25">
      <c r="A525" s="5" t="s">
        <v>2117</v>
      </c>
      <c r="B525" s="5" t="s">
        <v>51</v>
      </c>
      <c r="C525" s="5" t="s">
        <v>2118</v>
      </c>
      <c r="D525" s="5" t="s">
        <v>2119</v>
      </c>
      <c r="E525" s="33">
        <v>350940</v>
      </c>
      <c r="F525" s="13" t="s">
        <v>2120</v>
      </c>
      <c r="G525" s="5" t="s">
        <v>419</v>
      </c>
      <c r="H525" s="74">
        <v>0</v>
      </c>
      <c r="I525" s="75" t="s">
        <v>3938</v>
      </c>
      <c r="J525" s="2"/>
    </row>
    <row r="526" spans="1:10" ht="39.950000000000003" customHeight="1" x14ac:dyDescent="0.25">
      <c r="A526" s="5" t="s">
        <v>2122</v>
      </c>
      <c r="B526" s="5" t="s">
        <v>51</v>
      </c>
      <c r="C526" s="5" t="s">
        <v>2123</v>
      </c>
      <c r="D526" s="5" t="s">
        <v>2124</v>
      </c>
      <c r="E526" s="33">
        <v>98000</v>
      </c>
      <c r="F526" s="13" t="s">
        <v>2125</v>
      </c>
      <c r="G526" s="5" t="s">
        <v>419</v>
      </c>
      <c r="H526" s="74">
        <v>0</v>
      </c>
      <c r="I526" s="75" t="s">
        <v>3938</v>
      </c>
      <c r="J526" s="2"/>
    </row>
    <row r="527" spans="1:10" ht="39.950000000000003" customHeight="1" x14ac:dyDescent="0.25">
      <c r="A527" s="5" t="s">
        <v>2177</v>
      </c>
      <c r="B527" s="5" t="s">
        <v>33</v>
      </c>
      <c r="C527" s="5" t="s">
        <v>2178</v>
      </c>
      <c r="D527" s="5" t="s">
        <v>2179</v>
      </c>
      <c r="E527" s="17">
        <v>250000</v>
      </c>
      <c r="F527" s="5" t="s">
        <v>1146</v>
      </c>
      <c r="G527" s="5" t="s">
        <v>2915</v>
      </c>
      <c r="H527" s="74">
        <v>0</v>
      </c>
      <c r="I527" s="75" t="s">
        <v>3938</v>
      </c>
      <c r="J527" s="2"/>
    </row>
    <row r="528" spans="1:10" ht="39.950000000000003" customHeight="1" x14ac:dyDescent="0.25">
      <c r="A528" s="5" t="s">
        <v>2257</v>
      </c>
      <c r="B528" s="5" t="s">
        <v>51</v>
      </c>
      <c r="C528" s="5" t="s">
        <v>2258</v>
      </c>
      <c r="D528" s="5" t="s">
        <v>2259</v>
      </c>
      <c r="E528" s="33">
        <v>500000</v>
      </c>
      <c r="F528" s="13" t="s">
        <v>2260</v>
      </c>
      <c r="G528" s="5" t="s">
        <v>2915</v>
      </c>
      <c r="H528" s="74">
        <v>0</v>
      </c>
      <c r="I528" s="75" t="s">
        <v>3938</v>
      </c>
      <c r="J528" s="2"/>
    </row>
    <row r="529" spans="1:10" ht="39.950000000000003" customHeight="1" x14ac:dyDescent="0.25">
      <c r="A529" s="13" t="s">
        <v>2263</v>
      </c>
      <c r="B529" s="5" t="s">
        <v>51</v>
      </c>
      <c r="C529" s="13" t="s">
        <v>2258</v>
      </c>
      <c r="D529" s="5" t="s">
        <v>2264</v>
      </c>
      <c r="E529" s="33">
        <v>198600</v>
      </c>
      <c r="F529" s="13" t="s">
        <v>2260</v>
      </c>
      <c r="G529" s="5" t="s">
        <v>2915</v>
      </c>
      <c r="H529" s="74">
        <v>0</v>
      </c>
      <c r="I529" s="75" t="s">
        <v>3938</v>
      </c>
      <c r="J529" s="2"/>
    </row>
    <row r="530" spans="1:10" ht="39.950000000000003" customHeight="1" x14ac:dyDescent="0.25">
      <c r="A530" s="13" t="s">
        <v>2265</v>
      </c>
      <c r="B530" s="5" t="s">
        <v>51</v>
      </c>
      <c r="C530" s="13" t="s">
        <v>2258</v>
      </c>
      <c r="D530" s="13" t="s">
        <v>2266</v>
      </c>
      <c r="E530" s="33">
        <v>200000</v>
      </c>
      <c r="F530" s="13" t="s">
        <v>2260</v>
      </c>
      <c r="G530" s="5" t="s">
        <v>2915</v>
      </c>
      <c r="H530" s="74">
        <v>0</v>
      </c>
      <c r="I530" s="75" t="s">
        <v>3938</v>
      </c>
      <c r="J530" s="2"/>
    </row>
    <row r="531" spans="1:10" ht="39.950000000000003" customHeight="1" x14ac:dyDescent="0.25">
      <c r="A531" s="13" t="s">
        <v>2376</v>
      </c>
      <c r="B531" s="5" t="s">
        <v>51</v>
      </c>
      <c r="C531" s="13" t="s">
        <v>2377</v>
      </c>
      <c r="D531" s="13" t="s">
        <v>2378</v>
      </c>
      <c r="E531" s="33">
        <v>30430.400000000001</v>
      </c>
      <c r="F531" s="13" t="s">
        <v>2379</v>
      </c>
      <c r="G531" s="5" t="s">
        <v>2915</v>
      </c>
      <c r="H531" s="74">
        <v>0</v>
      </c>
      <c r="I531" s="75" t="s">
        <v>3938</v>
      </c>
      <c r="J531" s="2"/>
    </row>
    <row r="532" spans="1:10" ht="39.950000000000003" customHeight="1" x14ac:dyDescent="0.25">
      <c r="A532" s="13" t="s">
        <v>2387</v>
      </c>
      <c r="B532" s="5" t="s">
        <v>51</v>
      </c>
      <c r="C532" s="13" t="s">
        <v>2388</v>
      </c>
      <c r="D532" s="14" t="s">
        <v>2389</v>
      </c>
      <c r="E532" s="33">
        <v>72000</v>
      </c>
      <c r="F532" s="13" t="s">
        <v>2390</v>
      </c>
      <c r="G532" s="5" t="s">
        <v>2915</v>
      </c>
      <c r="H532" s="74">
        <v>0</v>
      </c>
      <c r="I532" s="75" t="s">
        <v>3938</v>
      </c>
      <c r="J532" s="2"/>
    </row>
    <row r="533" spans="1:10" ht="39.950000000000003" customHeight="1" x14ac:dyDescent="0.25">
      <c r="A533" s="5" t="s">
        <v>2449</v>
      </c>
      <c r="B533" s="5" t="s">
        <v>51</v>
      </c>
      <c r="C533" s="5" t="s">
        <v>2450</v>
      </c>
      <c r="D533" s="5" t="s">
        <v>2451</v>
      </c>
      <c r="E533" s="33">
        <v>164000</v>
      </c>
      <c r="F533" s="13" t="s">
        <v>2452</v>
      </c>
      <c r="G533" s="5" t="s">
        <v>2915</v>
      </c>
      <c r="H533" s="74">
        <v>0</v>
      </c>
      <c r="I533" s="75" t="s">
        <v>3938</v>
      </c>
      <c r="J533" s="2"/>
    </row>
    <row r="534" spans="1:10" ht="39.950000000000003" customHeight="1" x14ac:dyDescent="0.25">
      <c r="A534" s="5" t="s">
        <v>2462</v>
      </c>
      <c r="B534" s="5" t="s">
        <v>33</v>
      </c>
      <c r="C534" s="5" t="s">
        <v>2463</v>
      </c>
      <c r="D534" s="5" t="s">
        <v>2464</v>
      </c>
      <c r="E534" s="17">
        <v>926171.28</v>
      </c>
      <c r="F534" s="5" t="s">
        <v>73</v>
      </c>
      <c r="G534" s="5" t="s">
        <v>2915</v>
      </c>
      <c r="H534" s="74">
        <v>0</v>
      </c>
      <c r="I534" s="75" t="s">
        <v>3938</v>
      </c>
      <c r="J534" s="2"/>
    </row>
    <row r="535" spans="1:10" ht="39.950000000000003" customHeight="1" x14ac:dyDescent="0.25">
      <c r="A535" s="5" t="s">
        <v>2467</v>
      </c>
      <c r="B535" s="5" t="s">
        <v>33</v>
      </c>
      <c r="C535" s="5" t="s">
        <v>2468</v>
      </c>
      <c r="D535" s="5" t="s">
        <v>2469</v>
      </c>
      <c r="E535" s="17">
        <v>964213.56</v>
      </c>
      <c r="F535" s="5" t="s">
        <v>73</v>
      </c>
      <c r="G535" s="5" t="s">
        <v>2915</v>
      </c>
      <c r="H535" s="74">
        <v>0</v>
      </c>
      <c r="I535" s="75" t="s">
        <v>3938</v>
      </c>
      <c r="J535" s="2"/>
    </row>
    <row r="536" spans="1:10" ht="39.950000000000003" customHeight="1" x14ac:dyDescent="0.25">
      <c r="A536" s="5" t="s">
        <v>2472</v>
      </c>
      <c r="B536" s="5" t="s">
        <v>33</v>
      </c>
      <c r="C536" s="5" t="s">
        <v>2468</v>
      </c>
      <c r="D536" s="5" t="s">
        <v>2473</v>
      </c>
      <c r="E536" s="17">
        <v>958879.56</v>
      </c>
      <c r="F536" s="5" t="s">
        <v>73</v>
      </c>
      <c r="G536" s="5" t="s">
        <v>2915</v>
      </c>
      <c r="H536" s="74">
        <v>0</v>
      </c>
      <c r="I536" s="75" t="s">
        <v>3938</v>
      </c>
      <c r="J536" s="2"/>
    </row>
    <row r="537" spans="1:10" ht="39.950000000000003" customHeight="1" x14ac:dyDescent="0.25">
      <c r="A537" s="13" t="s">
        <v>2542</v>
      </c>
      <c r="B537" s="5" t="s">
        <v>51</v>
      </c>
      <c r="C537" s="13" t="s">
        <v>2543</v>
      </c>
      <c r="D537" s="14" t="s">
        <v>2544</v>
      </c>
      <c r="E537" s="33">
        <v>433800</v>
      </c>
      <c r="F537" s="13" t="s">
        <v>2545</v>
      </c>
      <c r="G537" s="5" t="s">
        <v>2915</v>
      </c>
      <c r="H537" s="74">
        <v>0</v>
      </c>
      <c r="I537" s="75" t="s">
        <v>3938</v>
      </c>
      <c r="J537" s="2"/>
    </row>
    <row r="538" spans="1:10" ht="39.950000000000003" customHeight="1" x14ac:dyDescent="0.25">
      <c r="A538" s="13" t="s">
        <v>2547</v>
      </c>
      <c r="B538" s="5" t="s">
        <v>51</v>
      </c>
      <c r="C538" s="13" t="s">
        <v>2543</v>
      </c>
      <c r="D538" s="14" t="s">
        <v>2548</v>
      </c>
      <c r="E538" s="33">
        <v>600000</v>
      </c>
      <c r="F538" s="13" t="s">
        <v>2545</v>
      </c>
      <c r="G538" s="5" t="s">
        <v>2915</v>
      </c>
      <c r="H538" s="74">
        <v>0</v>
      </c>
      <c r="I538" s="75" t="s">
        <v>3938</v>
      </c>
      <c r="J538" s="2"/>
    </row>
    <row r="539" spans="1:10" ht="39.950000000000003" customHeight="1" x14ac:dyDescent="0.25">
      <c r="A539" s="13" t="s">
        <v>2551</v>
      </c>
      <c r="B539" s="5" t="s">
        <v>51</v>
      </c>
      <c r="C539" s="13" t="s">
        <v>2543</v>
      </c>
      <c r="D539" s="14" t="s">
        <v>2552</v>
      </c>
      <c r="E539" s="33">
        <v>58200</v>
      </c>
      <c r="F539" s="13" t="s">
        <v>2545</v>
      </c>
      <c r="G539" s="5" t="s">
        <v>2915</v>
      </c>
      <c r="H539" s="74">
        <v>0</v>
      </c>
      <c r="I539" s="75" t="s">
        <v>3938</v>
      </c>
      <c r="J539" s="2"/>
    </row>
    <row r="540" spans="1:10" ht="39.950000000000003" customHeight="1" x14ac:dyDescent="0.25">
      <c r="A540" s="5" t="s">
        <v>2565</v>
      </c>
      <c r="B540" s="5" t="s">
        <v>33</v>
      </c>
      <c r="C540" s="5" t="s">
        <v>2566</v>
      </c>
      <c r="D540" s="5" t="s">
        <v>2567</v>
      </c>
      <c r="E540" s="17">
        <v>100250.84</v>
      </c>
      <c r="F540" s="5" t="s">
        <v>2556</v>
      </c>
      <c r="G540" s="5" t="s">
        <v>2915</v>
      </c>
      <c r="H540" s="74">
        <v>0</v>
      </c>
      <c r="I540" s="75" t="s">
        <v>3938</v>
      </c>
      <c r="J540" s="2"/>
    </row>
    <row r="541" spans="1:10" ht="39.950000000000003" customHeight="1" x14ac:dyDescent="0.25">
      <c r="A541" s="5" t="s">
        <v>2581</v>
      </c>
      <c r="B541" s="5" t="s">
        <v>51</v>
      </c>
      <c r="C541" s="5" t="s">
        <v>2582</v>
      </c>
      <c r="D541" s="5" t="s">
        <v>2583</v>
      </c>
      <c r="E541" s="33">
        <v>33600</v>
      </c>
      <c r="F541" s="13" t="s">
        <v>2584</v>
      </c>
      <c r="G541" s="5" t="s">
        <v>2915</v>
      </c>
      <c r="H541" s="74">
        <v>0</v>
      </c>
      <c r="I541" s="75" t="s">
        <v>3938</v>
      </c>
      <c r="J541" s="2"/>
    </row>
    <row r="542" spans="1:10" ht="39.950000000000003" customHeight="1" x14ac:dyDescent="0.25">
      <c r="A542" s="5" t="s">
        <v>2588</v>
      </c>
      <c r="B542" s="5" t="s">
        <v>51</v>
      </c>
      <c r="C542" s="5" t="s">
        <v>2582</v>
      </c>
      <c r="D542" s="5" t="s">
        <v>2589</v>
      </c>
      <c r="E542" s="33">
        <v>432000</v>
      </c>
      <c r="F542" s="13" t="s">
        <v>2584</v>
      </c>
      <c r="G542" s="5" t="s">
        <v>2915</v>
      </c>
      <c r="H542" s="74">
        <v>0</v>
      </c>
      <c r="I542" s="75" t="s">
        <v>3938</v>
      </c>
      <c r="J542" s="2"/>
    </row>
    <row r="543" spans="1:10" ht="39.950000000000003" customHeight="1" x14ac:dyDescent="0.25">
      <c r="A543" s="5" t="s">
        <v>2590</v>
      </c>
      <c r="B543" s="5" t="s">
        <v>51</v>
      </c>
      <c r="C543" s="5" t="s">
        <v>2582</v>
      </c>
      <c r="D543" s="5" t="s">
        <v>2591</v>
      </c>
      <c r="E543" s="33">
        <v>33600</v>
      </c>
      <c r="F543" s="13" t="s">
        <v>2584</v>
      </c>
      <c r="G543" s="5" t="s">
        <v>2915</v>
      </c>
      <c r="H543" s="74">
        <v>0</v>
      </c>
      <c r="I543" s="75" t="s">
        <v>3938</v>
      </c>
      <c r="J543" s="2"/>
    </row>
    <row r="544" spans="1:10" ht="39.950000000000003" customHeight="1" x14ac:dyDescent="0.25">
      <c r="A544" s="5" t="s">
        <v>2600</v>
      </c>
      <c r="B544" s="5" t="s">
        <v>33</v>
      </c>
      <c r="C544" s="5" t="s">
        <v>2593</v>
      </c>
      <c r="D544" s="5" t="s">
        <v>2601</v>
      </c>
      <c r="E544" s="17">
        <v>572385</v>
      </c>
      <c r="F544" s="5" t="s">
        <v>2595</v>
      </c>
      <c r="G544" s="5" t="s">
        <v>2915</v>
      </c>
      <c r="H544" s="74">
        <v>0</v>
      </c>
      <c r="I544" s="75" t="s">
        <v>3938</v>
      </c>
      <c r="J544" s="2"/>
    </row>
    <row r="545" spans="1:10" ht="39.950000000000003" customHeight="1" x14ac:dyDescent="0.25">
      <c r="A545" s="5" t="s">
        <v>2619</v>
      </c>
      <c r="B545" s="5" t="s">
        <v>33</v>
      </c>
      <c r="C545" s="5" t="s">
        <v>2620</v>
      </c>
      <c r="D545" s="5" t="s">
        <v>2621</v>
      </c>
      <c r="E545" s="17">
        <v>711219.24</v>
      </c>
      <c r="F545" s="5" t="s">
        <v>73</v>
      </c>
      <c r="G545" s="5" t="s">
        <v>2915</v>
      </c>
      <c r="H545" s="74">
        <v>0</v>
      </c>
      <c r="I545" s="75" t="s">
        <v>3938</v>
      </c>
      <c r="J545" s="2"/>
    </row>
    <row r="546" spans="1:10" ht="39.950000000000003" customHeight="1" x14ac:dyDescent="0.25">
      <c r="A546" s="5" t="s">
        <v>2634</v>
      </c>
      <c r="B546" s="5" t="s">
        <v>33</v>
      </c>
      <c r="C546" s="5" t="s">
        <v>2635</v>
      </c>
      <c r="D546" s="5" t="s">
        <v>2636</v>
      </c>
      <c r="E546" s="17">
        <v>500000</v>
      </c>
      <c r="F546" s="5" t="s">
        <v>2436</v>
      </c>
      <c r="G546" s="5" t="s">
        <v>2915</v>
      </c>
      <c r="H546" s="74">
        <v>0</v>
      </c>
      <c r="I546" s="75" t="s">
        <v>3938</v>
      </c>
      <c r="J546" s="2"/>
    </row>
    <row r="547" spans="1:10" ht="39.950000000000003" customHeight="1" x14ac:dyDescent="0.25">
      <c r="A547" s="5" t="s">
        <v>2683</v>
      </c>
      <c r="B547" s="5" t="s">
        <v>33</v>
      </c>
      <c r="C547" s="5" t="s">
        <v>2684</v>
      </c>
      <c r="D547" s="5" t="s">
        <v>45</v>
      </c>
      <c r="E547" s="17">
        <v>0</v>
      </c>
      <c r="F547" s="5" t="s">
        <v>73</v>
      </c>
      <c r="G547" s="5" t="s">
        <v>2915</v>
      </c>
      <c r="H547" s="74">
        <v>0</v>
      </c>
      <c r="I547" s="75" t="s">
        <v>3938</v>
      </c>
      <c r="J547" s="2"/>
    </row>
    <row r="548" spans="1:10" ht="39.950000000000003" customHeight="1" x14ac:dyDescent="0.25">
      <c r="A548" s="5" t="s">
        <v>2688</v>
      </c>
      <c r="B548" s="5" t="s">
        <v>33</v>
      </c>
      <c r="C548" s="5" t="s">
        <v>2689</v>
      </c>
      <c r="D548" s="5" t="s">
        <v>45</v>
      </c>
      <c r="E548" s="17" t="s">
        <v>45</v>
      </c>
      <c r="F548" s="5" t="s">
        <v>73</v>
      </c>
      <c r="G548" s="5" t="s">
        <v>2915</v>
      </c>
      <c r="H548" s="74">
        <v>0</v>
      </c>
      <c r="I548" s="75" t="s">
        <v>3938</v>
      </c>
      <c r="J548" s="2"/>
    </row>
    <row r="549" spans="1:10" ht="39.950000000000003" customHeight="1" x14ac:dyDescent="0.25">
      <c r="A549" s="5" t="s">
        <v>2740</v>
      </c>
      <c r="B549" s="5" t="s">
        <v>33</v>
      </c>
      <c r="C549" s="5" t="s">
        <v>2741</v>
      </c>
      <c r="D549" s="5" t="s">
        <v>2742</v>
      </c>
      <c r="E549" s="17">
        <v>1214351.32</v>
      </c>
      <c r="F549" s="5" t="s">
        <v>73</v>
      </c>
      <c r="G549" s="5" t="s">
        <v>419</v>
      </c>
      <c r="H549" s="74">
        <v>0</v>
      </c>
      <c r="I549" s="75" t="s">
        <v>3938</v>
      </c>
      <c r="J549" s="2"/>
    </row>
    <row r="550" spans="1:10" ht="39.950000000000003" customHeight="1" x14ac:dyDescent="0.25">
      <c r="A550" s="5" t="s">
        <v>2745</v>
      </c>
      <c r="B550" s="5" t="s">
        <v>33</v>
      </c>
      <c r="C550" s="5" t="s">
        <v>2746</v>
      </c>
      <c r="D550" s="5" t="s">
        <v>2747</v>
      </c>
      <c r="E550" s="17">
        <v>388400</v>
      </c>
      <c r="F550" s="5" t="s">
        <v>2748</v>
      </c>
      <c r="G550" s="5" t="s">
        <v>2915</v>
      </c>
      <c r="H550" s="74">
        <v>0</v>
      </c>
      <c r="I550" s="75" t="s">
        <v>3938</v>
      </c>
      <c r="J550" s="2"/>
    </row>
    <row r="551" spans="1:10" ht="39.950000000000003" customHeight="1" x14ac:dyDescent="0.25">
      <c r="A551" s="5" t="s">
        <v>2752</v>
      </c>
      <c r="B551" s="5" t="s">
        <v>33</v>
      </c>
      <c r="C551" s="5" t="s">
        <v>2746</v>
      </c>
      <c r="D551" s="5" t="s">
        <v>2753</v>
      </c>
      <c r="E551" s="17">
        <v>342980</v>
      </c>
      <c r="F551" s="5" t="s">
        <v>2748</v>
      </c>
      <c r="G551" s="5" t="s">
        <v>2915</v>
      </c>
      <c r="H551" s="74">
        <v>0</v>
      </c>
      <c r="I551" s="75" t="s">
        <v>3938</v>
      </c>
      <c r="J551" s="2"/>
    </row>
    <row r="552" spans="1:10" ht="39.950000000000003" customHeight="1" x14ac:dyDescent="0.25">
      <c r="A552" s="5" t="s">
        <v>2755</v>
      </c>
      <c r="B552" s="5" t="s">
        <v>33</v>
      </c>
      <c r="C552" s="5" t="s">
        <v>2756</v>
      </c>
      <c r="D552" s="5" t="s">
        <v>2757</v>
      </c>
      <c r="E552" s="17">
        <v>161302.98000000001</v>
      </c>
      <c r="F552" s="5" t="s">
        <v>73</v>
      </c>
      <c r="G552" s="5" t="s">
        <v>2915</v>
      </c>
      <c r="H552" s="74">
        <v>0</v>
      </c>
      <c r="I552" s="75" t="s">
        <v>3938</v>
      </c>
      <c r="J552" s="2"/>
    </row>
    <row r="553" spans="1:10" ht="39.950000000000003" customHeight="1" x14ac:dyDescent="0.25">
      <c r="A553" s="5" t="s">
        <v>2766</v>
      </c>
      <c r="B553" s="5" t="s">
        <v>33</v>
      </c>
      <c r="C553" s="5" t="s">
        <v>2746</v>
      </c>
      <c r="D553" s="5" t="s">
        <v>2767</v>
      </c>
      <c r="E553" s="17">
        <v>356288</v>
      </c>
      <c r="F553" s="5" t="s">
        <v>2748</v>
      </c>
      <c r="G553" s="5" t="s">
        <v>2915</v>
      </c>
      <c r="H553" s="74">
        <v>0</v>
      </c>
      <c r="I553" s="75" t="s">
        <v>3938</v>
      </c>
      <c r="J553" s="2"/>
    </row>
    <row r="554" spans="1:10" ht="39.950000000000003" customHeight="1" x14ac:dyDescent="0.25">
      <c r="A554" s="5" t="s">
        <v>2769</v>
      </c>
      <c r="B554" s="5" t="s">
        <v>33</v>
      </c>
      <c r="C554" s="5" t="s">
        <v>2761</v>
      </c>
      <c r="D554" s="5" t="s">
        <v>2770</v>
      </c>
      <c r="E554" s="17">
        <v>517300</v>
      </c>
      <c r="F554" s="5" t="s">
        <v>73</v>
      </c>
      <c r="G554" s="5" t="s">
        <v>2915</v>
      </c>
      <c r="H554" s="74">
        <v>0</v>
      </c>
      <c r="I554" s="75" t="s">
        <v>3938</v>
      </c>
      <c r="J554" s="2"/>
    </row>
    <row r="555" spans="1:10" ht="39.950000000000003" customHeight="1" x14ac:dyDescent="0.25">
      <c r="A555" s="5" t="s">
        <v>2771</v>
      </c>
      <c r="B555" s="5" t="s">
        <v>33</v>
      </c>
      <c r="C555" s="5" t="s">
        <v>2761</v>
      </c>
      <c r="D555" s="5" t="s">
        <v>2772</v>
      </c>
      <c r="E555" s="17">
        <v>472580</v>
      </c>
      <c r="F555" s="5" t="s">
        <v>73</v>
      </c>
      <c r="G555" s="5" t="s">
        <v>2915</v>
      </c>
      <c r="H555" s="74">
        <v>0</v>
      </c>
      <c r="I555" s="75" t="s">
        <v>3938</v>
      </c>
      <c r="J555" s="2"/>
    </row>
    <row r="556" spans="1:10" ht="39.950000000000003" customHeight="1" x14ac:dyDescent="0.25">
      <c r="A556" s="5" t="s">
        <v>2773</v>
      </c>
      <c r="B556" s="5" t="s">
        <v>33</v>
      </c>
      <c r="C556" s="5" t="s">
        <v>2774</v>
      </c>
      <c r="D556" s="5" t="s">
        <v>2775</v>
      </c>
      <c r="E556" s="17">
        <v>811992.39</v>
      </c>
      <c r="F556" s="5" t="s">
        <v>73</v>
      </c>
      <c r="G556" s="5" t="s">
        <v>2915</v>
      </c>
      <c r="H556" s="74">
        <v>0</v>
      </c>
      <c r="I556" s="75" t="s">
        <v>3938</v>
      </c>
      <c r="J556" s="2"/>
    </row>
    <row r="557" spans="1:10" ht="39.950000000000003" customHeight="1" x14ac:dyDescent="0.25">
      <c r="A557" s="5" t="s">
        <v>2778</v>
      </c>
      <c r="B557" s="5" t="s">
        <v>33</v>
      </c>
      <c r="C557" s="5" t="s">
        <v>2779</v>
      </c>
      <c r="D557" s="5" t="s">
        <v>2780</v>
      </c>
      <c r="E557" s="17">
        <v>780717.03</v>
      </c>
      <c r="F557" s="5" t="s">
        <v>73</v>
      </c>
      <c r="G557" s="5" t="s">
        <v>2915</v>
      </c>
      <c r="H557" s="74">
        <v>0</v>
      </c>
      <c r="I557" s="75" t="s">
        <v>3938</v>
      </c>
      <c r="J557" s="2"/>
    </row>
    <row r="558" spans="1:10" ht="39.950000000000003" customHeight="1" x14ac:dyDescent="0.25">
      <c r="A558" s="5" t="s">
        <v>2783</v>
      </c>
      <c r="B558" s="5" t="s">
        <v>33</v>
      </c>
      <c r="C558" s="5" t="s">
        <v>2779</v>
      </c>
      <c r="D558" s="5" t="s">
        <v>2784</v>
      </c>
      <c r="E558" s="17">
        <v>780717.03</v>
      </c>
      <c r="F558" s="5" t="s">
        <v>73</v>
      </c>
      <c r="G558" s="5" t="s">
        <v>2915</v>
      </c>
      <c r="H558" s="74">
        <v>0</v>
      </c>
      <c r="I558" s="75" t="s">
        <v>3938</v>
      </c>
      <c r="J558" s="2"/>
    </row>
    <row r="559" spans="1:10" ht="39.950000000000003" customHeight="1" x14ac:dyDescent="0.25">
      <c r="A559" s="5" t="s">
        <v>2785</v>
      </c>
      <c r="B559" s="5" t="s">
        <v>33</v>
      </c>
      <c r="C559" s="5" t="s">
        <v>2786</v>
      </c>
      <c r="D559" s="5" t="s">
        <v>2787</v>
      </c>
      <c r="E559" s="17">
        <v>845957.38</v>
      </c>
      <c r="F559" s="5" t="s">
        <v>73</v>
      </c>
      <c r="G559" s="5" t="s">
        <v>2915</v>
      </c>
      <c r="H559" s="74">
        <v>0</v>
      </c>
      <c r="I559" s="75" t="s">
        <v>3938</v>
      </c>
      <c r="J559" s="2"/>
    </row>
    <row r="560" spans="1:10" ht="39.950000000000003" customHeight="1" x14ac:dyDescent="0.25">
      <c r="A560" s="5" t="s">
        <v>2827</v>
      </c>
      <c r="B560" s="5" t="s">
        <v>33</v>
      </c>
      <c r="C560" s="5" t="s">
        <v>2828</v>
      </c>
      <c r="D560" s="5" t="s">
        <v>2808</v>
      </c>
      <c r="E560" s="17">
        <v>367680</v>
      </c>
      <c r="F560" s="5" t="s">
        <v>73</v>
      </c>
      <c r="G560" s="5" t="s">
        <v>2915</v>
      </c>
      <c r="H560" s="74">
        <v>0</v>
      </c>
      <c r="I560" s="75" t="s">
        <v>3938</v>
      </c>
      <c r="J560" s="2"/>
    </row>
    <row r="561" spans="1:10" ht="39.950000000000003" customHeight="1" x14ac:dyDescent="0.25">
      <c r="A561" s="5" t="s">
        <v>2831</v>
      </c>
      <c r="B561" s="5" t="s">
        <v>51</v>
      </c>
      <c r="C561" s="5" t="s">
        <v>2832</v>
      </c>
      <c r="D561" s="5" t="s">
        <v>2833</v>
      </c>
      <c r="E561" s="33">
        <v>265000</v>
      </c>
      <c r="F561" s="13" t="s">
        <v>2834</v>
      </c>
      <c r="G561" s="5" t="s">
        <v>2915</v>
      </c>
      <c r="H561" s="74">
        <v>0</v>
      </c>
      <c r="I561" s="75" t="s">
        <v>3938</v>
      </c>
      <c r="J561" s="2"/>
    </row>
    <row r="562" spans="1:10" ht="39.950000000000003" customHeight="1" x14ac:dyDescent="0.25">
      <c r="A562" s="5" t="s">
        <v>2837</v>
      </c>
      <c r="B562" s="5" t="s">
        <v>33</v>
      </c>
      <c r="C562" s="5" t="s">
        <v>2838</v>
      </c>
      <c r="D562" s="5" t="s">
        <v>2839</v>
      </c>
      <c r="E562" s="17">
        <v>1819351.32</v>
      </c>
      <c r="F562" s="5" t="s">
        <v>73</v>
      </c>
      <c r="G562" s="5" t="s">
        <v>419</v>
      </c>
      <c r="H562" s="74">
        <v>0</v>
      </c>
      <c r="I562" s="75" t="s">
        <v>3938</v>
      </c>
      <c r="J562" s="2"/>
    </row>
    <row r="563" spans="1:10" ht="39.950000000000003" customHeight="1" x14ac:dyDescent="0.25">
      <c r="A563" s="5" t="s">
        <v>2842</v>
      </c>
      <c r="B563" s="5" t="s">
        <v>33</v>
      </c>
      <c r="C563" s="5" t="s">
        <v>2843</v>
      </c>
      <c r="D563" s="5" t="s">
        <v>2844</v>
      </c>
      <c r="E563" s="17">
        <v>1134197.56</v>
      </c>
      <c r="F563" s="5" t="s">
        <v>73</v>
      </c>
      <c r="G563" s="5" t="s">
        <v>2915</v>
      </c>
      <c r="H563" s="74">
        <v>0</v>
      </c>
      <c r="I563" s="75" t="s">
        <v>3938</v>
      </c>
      <c r="J563" s="2"/>
    </row>
    <row r="564" spans="1:10" ht="39.950000000000003" customHeight="1" x14ac:dyDescent="0.25">
      <c r="A564" s="5" t="s">
        <v>2847</v>
      </c>
      <c r="B564" s="5" t="s">
        <v>33</v>
      </c>
      <c r="C564" s="5" t="s">
        <v>2848</v>
      </c>
      <c r="D564" s="5" t="s">
        <v>2849</v>
      </c>
      <c r="E564" s="17">
        <v>1214351.32</v>
      </c>
      <c r="F564" s="5" t="s">
        <v>73</v>
      </c>
      <c r="G564" s="5" t="s">
        <v>419</v>
      </c>
      <c r="H564" s="74">
        <v>0</v>
      </c>
      <c r="I564" s="75" t="s">
        <v>3938</v>
      </c>
      <c r="J564" s="2"/>
    </row>
    <row r="565" spans="1:10" ht="39.950000000000003" customHeight="1" x14ac:dyDescent="0.25">
      <c r="A565" s="5" t="s">
        <v>2852</v>
      </c>
      <c r="B565" s="5" t="s">
        <v>33</v>
      </c>
      <c r="C565" s="5" t="s">
        <v>2853</v>
      </c>
      <c r="D565" s="5" t="s">
        <v>2854</v>
      </c>
      <c r="E565" s="17">
        <v>1819351.32</v>
      </c>
      <c r="F565" s="5" t="s">
        <v>73</v>
      </c>
      <c r="G565" s="5" t="s">
        <v>419</v>
      </c>
      <c r="H565" s="74">
        <v>0</v>
      </c>
      <c r="I565" s="75" t="s">
        <v>3938</v>
      </c>
      <c r="J565" s="2"/>
    </row>
    <row r="566" spans="1:10" ht="39.950000000000003" customHeight="1" x14ac:dyDescent="0.25">
      <c r="A566" s="5" t="s">
        <v>2857</v>
      </c>
      <c r="B566" s="5" t="s">
        <v>33</v>
      </c>
      <c r="C566" s="5" t="s">
        <v>2858</v>
      </c>
      <c r="D566" s="5" t="s">
        <v>2859</v>
      </c>
      <c r="E566" s="17">
        <v>1214351.32</v>
      </c>
      <c r="F566" s="5" t="s">
        <v>73</v>
      </c>
      <c r="G566" s="5" t="s">
        <v>419</v>
      </c>
      <c r="H566" s="74">
        <v>0</v>
      </c>
      <c r="I566" s="75" t="s">
        <v>3938</v>
      </c>
      <c r="J566" s="2"/>
    </row>
    <row r="567" spans="1:10" ht="39.950000000000003" customHeight="1" x14ac:dyDescent="0.25">
      <c r="A567" s="5" t="s">
        <v>2862</v>
      </c>
      <c r="B567" s="5" t="s">
        <v>33</v>
      </c>
      <c r="C567" s="5" t="s">
        <v>2863</v>
      </c>
      <c r="D567" s="5" t="s">
        <v>2864</v>
      </c>
      <c r="E567" s="17">
        <v>2500000</v>
      </c>
      <c r="F567" s="5" t="s">
        <v>73</v>
      </c>
      <c r="G567" s="5" t="s">
        <v>2915</v>
      </c>
      <c r="H567" s="74">
        <v>0</v>
      </c>
      <c r="I567" s="75" t="s">
        <v>3938</v>
      </c>
      <c r="J567" s="2"/>
    </row>
    <row r="568" spans="1:10" ht="39.950000000000003" customHeight="1" x14ac:dyDescent="0.25">
      <c r="A568" s="5" t="s">
        <v>2879</v>
      </c>
      <c r="B568" s="5" t="s">
        <v>51</v>
      </c>
      <c r="C568" s="5" t="s">
        <v>2880</v>
      </c>
      <c r="D568" s="5" t="s">
        <v>2881</v>
      </c>
      <c r="E568" s="33">
        <v>91992</v>
      </c>
      <c r="F568" s="5" t="s">
        <v>585</v>
      </c>
      <c r="G568" s="5" t="s">
        <v>2915</v>
      </c>
      <c r="H568" s="74">
        <v>0</v>
      </c>
      <c r="I568" s="75" t="s">
        <v>3938</v>
      </c>
      <c r="J568" s="2"/>
    </row>
    <row r="569" spans="1:10" ht="39.950000000000003" customHeight="1" x14ac:dyDescent="0.25">
      <c r="A569" s="5" t="s">
        <v>2884</v>
      </c>
      <c r="B569" s="5" t="s">
        <v>51</v>
      </c>
      <c r="C569" s="5" t="s">
        <v>2880</v>
      </c>
      <c r="D569" s="5" t="s">
        <v>2885</v>
      </c>
      <c r="E569" s="33">
        <v>184320</v>
      </c>
      <c r="F569" s="5" t="s">
        <v>585</v>
      </c>
      <c r="G569" s="5" t="s">
        <v>2915</v>
      </c>
      <c r="H569" s="74">
        <v>0</v>
      </c>
      <c r="I569" s="75" t="s">
        <v>3938</v>
      </c>
      <c r="J569" s="2"/>
    </row>
    <row r="570" spans="1:10" ht="39.950000000000003" customHeight="1" x14ac:dyDescent="0.25">
      <c r="A570" s="5" t="s">
        <v>2886</v>
      </c>
      <c r="B570" s="5" t="s">
        <v>51</v>
      </c>
      <c r="C570" s="5" t="s">
        <v>2880</v>
      </c>
      <c r="D570" s="5" t="s">
        <v>2887</v>
      </c>
      <c r="E570" s="33">
        <v>303333.33</v>
      </c>
      <c r="F570" s="5" t="s">
        <v>585</v>
      </c>
      <c r="G570" s="5" t="s">
        <v>2915</v>
      </c>
      <c r="H570" s="74">
        <v>0</v>
      </c>
      <c r="I570" s="75" t="s">
        <v>3938</v>
      </c>
      <c r="J570" s="2"/>
    </row>
    <row r="571" spans="1:10" ht="39.950000000000003" customHeight="1" x14ac:dyDescent="0.25">
      <c r="A571" s="5" t="s">
        <v>2893</v>
      </c>
      <c r="B571" s="5" t="s">
        <v>33</v>
      </c>
      <c r="C571" s="5" t="s">
        <v>2894</v>
      </c>
      <c r="D571" s="5" t="s">
        <v>521</v>
      </c>
      <c r="E571" s="17">
        <v>630000</v>
      </c>
      <c r="F571" s="5" t="s">
        <v>73</v>
      </c>
      <c r="G571" s="5" t="s">
        <v>2917</v>
      </c>
      <c r="H571" s="74">
        <v>0</v>
      </c>
      <c r="I571" s="75" t="s">
        <v>3938</v>
      </c>
      <c r="J571" s="2"/>
    </row>
    <row r="572" spans="1:10" ht="39.950000000000003" customHeight="1" x14ac:dyDescent="0.25">
      <c r="A572" s="5" t="s">
        <v>2897</v>
      </c>
      <c r="B572" s="5" t="s">
        <v>33</v>
      </c>
      <c r="C572" s="5" t="s">
        <v>2894</v>
      </c>
      <c r="D572" s="5" t="s">
        <v>2898</v>
      </c>
      <c r="E572" s="17">
        <v>950000</v>
      </c>
      <c r="F572" s="5" t="s">
        <v>73</v>
      </c>
      <c r="G572" s="5" t="s">
        <v>2915</v>
      </c>
      <c r="H572" s="74">
        <v>0</v>
      </c>
      <c r="I572" s="75" t="s">
        <v>3938</v>
      </c>
      <c r="J572" s="2"/>
    </row>
    <row r="573" spans="1:10" ht="39.950000000000003" customHeight="1" x14ac:dyDescent="0.25">
      <c r="A573" s="5" t="s">
        <v>2899</v>
      </c>
      <c r="B573" s="5" t="s">
        <v>33</v>
      </c>
      <c r="C573" s="5" t="s">
        <v>2900</v>
      </c>
      <c r="D573" s="5" t="s">
        <v>2901</v>
      </c>
      <c r="E573" s="17">
        <v>0</v>
      </c>
      <c r="F573" s="5" t="s">
        <v>73</v>
      </c>
      <c r="G573" s="5" t="s">
        <v>2915</v>
      </c>
      <c r="H573" s="74">
        <v>0</v>
      </c>
      <c r="I573" s="75" t="s">
        <v>3938</v>
      </c>
      <c r="J573" s="2"/>
    </row>
    <row r="574" spans="1:10" ht="39.950000000000003" customHeight="1" x14ac:dyDescent="0.25">
      <c r="A574" s="5" t="s">
        <v>1968</v>
      </c>
      <c r="B574" s="5" t="s">
        <v>51</v>
      </c>
      <c r="C574" s="5" t="s">
        <v>726</v>
      </c>
      <c r="D574" s="5" t="s">
        <v>1969</v>
      </c>
      <c r="E574" s="33">
        <v>132794.13</v>
      </c>
      <c r="F574" s="13" t="s">
        <v>728</v>
      </c>
      <c r="G574" s="13" t="s">
        <v>2918</v>
      </c>
      <c r="H574" s="74">
        <v>0</v>
      </c>
      <c r="I574" s="75" t="s">
        <v>3938</v>
      </c>
      <c r="J574" s="2"/>
    </row>
    <row r="576" spans="1:10" ht="21" x14ac:dyDescent="0.35">
      <c r="A576" s="80" t="s">
        <v>3939</v>
      </c>
    </row>
    <row r="577" spans="1:10" ht="30" x14ac:dyDescent="0.25">
      <c r="A577" s="4" t="s">
        <v>2</v>
      </c>
      <c r="B577" s="4" t="s">
        <v>3</v>
      </c>
      <c r="C577" s="4" t="s">
        <v>4</v>
      </c>
      <c r="D577" s="4" t="s">
        <v>5</v>
      </c>
      <c r="E577" s="4" t="s">
        <v>7</v>
      </c>
      <c r="F577" s="4" t="s">
        <v>8</v>
      </c>
      <c r="G577" s="4" t="s">
        <v>14</v>
      </c>
      <c r="H577" s="4" t="s">
        <v>30</v>
      </c>
      <c r="I577" s="4" t="s">
        <v>31</v>
      </c>
      <c r="J577" s="2"/>
    </row>
    <row r="578" spans="1:10" ht="39.950000000000003" customHeight="1" x14ac:dyDescent="0.25">
      <c r="A578" s="5" t="s">
        <v>219</v>
      </c>
      <c r="B578" s="5" t="s">
        <v>51</v>
      </c>
      <c r="C578" s="5" t="s">
        <v>220</v>
      </c>
      <c r="D578" s="5" t="s">
        <v>221</v>
      </c>
      <c r="E578" s="17">
        <v>610060.4</v>
      </c>
      <c r="F578" s="5" t="s">
        <v>222</v>
      </c>
      <c r="G578" s="14" t="s">
        <v>2919</v>
      </c>
      <c r="H578" s="1">
        <v>0</v>
      </c>
      <c r="I578" s="11" t="s">
        <v>3938</v>
      </c>
      <c r="J578" s="2"/>
    </row>
    <row r="579" spans="1:10" ht="39.950000000000003" customHeight="1" x14ac:dyDescent="0.25">
      <c r="A579" s="5" t="s">
        <v>228</v>
      </c>
      <c r="B579" s="5" t="s">
        <v>51</v>
      </c>
      <c r="C579" s="5" t="s">
        <v>220</v>
      </c>
      <c r="D579" s="5" t="s">
        <v>229</v>
      </c>
      <c r="E579" s="17">
        <v>160528.4</v>
      </c>
      <c r="F579" s="5" t="s">
        <v>222</v>
      </c>
      <c r="G579" s="14" t="s">
        <v>2919</v>
      </c>
      <c r="H579" s="1">
        <v>0</v>
      </c>
      <c r="I579" s="11" t="s">
        <v>3938</v>
      </c>
      <c r="J579" s="2"/>
    </row>
    <row r="580" spans="1:10" ht="39.950000000000003" customHeight="1" x14ac:dyDescent="0.25">
      <c r="A580" s="5" t="s">
        <v>266</v>
      </c>
      <c r="B580" s="5" t="s">
        <v>33</v>
      </c>
      <c r="C580" s="5" t="s">
        <v>267</v>
      </c>
      <c r="D580" s="5" t="s">
        <v>268</v>
      </c>
      <c r="E580" s="17">
        <v>180000</v>
      </c>
      <c r="F580" s="5" t="s">
        <v>269</v>
      </c>
      <c r="G580" s="5" t="s">
        <v>2920</v>
      </c>
      <c r="H580" s="1">
        <v>0</v>
      </c>
      <c r="I580" s="11" t="s">
        <v>3938</v>
      </c>
      <c r="J580" s="2"/>
    </row>
    <row r="581" spans="1:10" ht="39.950000000000003" customHeight="1" x14ac:dyDescent="0.25">
      <c r="A581" s="5" t="s">
        <v>317</v>
      </c>
      <c r="B581" s="5" t="s">
        <v>51</v>
      </c>
      <c r="C581" s="5" t="s">
        <v>318</v>
      </c>
      <c r="D581" s="5" t="s">
        <v>319</v>
      </c>
      <c r="E581" s="17">
        <v>331000</v>
      </c>
      <c r="F581" s="5" t="s">
        <v>320</v>
      </c>
      <c r="G581" s="14" t="s">
        <v>2919</v>
      </c>
      <c r="H581" s="1">
        <v>0</v>
      </c>
      <c r="I581" s="11" t="s">
        <v>3938</v>
      </c>
      <c r="J581" s="2"/>
    </row>
    <row r="582" spans="1:10" ht="39.950000000000003" customHeight="1" x14ac:dyDescent="0.25">
      <c r="A582" s="5" t="s">
        <v>428</v>
      </c>
      <c r="B582" s="5" t="s">
        <v>33</v>
      </c>
      <c r="C582" s="5" t="s">
        <v>429</v>
      </c>
      <c r="D582" s="5" t="s">
        <v>430</v>
      </c>
      <c r="E582" s="17">
        <v>390000</v>
      </c>
      <c r="F582" s="5" t="s">
        <v>425</v>
      </c>
      <c r="G582" s="5" t="s">
        <v>2921</v>
      </c>
      <c r="H582" s="1">
        <v>0</v>
      </c>
      <c r="I582" s="11" t="s">
        <v>3938</v>
      </c>
      <c r="J582" s="2"/>
    </row>
    <row r="583" spans="1:10" ht="39.950000000000003" customHeight="1" x14ac:dyDescent="0.25">
      <c r="A583" s="13" t="s">
        <v>507</v>
      </c>
      <c r="B583" s="5" t="s">
        <v>51</v>
      </c>
      <c r="C583" s="13" t="s">
        <v>508</v>
      </c>
      <c r="D583" s="14" t="s">
        <v>509</v>
      </c>
      <c r="E583" s="33">
        <v>394820</v>
      </c>
      <c r="F583" s="29" t="s">
        <v>510</v>
      </c>
      <c r="G583" s="14" t="s">
        <v>2919</v>
      </c>
      <c r="H583" s="1">
        <v>0</v>
      </c>
      <c r="I583" s="11" t="s">
        <v>3938</v>
      </c>
      <c r="J583" s="2"/>
    </row>
    <row r="584" spans="1:10" ht="39.950000000000003" customHeight="1" x14ac:dyDescent="0.25">
      <c r="A584" s="9" t="s">
        <v>593</v>
      </c>
      <c r="B584" s="5" t="s">
        <v>51</v>
      </c>
      <c r="C584" s="13" t="s">
        <v>594</v>
      </c>
      <c r="D584" s="14" t="s">
        <v>595</v>
      </c>
      <c r="E584" s="33">
        <v>3700000</v>
      </c>
      <c r="F584" s="29" t="s">
        <v>596</v>
      </c>
      <c r="G584" s="14" t="s">
        <v>2922</v>
      </c>
      <c r="H584" s="1">
        <v>0</v>
      </c>
      <c r="I584" s="11" t="s">
        <v>3938</v>
      </c>
      <c r="J584" s="2"/>
    </row>
    <row r="585" spans="1:10" ht="39.950000000000003" customHeight="1" x14ac:dyDescent="0.25">
      <c r="A585" s="5" t="s">
        <v>618</v>
      </c>
      <c r="B585" s="5" t="s">
        <v>33</v>
      </c>
      <c r="C585" s="5" t="s">
        <v>614</v>
      </c>
      <c r="D585" s="5" t="s">
        <v>619</v>
      </c>
      <c r="E585" s="17">
        <v>2596552.2200000002</v>
      </c>
      <c r="F585" s="5" t="s">
        <v>596</v>
      </c>
      <c r="G585" s="14" t="s">
        <v>2919</v>
      </c>
      <c r="H585" s="1">
        <v>0</v>
      </c>
      <c r="I585" s="11" t="s">
        <v>3938</v>
      </c>
      <c r="J585" s="2"/>
    </row>
    <row r="586" spans="1:10" ht="39.950000000000003" customHeight="1" x14ac:dyDescent="0.25">
      <c r="A586" s="60" t="s">
        <v>664</v>
      </c>
      <c r="B586" s="5" t="s">
        <v>33</v>
      </c>
      <c r="C586" s="5" t="s">
        <v>658</v>
      </c>
      <c r="D586" s="5" t="s">
        <v>665</v>
      </c>
      <c r="E586" s="17">
        <v>752776.94</v>
      </c>
      <c r="F586" s="5" t="s">
        <v>73</v>
      </c>
      <c r="G586" s="5" t="s">
        <v>2923</v>
      </c>
      <c r="H586" s="1">
        <v>0</v>
      </c>
      <c r="I586" s="11" t="s">
        <v>3938</v>
      </c>
      <c r="J586" s="2"/>
    </row>
    <row r="587" spans="1:10" ht="39.950000000000003" customHeight="1" x14ac:dyDescent="0.25">
      <c r="A587" s="5" t="s">
        <v>856</v>
      </c>
      <c r="B587" s="5" t="s">
        <v>33</v>
      </c>
      <c r="C587" s="5" t="s">
        <v>857</v>
      </c>
      <c r="D587" s="5" t="s">
        <v>858</v>
      </c>
      <c r="E587" s="17">
        <v>328228.65999999997</v>
      </c>
      <c r="F587" s="5" t="s">
        <v>859</v>
      </c>
      <c r="G587" s="14" t="s">
        <v>2919</v>
      </c>
      <c r="H587" s="1">
        <v>0</v>
      </c>
      <c r="I587" s="11" t="s">
        <v>3938</v>
      </c>
      <c r="J587" s="2"/>
    </row>
    <row r="588" spans="1:10" ht="39.950000000000003" customHeight="1" x14ac:dyDescent="0.25">
      <c r="A588" s="13" t="s">
        <v>887</v>
      </c>
      <c r="B588" s="5" t="s">
        <v>51</v>
      </c>
      <c r="C588" s="13" t="s">
        <v>888</v>
      </c>
      <c r="D588" s="14" t="s">
        <v>889</v>
      </c>
      <c r="E588" s="33">
        <v>431920.31</v>
      </c>
      <c r="F588" s="29" t="s">
        <v>890</v>
      </c>
      <c r="G588" s="14" t="s">
        <v>2922</v>
      </c>
      <c r="H588" s="1">
        <v>0</v>
      </c>
      <c r="I588" s="11" t="s">
        <v>3938</v>
      </c>
      <c r="J588" s="2"/>
    </row>
    <row r="589" spans="1:10" ht="39.950000000000003" customHeight="1" x14ac:dyDescent="0.25">
      <c r="A589" s="5" t="s">
        <v>924</v>
      </c>
      <c r="B589" s="5" t="s">
        <v>33</v>
      </c>
      <c r="C589" s="5" t="s">
        <v>172</v>
      </c>
      <c r="D589" s="5" t="s">
        <v>925</v>
      </c>
      <c r="E589" s="17">
        <v>1211418</v>
      </c>
      <c r="F589" s="5" t="s">
        <v>926</v>
      </c>
      <c r="G589" s="14" t="s">
        <v>2922</v>
      </c>
      <c r="H589" s="1">
        <v>0</v>
      </c>
      <c r="I589" s="11" t="s">
        <v>3938</v>
      </c>
      <c r="J589" s="2"/>
    </row>
    <row r="590" spans="1:10" ht="39.950000000000003" customHeight="1" x14ac:dyDescent="0.25">
      <c r="A590" s="9" t="s">
        <v>941</v>
      </c>
      <c r="B590" s="5" t="s">
        <v>51</v>
      </c>
      <c r="C590" s="5" t="s">
        <v>942</v>
      </c>
      <c r="D590" s="73" t="s">
        <v>943</v>
      </c>
      <c r="E590" s="33">
        <v>164270</v>
      </c>
      <c r="F590" s="73" t="s">
        <v>944</v>
      </c>
      <c r="G590" s="14" t="s">
        <v>947</v>
      </c>
      <c r="H590" s="1">
        <v>0</v>
      </c>
      <c r="I590" s="11" t="s">
        <v>3938</v>
      </c>
      <c r="J590" s="2"/>
    </row>
    <row r="591" spans="1:10" ht="39.950000000000003" customHeight="1" x14ac:dyDescent="0.25">
      <c r="A591" s="60" t="s">
        <v>948</v>
      </c>
      <c r="B591" s="5" t="s">
        <v>33</v>
      </c>
      <c r="C591" s="5" t="s">
        <v>949</v>
      </c>
      <c r="D591" s="5" t="s">
        <v>950</v>
      </c>
      <c r="E591" s="17">
        <v>0</v>
      </c>
      <c r="F591" s="5" t="s">
        <v>944</v>
      </c>
      <c r="G591" s="5" t="s">
        <v>2924</v>
      </c>
      <c r="H591" s="1">
        <v>0</v>
      </c>
      <c r="I591" s="11" t="s">
        <v>3938</v>
      </c>
      <c r="J591" s="2"/>
    </row>
    <row r="592" spans="1:10" ht="39.950000000000003" customHeight="1" x14ac:dyDescent="0.25">
      <c r="A592" s="5" t="s">
        <v>1026</v>
      </c>
      <c r="B592" s="5" t="s">
        <v>33</v>
      </c>
      <c r="C592" s="5" t="s">
        <v>1021</v>
      </c>
      <c r="D592" s="5" t="s">
        <v>1027</v>
      </c>
      <c r="E592" s="17">
        <v>984524.16</v>
      </c>
      <c r="F592" s="5" t="s">
        <v>1023</v>
      </c>
      <c r="G592" s="14" t="s">
        <v>2919</v>
      </c>
      <c r="H592" s="1">
        <v>0</v>
      </c>
      <c r="I592" s="11" t="s">
        <v>3938</v>
      </c>
      <c r="J592" s="2"/>
    </row>
    <row r="593" spans="1:10" ht="39.950000000000003" customHeight="1" x14ac:dyDescent="0.25">
      <c r="A593" s="5" t="s">
        <v>1115</v>
      </c>
      <c r="B593" s="5" t="s">
        <v>33</v>
      </c>
      <c r="C593" s="5" t="s">
        <v>1116</v>
      </c>
      <c r="D593" s="5" t="s">
        <v>1117</v>
      </c>
      <c r="E593" s="17">
        <v>300000</v>
      </c>
      <c r="F593" s="5" t="s">
        <v>1118</v>
      </c>
      <c r="G593" s="14" t="s">
        <v>2922</v>
      </c>
      <c r="H593" s="1">
        <v>0</v>
      </c>
      <c r="I593" s="11" t="s">
        <v>3938</v>
      </c>
      <c r="J593" s="2"/>
    </row>
    <row r="594" spans="1:10" ht="39.950000000000003" customHeight="1" x14ac:dyDescent="0.25">
      <c r="A594" s="5" t="s">
        <v>1133</v>
      </c>
      <c r="B594" s="5" t="s">
        <v>33</v>
      </c>
      <c r="C594" s="5"/>
      <c r="D594" s="5" t="s">
        <v>1134</v>
      </c>
      <c r="E594" s="17">
        <v>293916.67</v>
      </c>
      <c r="F594" s="5" t="s">
        <v>859</v>
      </c>
      <c r="G594" s="14" t="s">
        <v>2919</v>
      </c>
      <c r="H594" s="1">
        <v>0</v>
      </c>
      <c r="I594" s="11" t="s">
        <v>3938</v>
      </c>
      <c r="J594" s="2"/>
    </row>
    <row r="595" spans="1:10" ht="39.950000000000003" customHeight="1" x14ac:dyDescent="0.25">
      <c r="A595" s="5" t="s">
        <v>1158</v>
      </c>
      <c r="B595" s="5" t="s">
        <v>33</v>
      </c>
      <c r="C595" s="5" t="s">
        <v>145</v>
      </c>
      <c r="D595" s="5" t="s">
        <v>1159</v>
      </c>
      <c r="E595" s="17">
        <v>2142000</v>
      </c>
      <c r="F595" s="5" t="s">
        <v>147</v>
      </c>
      <c r="G595" s="14" t="s">
        <v>2922</v>
      </c>
      <c r="H595" s="1">
        <v>0</v>
      </c>
      <c r="I595" s="11" t="s">
        <v>3938</v>
      </c>
      <c r="J595" s="2"/>
    </row>
    <row r="596" spans="1:10" ht="39.950000000000003" customHeight="1" x14ac:dyDescent="0.25">
      <c r="A596" s="5" t="s">
        <v>1163</v>
      </c>
      <c r="B596" s="5" t="s">
        <v>33</v>
      </c>
      <c r="C596" s="5" t="s">
        <v>1164</v>
      </c>
      <c r="D596" s="5" t="s">
        <v>1165</v>
      </c>
      <c r="E596" s="17">
        <v>800000</v>
      </c>
      <c r="F596" s="5" t="s">
        <v>290</v>
      </c>
      <c r="G596" s="14" t="s">
        <v>2922</v>
      </c>
      <c r="H596" s="1">
        <v>0</v>
      </c>
      <c r="I596" s="11" t="s">
        <v>3938</v>
      </c>
      <c r="J596" s="2"/>
    </row>
    <row r="597" spans="1:10" ht="39.950000000000003" customHeight="1" x14ac:dyDescent="0.25">
      <c r="A597" s="5" t="s">
        <v>1174</v>
      </c>
      <c r="B597" s="5" t="s">
        <v>33</v>
      </c>
      <c r="C597" s="5" t="s">
        <v>1169</v>
      </c>
      <c r="D597" s="5" t="s">
        <v>1175</v>
      </c>
      <c r="E597" s="17">
        <v>2500000</v>
      </c>
      <c r="F597" s="5" t="s">
        <v>1171</v>
      </c>
      <c r="G597" s="14" t="s">
        <v>2922</v>
      </c>
      <c r="H597" s="1">
        <v>0</v>
      </c>
      <c r="I597" s="11" t="s">
        <v>3938</v>
      </c>
      <c r="J597" s="2"/>
    </row>
    <row r="598" spans="1:10" ht="39.950000000000003" customHeight="1" x14ac:dyDescent="0.25">
      <c r="A598" s="13" t="s">
        <v>1217</v>
      </c>
      <c r="B598" s="5" t="s">
        <v>51</v>
      </c>
      <c r="C598" s="13" t="s">
        <v>1218</v>
      </c>
      <c r="D598" s="14" t="s">
        <v>1219</v>
      </c>
      <c r="E598" s="33">
        <v>500000</v>
      </c>
      <c r="F598" s="13" t="s">
        <v>1220</v>
      </c>
      <c r="G598" s="14" t="s">
        <v>2919</v>
      </c>
      <c r="H598" s="1">
        <v>0</v>
      </c>
      <c r="I598" s="11" t="s">
        <v>3938</v>
      </c>
      <c r="J598" s="2"/>
    </row>
    <row r="599" spans="1:10" ht="39.950000000000003" customHeight="1" x14ac:dyDescent="0.25">
      <c r="A599" s="13" t="s">
        <v>1223</v>
      </c>
      <c r="B599" s="5" t="s">
        <v>51</v>
      </c>
      <c r="C599" s="13" t="s">
        <v>1218</v>
      </c>
      <c r="D599" s="13" t="s">
        <v>1224</v>
      </c>
      <c r="E599" s="33">
        <v>900000</v>
      </c>
      <c r="F599" s="13" t="s">
        <v>1220</v>
      </c>
      <c r="G599" s="14" t="s">
        <v>2922</v>
      </c>
      <c r="H599" s="1">
        <v>0</v>
      </c>
      <c r="I599" s="11" t="s">
        <v>3938</v>
      </c>
      <c r="J599" s="2"/>
    </row>
    <row r="600" spans="1:10" ht="39.950000000000003" customHeight="1" x14ac:dyDescent="0.25">
      <c r="A600" s="13" t="s">
        <v>1272</v>
      </c>
      <c r="B600" s="5" t="s">
        <v>51</v>
      </c>
      <c r="C600" s="13" t="s">
        <v>1273</v>
      </c>
      <c r="D600" s="13" t="s">
        <v>1274</v>
      </c>
      <c r="E600" s="33">
        <v>400000</v>
      </c>
      <c r="F600" s="13" t="s">
        <v>1275</v>
      </c>
      <c r="G600" s="5" t="s">
        <v>2925</v>
      </c>
      <c r="H600" s="1">
        <v>0</v>
      </c>
      <c r="I600" s="11" t="s">
        <v>3938</v>
      </c>
      <c r="J600" s="2"/>
    </row>
    <row r="601" spans="1:10" ht="39.950000000000003" customHeight="1" x14ac:dyDescent="0.25">
      <c r="A601" s="13" t="s">
        <v>1303</v>
      </c>
      <c r="B601" s="5" t="s">
        <v>51</v>
      </c>
      <c r="C601" s="13" t="s">
        <v>1304</v>
      </c>
      <c r="D601" s="13" t="s">
        <v>1305</v>
      </c>
      <c r="E601" s="33">
        <v>500000</v>
      </c>
      <c r="F601" s="13" t="s">
        <v>1306</v>
      </c>
      <c r="G601" s="5" t="s">
        <v>2919</v>
      </c>
      <c r="H601" s="1">
        <v>0</v>
      </c>
      <c r="I601" s="11" t="s">
        <v>3938</v>
      </c>
      <c r="J601" s="2"/>
    </row>
    <row r="602" spans="1:10" ht="39.950000000000003" customHeight="1" x14ac:dyDescent="0.25">
      <c r="A602" s="13" t="s">
        <v>1309</v>
      </c>
      <c r="B602" s="5" t="s">
        <v>51</v>
      </c>
      <c r="C602" s="13" t="s">
        <v>1310</v>
      </c>
      <c r="D602" s="13" t="s">
        <v>1311</v>
      </c>
      <c r="E602" s="33">
        <v>1050000</v>
      </c>
      <c r="F602" s="13" t="s">
        <v>1312</v>
      </c>
      <c r="G602" s="5" t="s">
        <v>2926</v>
      </c>
      <c r="H602" s="1">
        <v>0</v>
      </c>
      <c r="I602" s="11" t="s">
        <v>3938</v>
      </c>
      <c r="J602" s="2"/>
    </row>
    <row r="603" spans="1:10" ht="39.950000000000003" customHeight="1" x14ac:dyDescent="0.25">
      <c r="A603" s="13" t="s">
        <v>1322</v>
      </c>
      <c r="B603" s="5" t="s">
        <v>51</v>
      </c>
      <c r="C603" s="13" t="s">
        <v>1304</v>
      </c>
      <c r="D603" s="13" t="s">
        <v>820</v>
      </c>
      <c r="E603" s="33">
        <v>1350000</v>
      </c>
      <c r="F603" s="13" t="s">
        <v>1306</v>
      </c>
      <c r="G603" s="5" t="s">
        <v>2922</v>
      </c>
      <c r="H603" s="1">
        <v>0</v>
      </c>
      <c r="I603" s="11" t="s">
        <v>3938</v>
      </c>
      <c r="J603" s="2"/>
    </row>
    <row r="604" spans="1:10" ht="39.950000000000003" customHeight="1" x14ac:dyDescent="0.25">
      <c r="A604" s="5" t="s">
        <v>1339</v>
      </c>
      <c r="B604" s="5" t="s">
        <v>33</v>
      </c>
      <c r="C604" s="5" t="s">
        <v>1340</v>
      </c>
      <c r="D604" s="5" t="s">
        <v>1341</v>
      </c>
      <c r="E604" s="17">
        <v>382200</v>
      </c>
      <c r="F604" s="5" t="s">
        <v>1342</v>
      </c>
      <c r="G604" s="5" t="s">
        <v>2919</v>
      </c>
      <c r="H604" s="1">
        <v>0</v>
      </c>
      <c r="I604" s="11" t="s">
        <v>3938</v>
      </c>
      <c r="J604" s="2"/>
    </row>
    <row r="605" spans="1:10" ht="39.950000000000003" customHeight="1" x14ac:dyDescent="0.25">
      <c r="A605" s="5" t="s">
        <v>1411</v>
      </c>
      <c r="B605" s="5" t="s">
        <v>33</v>
      </c>
      <c r="C605" s="5" t="s">
        <v>1412</v>
      </c>
      <c r="D605" s="5" t="s">
        <v>458</v>
      </c>
      <c r="E605" s="17">
        <v>1720000</v>
      </c>
      <c r="F605" s="5" t="s">
        <v>1413</v>
      </c>
      <c r="G605" s="5" t="s">
        <v>2922</v>
      </c>
      <c r="H605" s="1">
        <v>0</v>
      </c>
      <c r="I605" s="11" t="s">
        <v>3938</v>
      </c>
      <c r="J605" s="2"/>
    </row>
    <row r="606" spans="1:10" ht="39.950000000000003" customHeight="1" x14ac:dyDescent="0.25">
      <c r="A606" s="9" t="s">
        <v>1627</v>
      </c>
      <c r="B606" s="5" t="s">
        <v>51</v>
      </c>
      <c r="C606" s="13" t="s">
        <v>1628</v>
      </c>
      <c r="D606" s="14" t="s">
        <v>1629</v>
      </c>
      <c r="E606" s="33">
        <v>100000</v>
      </c>
      <c r="F606" s="13" t="s">
        <v>175</v>
      </c>
      <c r="G606" s="5" t="s">
        <v>2919</v>
      </c>
      <c r="H606" s="1">
        <v>0</v>
      </c>
      <c r="I606" s="11" t="s">
        <v>3938</v>
      </c>
      <c r="J606" s="2"/>
    </row>
    <row r="607" spans="1:10" ht="39.950000000000003" customHeight="1" x14ac:dyDescent="0.25">
      <c r="A607" s="5" t="s">
        <v>1684</v>
      </c>
      <c r="B607" s="5" t="s">
        <v>33</v>
      </c>
      <c r="C607" s="5" t="s">
        <v>1685</v>
      </c>
      <c r="D607" s="5" t="s">
        <v>1686</v>
      </c>
      <c r="E607" s="17">
        <v>314834.19</v>
      </c>
      <c r="F607" s="5" t="s">
        <v>1033</v>
      </c>
      <c r="G607" s="5" t="s">
        <v>2919</v>
      </c>
      <c r="H607" s="1">
        <v>0</v>
      </c>
      <c r="I607" s="11" t="s">
        <v>3938</v>
      </c>
      <c r="J607" s="2"/>
    </row>
    <row r="608" spans="1:10" ht="39.950000000000003" customHeight="1" x14ac:dyDescent="0.25">
      <c r="A608" s="13" t="s">
        <v>1701</v>
      </c>
      <c r="B608" s="5" t="s">
        <v>51</v>
      </c>
      <c r="C608" s="13" t="s">
        <v>1702</v>
      </c>
      <c r="D608" s="13" t="s">
        <v>1703</v>
      </c>
      <c r="E608" s="33">
        <v>335000</v>
      </c>
      <c r="F608" s="13" t="s">
        <v>1704</v>
      </c>
      <c r="G608" s="5" t="s">
        <v>2919</v>
      </c>
      <c r="H608" s="1">
        <v>0</v>
      </c>
      <c r="I608" s="11" t="s">
        <v>3938</v>
      </c>
      <c r="J608" s="2"/>
    </row>
    <row r="609" spans="1:10" ht="39.950000000000003" customHeight="1" x14ac:dyDescent="0.25">
      <c r="A609" s="9" t="s">
        <v>1808</v>
      </c>
      <c r="B609" s="5" t="s">
        <v>51</v>
      </c>
      <c r="C609" s="13" t="s">
        <v>1809</v>
      </c>
      <c r="D609" s="13" t="s">
        <v>1810</v>
      </c>
      <c r="E609" s="33">
        <v>1000000</v>
      </c>
      <c r="F609" s="13" t="s">
        <v>1214</v>
      </c>
      <c r="G609" s="5" t="s">
        <v>2919</v>
      </c>
      <c r="H609" s="1">
        <v>0</v>
      </c>
      <c r="I609" s="11" t="s">
        <v>3938</v>
      </c>
      <c r="J609" s="2"/>
    </row>
    <row r="610" spans="1:10" ht="39.950000000000003" customHeight="1" x14ac:dyDescent="0.25">
      <c r="A610" s="13" t="s">
        <v>1834</v>
      </c>
      <c r="B610" s="5" t="s">
        <v>51</v>
      </c>
      <c r="C610" s="13" t="s">
        <v>1814</v>
      </c>
      <c r="D610" s="13" t="s">
        <v>1835</v>
      </c>
      <c r="E610" s="33">
        <v>318990</v>
      </c>
      <c r="F610" s="13" t="s">
        <v>859</v>
      </c>
      <c r="G610" s="5" t="s">
        <v>2919</v>
      </c>
      <c r="H610" s="1">
        <v>0</v>
      </c>
      <c r="I610" s="11" t="s">
        <v>3938</v>
      </c>
      <c r="J610" s="2"/>
    </row>
    <row r="611" spans="1:10" ht="39.950000000000003" customHeight="1" x14ac:dyDescent="0.25">
      <c r="A611" s="13" t="s">
        <v>1838</v>
      </c>
      <c r="B611" s="5" t="s">
        <v>51</v>
      </c>
      <c r="C611" s="13" t="s">
        <v>1814</v>
      </c>
      <c r="D611" s="13" t="s">
        <v>1839</v>
      </c>
      <c r="E611" s="33">
        <v>1000000</v>
      </c>
      <c r="F611" s="13" t="s">
        <v>859</v>
      </c>
      <c r="G611" s="5" t="s">
        <v>2922</v>
      </c>
      <c r="H611" s="1">
        <v>0</v>
      </c>
      <c r="I611" s="11" t="s">
        <v>3938</v>
      </c>
      <c r="J611" s="2"/>
    </row>
    <row r="612" spans="1:10" ht="39.950000000000003" customHeight="1" x14ac:dyDescent="0.25">
      <c r="A612" s="5" t="s">
        <v>1862</v>
      </c>
      <c r="B612" s="5" t="s">
        <v>33</v>
      </c>
      <c r="C612" s="5" t="s">
        <v>1858</v>
      </c>
      <c r="D612" s="5" t="s">
        <v>1863</v>
      </c>
      <c r="E612" s="17">
        <v>1410121.6</v>
      </c>
      <c r="F612" s="5" t="s">
        <v>538</v>
      </c>
      <c r="G612" s="5" t="s">
        <v>2922</v>
      </c>
      <c r="H612" s="1">
        <v>0</v>
      </c>
      <c r="I612" s="11" t="s">
        <v>3938</v>
      </c>
      <c r="J612" s="2"/>
    </row>
    <row r="613" spans="1:10" ht="39.950000000000003" customHeight="1" x14ac:dyDescent="0.25">
      <c r="A613" s="5" t="s">
        <v>1885</v>
      </c>
      <c r="B613" s="5" t="s">
        <v>33</v>
      </c>
      <c r="C613" s="5" t="s">
        <v>904</v>
      </c>
      <c r="D613" s="5" t="s">
        <v>1886</v>
      </c>
      <c r="E613" s="17">
        <v>105500</v>
      </c>
      <c r="F613" s="5" t="s">
        <v>1887</v>
      </c>
      <c r="G613" s="14" t="s">
        <v>2922</v>
      </c>
      <c r="H613" s="1">
        <v>0</v>
      </c>
      <c r="I613" s="11" t="s">
        <v>3938</v>
      </c>
      <c r="J613" s="2"/>
    </row>
    <row r="614" spans="1:10" ht="39.950000000000003" customHeight="1" x14ac:dyDescent="0.25">
      <c r="A614" s="5" t="s">
        <v>1911</v>
      </c>
      <c r="B614" s="5" t="s">
        <v>51</v>
      </c>
      <c r="C614" s="5" t="s">
        <v>1906</v>
      </c>
      <c r="D614" s="5" t="s">
        <v>1912</v>
      </c>
      <c r="E614" s="33">
        <v>180000</v>
      </c>
      <c r="F614" s="13" t="s">
        <v>1908</v>
      </c>
      <c r="G614" s="5" t="s">
        <v>2919</v>
      </c>
      <c r="H614" s="1">
        <v>0</v>
      </c>
      <c r="I614" s="11" t="s">
        <v>3938</v>
      </c>
      <c r="J614" s="2"/>
    </row>
    <row r="615" spans="1:10" ht="39.950000000000003" customHeight="1" x14ac:dyDescent="0.25">
      <c r="A615" s="5" t="s">
        <v>1930</v>
      </c>
      <c r="B615" s="5" t="s">
        <v>51</v>
      </c>
      <c r="C615" s="5" t="s">
        <v>1931</v>
      </c>
      <c r="D615" s="5" t="s">
        <v>1932</v>
      </c>
      <c r="E615" s="33">
        <v>350000</v>
      </c>
      <c r="F615" s="13" t="s">
        <v>1933</v>
      </c>
      <c r="G615" s="5" t="s">
        <v>2919</v>
      </c>
      <c r="H615" s="1">
        <v>0</v>
      </c>
      <c r="I615" s="11" t="s">
        <v>3938</v>
      </c>
      <c r="J615" s="2"/>
    </row>
    <row r="616" spans="1:10" ht="39.950000000000003" customHeight="1" x14ac:dyDescent="0.25">
      <c r="A616" s="5" t="s">
        <v>1977</v>
      </c>
      <c r="B616" s="5" t="s">
        <v>33</v>
      </c>
      <c r="C616" s="5" t="s">
        <v>1973</v>
      </c>
      <c r="D616" s="5" t="s">
        <v>1978</v>
      </c>
      <c r="E616" s="17">
        <v>1489280</v>
      </c>
      <c r="F616" s="5" t="s">
        <v>425</v>
      </c>
      <c r="G616" s="5" t="s">
        <v>2922</v>
      </c>
      <c r="H616" s="1">
        <v>0</v>
      </c>
      <c r="I616" s="11" t="s">
        <v>3938</v>
      </c>
      <c r="J616" s="2"/>
    </row>
    <row r="617" spans="1:10" ht="39.950000000000003" customHeight="1" x14ac:dyDescent="0.25">
      <c r="A617" s="60" t="s">
        <v>2043</v>
      </c>
      <c r="B617" s="5" t="s">
        <v>33</v>
      </c>
      <c r="C617" s="5" t="s">
        <v>2044</v>
      </c>
      <c r="D617" s="5" t="s">
        <v>2045</v>
      </c>
      <c r="E617" s="17">
        <v>430300</v>
      </c>
      <c r="F617" s="5" t="s">
        <v>73</v>
      </c>
      <c r="G617" s="5" t="s">
        <v>2919</v>
      </c>
      <c r="H617" s="1">
        <v>0</v>
      </c>
      <c r="I617" s="11" t="s">
        <v>3938</v>
      </c>
      <c r="J617" s="2"/>
    </row>
    <row r="618" spans="1:10" ht="39.950000000000003" customHeight="1" x14ac:dyDescent="0.25">
      <c r="A618" s="60" t="s">
        <v>2048</v>
      </c>
      <c r="B618" s="5" t="s">
        <v>33</v>
      </c>
      <c r="C618" s="5" t="s">
        <v>2044</v>
      </c>
      <c r="D618" s="5" t="s">
        <v>2049</v>
      </c>
      <c r="E618" s="17">
        <v>242400</v>
      </c>
      <c r="F618" s="5" t="s">
        <v>73</v>
      </c>
      <c r="G618" s="5" t="s">
        <v>2919</v>
      </c>
      <c r="H618" s="1">
        <v>0</v>
      </c>
      <c r="I618" s="11" t="s">
        <v>3938</v>
      </c>
      <c r="J618" s="2"/>
    </row>
    <row r="619" spans="1:10" ht="39.950000000000003" customHeight="1" x14ac:dyDescent="0.25">
      <c r="A619" s="60" t="s">
        <v>2050</v>
      </c>
      <c r="B619" s="5" t="s">
        <v>33</v>
      </c>
      <c r="C619" s="5" t="s">
        <v>2044</v>
      </c>
      <c r="D619" s="5" t="s">
        <v>2051</v>
      </c>
      <c r="E619" s="17">
        <v>375800</v>
      </c>
      <c r="F619" s="5" t="s">
        <v>73</v>
      </c>
      <c r="G619" s="5" t="s">
        <v>2919</v>
      </c>
      <c r="H619" s="1">
        <v>0</v>
      </c>
      <c r="I619" s="11" t="s">
        <v>3938</v>
      </c>
      <c r="J619" s="2"/>
    </row>
    <row r="620" spans="1:10" ht="39.950000000000003" customHeight="1" x14ac:dyDescent="0.25">
      <c r="A620" s="9" t="s">
        <v>2272</v>
      </c>
      <c r="B620" s="5" t="s">
        <v>51</v>
      </c>
      <c r="C620" s="13" t="s">
        <v>2273</v>
      </c>
      <c r="D620" s="13" t="s">
        <v>2274</v>
      </c>
      <c r="E620" s="33">
        <v>594499.12</v>
      </c>
      <c r="F620" s="13" t="s">
        <v>2275</v>
      </c>
      <c r="G620" s="5" t="s">
        <v>2922</v>
      </c>
      <c r="H620" s="1">
        <v>0</v>
      </c>
      <c r="I620" s="11" t="s">
        <v>3938</v>
      </c>
      <c r="J620" s="2"/>
    </row>
    <row r="621" spans="1:10" ht="39.950000000000003" customHeight="1" x14ac:dyDescent="0.25">
      <c r="A621" s="9" t="s">
        <v>2299</v>
      </c>
      <c r="B621" s="5" t="s">
        <v>51</v>
      </c>
      <c r="C621" s="13" t="s">
        <v>2300</v>
      </c>
      <c r="D621" s="14" t="s">
        <v>2301</v>
      </c>
      <c r="E621" s="33">
        <v>800000</v>
      </c>
      <c r="F621" s="13" t="s">
        <v>212</v>
      </c>
      <c r="G621" s="5" t="s">
        <v>2922</v>
      </c>
      <c r="H621" s="1">
        <v>0</v>
      </c>
      <c r="I621" s="11" t="s">
        <v>3938</v>
      </c>
      <c r="J621" s="2"/>
    </row>
    <row r="622" spans="1:10" ht="39.950000000000003" customHeight="1" x14ac:dyDescent="0.25">
      <c r="A622" s="9" t="s">
        <v>2315</v>
      </c>
      <c r="B622" s="5" t="s">
        <v>51</v>
      </c>
      <c r="C622" s="13" t="s">
        <v>2316</v>
      </c>
      <c r="D622" s="14" t="s">
        <v>2317</v>
      </c>
      <c r="E622" s="33">
        <v>450000</v>
      </c>
      <c r="F622" s="13" t="s">
        <v>2307</v>
      </c>
      <c r="G622" s="5" t="s">
        <v>2919</v>
      </c>
      <c r="H622" s="1">
        <v>0</v>
      </c>
      <c r="I622" s="11" t="s">
        <v>3938</v>
      </c>
      <c r="J622" s="2"/>
    </row>
    <row r="623" spans="1:10" ht="39.950000000000003" customHeight="1" x14ac:dyDescent="0.25">
      <c r="A623" s="5" t="s">
        <v>2341</v>
      </c>
      <c r="B623" s="5" t="s">
        <v>33</v>
      </c>
      <c r="C623" s="5" t="s">
        <v>2342</v>
      </c>
      <c r="D623" s="9" t="s">
        <v>2343</v>
      </c>
      <c r="E623" s="17">
        <v>568400</v>
      </c>
      <c r="F623" s="5" t="s">
        <v>73</v>
      </c>
      <c r="G623" s="11" t="s">
        <v>2927</v>
      </c>
      <c r="H623" s="1">
        <v>0</v>
      </c>
      <c r="I623" s="11" t="s">
        <v>3938</v>
      </c>
      <c r="J623" s="2"/>
    </row>
    <row r="624" spans="1:10" ht="39.950000000000003" customHeight="1" x14ac:dyDescent="0.25">
      <c r="A624" s="5" t="s">
        <v>2370</v>
      </c>
      <c r="B624" s="5" t="s">
        <v>51</v>
      </c>
      <c r="C624" s="5" t="s">
        <v>2371</v>
      </c>
      <c r="D624" s="5" t="s">
        <v>2372</v>
      </c>
      <c r="E624" s="33">
        <v>633863.52</v>
      </c>
      <c r="F624" s="13" t="s">
        <v>2373</v>
      </c>
      <c r="G624" s="5" t="s">
        <v>2925</v>
      </c>
      <c r="H624" s="1">
        <v>0</v>
      </c>
      <c r="I624" s="11" t="s">
        <v>3938</v>
      </c>
      <c r="J624" s="2"/>
    </row>
    <row r="625" spans="1:10" ht="39.950000000000003" customHeight="1" x14ac:dyDescent="0.25">
      <c r="A625" s="5" t="s">
        <v>2406</v>
      </c>
      <c r="B625" s="5" t="s">
        <v>33</v>
      </c>
      <c r="C625" s="5" t="s">
        <v>2407</v>
      </c>
      <c r="D625" s="5" t="s">
        <v>2408</v>
      </c>
      <c r="E625" s="17">
        <v>3500000</v>
      </c>
      <c r="F625" s="5" t="s">
        <v>73</v>
      </c>
      <c r="G625" s="5" t="s">
        <v>2922</v>
      </c>
      <c r="H625" s="1">
        <v>0</v>
      </c>
      <c r="I625" s="11" t="s">
        <v>3938</v>
      </c>
      <c r="J625" s="2"/>
    </row>
    <row r="626" spans="1:10" ht="39.950000000000003" customHeight="1" x14ac:dyDescent="0.25">
      <c r="A626" s="13" t="s">
        <v>2445</v>
      </c>
      <c r="B626" s="5" t="s">
        <v>51</v>
      </c>
      <c r="C626" s="13" t="s">
        <v>2429</v>
      </c>
      <c r="D626" s="13" t="s">
        <v>2446</v>
      </c>
      <c r="E626" s="33">
        <v>160000</v>
      </c>
      <c r="F626" s="13" t="s">
        <v>2430</v>
      </c>
      <c r="G626" s="5" t="s">
        <v>2922</v>
      </c>
      <c r="H626" s="1">
        <v>0</v>
      </c>
      <c r="I626" s="11" t="s">
        <v>3938</v>
      </c>
      <c r="J626" s="2"/>
    </row>
    <row r="627" spans="1:10" ht="39.950000000000003" customHeight="1" x14ac:dyDescent="0.25">
      <c r="A627" s="5" t="s">
        <v>2624</v>
      </c>
      <c r="B627" s="5" t="s">
        <v>33</v>
      </c>
      <c r="C627" s="5" t="s">
        <v>2625</v>
      </c>
      <c r="D627" s="5" t="s">
        <v>2626</v>
      </c>
      <c r="E627" s="17">
        <v>262359</v>
      </c>
      <c r="F627" s="5" t="s">
        <v>2627</v>
      </c>
      <c r="G627" s="5" t="s">
        <v>2922</v>
      </c>
      <c r="H627" s="1">
        <v>0</v>
      </c>
      <c r="I627" s="11" t="s">
        <v>3938</v>
      </c>
      <c r="J627" s="2"/>
    </row>
    <row r="628" spans="1:10" ht="39.950000000000003" customHeight="1" x14ac:dyDescent="0.25">
      <c r="A628" s="5" t="s">
        <v>2717</v>
      </c>
      <c r="B628" s="5" t="s">
        <v>33</v>
      </c>
      <c r="C628" s="5" t="s">
        <v>2422</v>
      </c>
      <c r="D628" s="5" t="s">
        <v>2718</v>
      </c>
      <c r="E628" s="17">
        <v>3082071.12</v>
      </c>
      <c r="F628" s="5" t="s">
        <v>201</v>
      </c>
      <c r="G628" s="5" t="s">
        <v>2928</v>
      </c>
      <c r="H628" s="1">
        <v>0</v>
      </c>
      <c r="I628" s="11" t="s">
        <v>3938</v>
      </c>
      <c r="J628" s="2"/>
    </row>
    <row r="629" spans="1:10" ht="39.950000000000003" customHeight="1" x14ac:dyDescent="0.25">
      <c r="A629" s="5" t="s">
        <v>2824</v>
      </c>
      <c r="B629" s="5" t="s">
        <v>33</v>
      </c>
      <c r="C629" s="5" t="s">
        <v>2816</v>
      </c>
      <c r="D629" s="5" t="s">
        <v>2825</v>
      </c>
      <c r="E629" s="17">
        <v>428520</v>
      </c>
      <c r="F629" s="5" t="s">
        <v>2818</v>
      </c>
      <c r="G629" s="11" t="s">
        <v>2927</v>
      </c>
      <c r="H629" s="1">
        <v>0</v>
      </c>
      <c r="I629" s="11" t="s">
        <v>3938</v>
      </c>
      <c r="J629" s="2"/>
    </row>
    <row r="630" spans="1:10" ht="39.950000000000003" customHeight="1" x14ac:dyDescent="0.25">
      <c r="A630" s="5" t="s">
        <v>2873</v>
      </c>
      <c r="B630" s="5" t="s">
        <v>33</v>
      </c>
      <c r="C630" s="5" t="s">
        <v>2868</v>
      </c>
      <c r="D630" s="5" t="s">
        <v>2874</v>
      </c>
      <c r="E630" s="17">
        <v>2034120</v>
      </c>
      <c r="F630" s="5" t="s">
        <v>73</v>
      </c>
      <c r="G630" s="5" t="s">
        <v>2929</v>
      </c>
      <c r="H630" s="1">
        <v>0</v>
      </c>
      <c r="I630" s="11" t="s">
        <v>3938</v>
      </c>
      <c r="J630" s="2"/>
    </row>
  </sheetData>
  <mergeCells count="2">
    <mergeCell ref="A1:F1"/>
    <mergeCell ref="A100:F100"/>
  </mergeCells>
  <conditionalFormatting sqref="C222:C224">
    <cfRule type="duplicateValues" dxfId="2" priority="2"/>
  </conditionalFormatting>
  <conditionalFormatting sqref="C3:C98">
    <cfRule type="duplicateValues" dxfId="1" priority="1"/>
  </conditionalFormatting>
  <conditionalFormatting sqref="C99">
    <cfRule type="duplicateValues" dxfId="0" priority="3"/>
  </conditionalFormatting>
  <hyperlinks>
    <hyperlink ref="F582" r:id="rId1" display="professorsanioto@gmail.com" xr:uid="{EB41A302-700B-4494-9280-4E02B9121C54}"/>
    <hyperlink ref="F589" r:id="rId2" display="Isvp.manduri@hotmail.com" xr:uid="{F43BFD4B-E769-4B86-8EFF-4C886F8201EE}"/>
    <hyperlink ref="F57" r:id="rId3" display="arcoirirs01.grupo21@terra.com.br" xr:uid="{02323EA0-9C00-4130-88DA-8A6D5E55D6B4}"/>
  </hyperlinks>
  <pageMargins left="0.15" right="0.13" top="0.18" bottom="0.2" header="0.17" footer="0.17"/>
  <pageSetup paperSize="9" scale="68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4D9F-E69D-4247-898D-1A752E27DA19}">
  <sheetPr filterMode="1"/>
  <dimension ref="B1:BF365"/>
  <sheetViews>
    <sheetView showGridLines="0" zoomScale="90" zoomScaleNormal="90" workbookViewId="0">
      <pane xSplit="1" ySplit="4" topLeftCell="F5" activePane="bottomRight" state="frozen"/>
      <selection pane="topRight" activeCell="L14" sqref="L14"/>
      <selection pane="bottomLeft" activeCell="L14" sqref="L14"/>
      <selection pane="bottomRight"/>
    </sheetView>
  </sheetViews>
  <sheetFormatPr defaultRowHeight="15" x14ac:dyDescent="0.25"/>
  <cols>
    <col min="1" max="1" width="3.42578125" customWidth="1"/>
    <col min="2" max="2" width="4.140625" hidden="1" customWidth="1"/>
    <col min="3" max="5" width="14.7109375" hidden="1" customWidth="1"/>
    <col min="6" max="7" width="32.140625" customWidth="1"/>
    <col min="8" max="8" width="45.5703125" hidden="1" customWidth="1"/>
    <col min="9" max="11" width="20.85546875" hidden="1" customWidth="1"/>
    <col min="12" max="12" width="24.28515625" hidden="1" customWidth="1"/>
    <col min="13" max="13" width="29.42578125" hidden="1" customWidth="1"/>
    <col min="14" max="14" width="18.140625" hidden="1" customWidth="1"/>
    <col min="15" max="15" width="14.7109375" hidden="1" customWidth="1"/>
    <col min="16" max="16" width="13.28515625" hidden="1" customWidth="1"/>
    <col min="17" max="17" width="7.140625" style="137" hidden="1" customWidth="1"/>
    <col min="18" max="18" width="17.5703125" style="137" hidden="1" customWidth="1"/>
    <col min="19" max="19" width="23.42578125" hidden="1" customWidth="1"/>
    <col min="20" max="20" width="20.7109375" hidden="1" customWidth="1"/>
    <col min="21" max="21" width="34" hidden="1" customWidth="1"/>
    <col min="22" max="22" width="7" hidden="1" customWidth="1"/>
    <col min="23" max="23" width="32.140625" hidden="1" customWidth="1"/>
    <col min="24" max="24" width="18.7109375" hidden="1" customWidth="1"/>
    <col min="25" max="25" width="20" hidden="1" customWidth="1"/>
    <col min="26" max="26" width="30.7109375" hidden="1" customWidth="1"/>
    <col min="27" max="27" width="32.140625" hidden="1" customWidth="1"/>
    <col min="28" max="28" width="13" hidden="1" customWidth="1"/>
    <col min="29" max="34" width="9.140625" hidden="1" customWidth="1"/>
    <col min="35" max="35" width="10" hidden="1" customWidth="1"/>
    <col min="36" max="43" width="9.140625" hidden="1" customWidth="1"/>
    <col min="44" max="44" width="13.85546875" style="2" hidden="1" customWidth="1"/>
    <col min="45" max="45" width="26" bestFit="1" customWidth="1"/>
    <col min="46" max="46" width="24.42578125" style="2" bestFit="1" customWidth="1"/>
    <col min="47" max="47" width="20.28515625" style="2" customWidth="1"/>
    <col min="48" max="54" width="15.5703125" hidden="1" customWidth="1"/>
    <col min="55" max="55" width="12.28515625" customWidth="1"/>
    <col min="56" max="56" width="13.85546875" customWidth="1"/>
    <col min="57" max="57" width="62.140625" style="2" hidden="1" customWidth="1"/>
    <col min="58" max="58" width="32" hidden="1" customWidth="1"/>
    <col min="59" max="65" width="9.140625" customWidth="1"/>
  </cols>
  <sheetData>
    <row r="1" spans="2:57" x14ac:dyDescent="0.25">
      <c r="Q1" s="135"/>
      <c r="R1" s="135"/>
      <c r="AR1" s="1">
        <v>204</v>
      </c>
    </row>
    <row r="2" spans="2:57" ht="35.25" hidden="1" customHeight="1" x14ac:dyDescent="0.25">
      <c r="B2" s="179" t="s">
        <v>3940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85"/>
      <c r="R2" s="185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BD2" s="139">
        <v>46101</v>
      </c>
    </row>
    <row r="3" spans="2:57" ht="35.25" hidden="1" customHeight="1" x14ac:dyDescent="0.25">
      <c r="B3" s="180" t="s">
        <v>1</v>
      </c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6"/>
      <c r="P3" s="186"/>
      <c r="Q3" s="186"/>
      <c r="R3" s="186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</row>
    <row r="4" spans="2:57" ht="41.25" customHeight="1" x14ac:dyDescent="0.25">
      <c r="B4" s="3"/>
      <c r="C4" s="4" t="s">
        <v>2</v>
      </c>
      <c r="D4" s="4" t="s">
        <v>3941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3942</v>
      </c>
      <c r="K4" s="4" t="s">
        <v>2932</v>
      </c>
      <c r="L4" s="4" t="s">
        <v>3943</v>
      </c>
      <c r="M4" s="4" t="s">
        <v>3944</v>
      </c>
      <c r="N4" s="4" t="s">
        <v>3945</v>
      </c>
      <c r="O4" s="149">
        <v>0.8</v>
      </c>
      <c r="P4" s="149">
        <v>0.2</v>
      </c>
      <c r="Q4" s="134"/>
      <c r="R4" s="134" t="s">
        <v>3946</v>
      </c>
      <c r="S4" s="4" t="s">
        <v>8</v>
      </c>
      <c r="T4" s="4" t="s">
        <v>9</v>
      </c>
      <c r="U4" s="4" t="s">
        <v>10</v>
      </c>
      <c r="V4" s="4" t="s">
        <v>2940</v>
      </c>
      <c r="W4" s="4" t="s">
        <v>11</v>
      </c>
      <c r="X4" s="4" t="s">
        <v>12</v>
      </c>
      <c r="Y4" s="4" t="s">
        <v>13</v>
      </c>
      <c r="Z4" s="4" t="s">
        <v>14</v>
      </c>
      <c r="AA4" s="4" t="s">
        <v>15</v>
      </c>
      <c r="AB4" s="4" t="s">
        <v>16</v>
      </c>
      <c r="AC4" s="4" t="s">
        <v>17</v>
      </c>
      <c r="AD4" s="4" t="s">
        <v>18</v>
      </c>
      <c r="AE4" s="4" t="s">
        <v>19</v>
      </c>
      <c r="AF4" s="4" t="s">
        <v>20</v>
      </c>
      <c r="AG4" s="4" t="s">
        <v>21</v>
      </c>
      <c r="AH4" s="4" t="s">
        <v>22</v>
      </c>
      <c r="AI4" s="4" t="s">
        <v>23</v>
      </c>
      <c r="AJ4" s="4" t="s">
        <v>24</v>
      </c>
      <c r="AK4" s="4" t="s">
        <v>25</v>
      </c>
      <c r="AL4" s="4" t="s">
        <v>26</v>
      </c>
      <c r="AM4" s="4" t="s">
        <v>27</v>
      </c>
      <c r="AN4" s="4" t="s">
        <v>28</v>
      </c>
      <c r="AO4" s="4" t="s">
        <v>29</v>
      </c>
      <c r="AP4" s="4"/>
      <c r="AQ4" s="4"/>
      <c r="AR4" s="4" t="s">
        <v>31</v>
      </c>
      <c r="AS4" s="83" t="s">
        <v>2943</v>
      </c>
      <c r="AT4" s="83" t="s">
        <v>2946</v>
      </c>
      <c r="AU4" s="83" t="s">
        <v>2947</v>
      </c>
      <c r="AV4" s="4" t="s">
        <v>2948</v>
      </c>
      <c r="AW4" s="4" t="s">
        <v>2950</v>
      </c>
      <c r="AX4" s="4" t="s">
        <v>2951</v>
      </c>
      <c r="AY4" s="4" t="s">
        <v>2952</v>
      </c>
      <c r="AZ4" s="4" t="s">
        <v>2953</v>
      </c>
      <c r="BA4" s="4" t="s">
        <v>2954</v>
      </c>
      <c r="BB4" s="4" t="s">
        <v>2955</v>
      </c>
      <c r="BC4" s="83" t="s">
        <v>2956</v>
      </c>
      <c r="BD4" s="83" t="s">
        <v>2957</v>
      </c>
    </row>
    <row r="5" spans="2:57" s="64" customFormat="1" ht="39.950000000000003" hidden="1" customHeight="1" x14ac:dyDescent="0.25">
      <c r="B5" s="5">
        <v>1</v>
      </c>
      <c r="C5" s="6" t="s">
        <v>32</v>
      </c>
      <c r="D5" s="100" t="s">
        <v>3947</v>
      </c>
      <c r="E5" s="5" t="s">
        <v>33</v>
      </c>
      <c r="F5" s="5" t="s">
        <v>34</v>
      </c>
      <c r="G5" s="7" t="s">
        <v>35</v>
      </c>
      <c r="H5" s="7" t="s">
        <v>36</v>
      </c>
      <c r="I5" s="8">
        <v>171600</v>
      </c>
      <c r="J5" s="8"/>
      <c r="K5" s="8"/>
      <c r="L5" s="8">
        <f>I5*1.2</f>
        <v>205920</v>
      </c>
      <c r="M5" s="8">
        <f>1870.22+2900+4000+1200+20650+25000+1500+21000</f>
        <v>78120.22</v>
      </c>
      <c r="N5" s="8">
        <f>L5-M5</f>
        <v>127799.78</v>
      </c>
      <c r="O5" s="15">
        <f>M5*0.83333332117758</f>
        <v>65100.182383723208</v>
      </c>
      <c r="P5" s="15">
        <f>M5*0.16666667882242</f>
        <v>13020.037616276792</v>
      </c>
      <c r="Q5" s="136">
        <f>M5/L5</f>
        <v>0.37937169774669777</v>
      </c>
      <c r="R5" s="136"/>
      <c r="S5" s="7" t="s">
        <v>37</v>
      </c>
      <c r="T5" s="7" t="s">
        <v>38</v>
      </c>
      <c r="U5" s="7" t="s">
        <v>39</v>
      </c>
      <c r="V5" s="7">
        <v>1</v>
      </c>
      <c r="W5" s="9" t="s">
        <v>40</v>
      </c>
      <c r="X5" s="10">
        <v>45279</v>
      </c>
      <c r="Y5" s="7" t="s">
        <v>41</v>
      </c>
      <c r="Z5" s="9"/>
      <c r="AA5" s="9"/>
      <c r="AB5" s="9">
        <v>318</v>
      </c>
      <c r="AC5" s="9"/>
      <c r="AD5" s="9">
        <v>265</v>
      </c>
      <c r="AE5" s="9">
        <v>247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>
        <f t="shared" ref="AP5:AP68" si="0">COUNT(AB5:AO5)</f>
        <v>3</v>
      </c>
      <c r="AQ5" s="62">
        <f t="shared" ref="AQ5:AQ68" si="1">AVERAGE(AB5:AO5)</f>
        <v>276.66666666666669</v>
      </c>
      <c r="AR5" s="5" t="s">
        <v>3948</v>
      </c>
      <c r="AS5" s="65"/>
      <c r="AT5" s="65"/>
      <c r="AU5" s="65" t="s">
        <v>3949</v>
      </c>
      <c r="AV5" s="65"/>
      <c r="AW5" s="65"/>
      <c r="AX5" s="65"/>
      <c r="AY5" s="65"/>
      <c r="AZ5" s="65"/>
      <c r="BA5" s="65"/>
      <c r="BB5" s="65"/>
      <c r="BC5" s="65"/>
      <c r="BD5" s="65"/>
    </row>
    <row r="6" spans="2:57" s="64" customFormat="1" ht="39.950000000000003" hidden="1" customHeight="1" x14ac:dyDescent="0.25">
      <c r="B6" s="5">
        <v>3</v>
      </c>
      <c r="C6" s="6" t="s">
        <v>50</v>
      </c>
      <c r="D6" s="99"/>
      <c r="E6" s="5" t="s">
        <v>51</v>
      </c>
      <c r="F6" s="5" t="s">
        <v>52</v>
      </c>
      <c r="G6" s="7" t="s">
        <v>53</v>
      </c>
      <c r="H6" s="7" t="s">
        <v>36</v>
      </c>
      <c r="I6" s="8">
        <v>84000</v>
      </c>
      <c r="J6" s="8"/>
      <c r="K6" s="8"/>
      <c r="L6" s="8">
        <v>100800</v>
      </c>
      <c r="M6" s="8"/>
      <c r="N6" s="8"/>
      <c r="O6" s="8"/>
      <c r="P6" s="8"/>
      <c r="Q6" s="8"/>
      <c r="R6" s="8"/>
      <c r="S6" s="7" t="s">
        <v>54</v>
      </c>
      <c r="T6" s="7" t="s">
        <v>47</v>
      </c>
      <c r="U6" s="7" t="s">
        <v>55</v>
      </c>
      <c r="V6" s="7"/>
      <c r="W6" s="9" t="s">
        <v>56</v>
      </c>
      <c r="X6" s="10">
        <v>45282</v>
      </c>
      <c r="Y6" s="9" t="s">
        <v>57</v>
      </c>
      <c r="Z6" s="11" t="s">
        <v>58</v>
      </c>
      <c r="AA6" s="9"/>
      <c r="AB6" s="9">
        <v>321</v>
      </c>
      <c r="AC6" s="9">
        <v>157</v>
      </c>
      <c r="AD6" s="9"/>
      <c r="AE6" s="9"/>
      <c r="AF6" s="9"/>
      <c r="AG6" s="9"/>
      <c r="AH6" s="9"/>
      <c r="AI6" s="9"/>
      <c r="AJ6" s="9"/>
      <c r="AK6" s="9"/>
      <c r="AL6" s="9"/>
      <c r="AM6" s="9">
        <v>325</v>
      </c>
      <c r="AN6" s="9"/>
      <c r="AO6" s="9"/>
      <c r="AP6" s="9">
        <f t="shared" si="0"/>
        <v>3</v>
      </c>
      <c r="AQ6" s="62">
        <f t="shared" si="1"/>
        <v>267.66666666666669</v>
      </c>
      <c r="AR6" s="11" t="str">
        <f>IF(AQ6&gt;='Aprovados Recursos do Fundo'!$AQ$1,"APROVADO","REPROVADO")</f>
        <v>APROVADO</v>
      </c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  <row r="7" spans="2:57" s="64" customFormat="1" ht="39.950000000000003" hidden="1" customHeight="1" x14ac:dyDescent="0.25">
      <c r="B7" s="5">
        <v>4</v>
      </c>
      <c r="C7" s="6" t="s">
        <v>59</v>
      </c>
      <c r="D7" s="100" t="s">
        <v>3950</v>
      </c>
      <c r="E7" s="5" t="s">
        <v>33</v>
      </c>
      <c r="F7" s="5" t="s">
        <v>60</v>
      </c>
      <c r="G7" s="5" t="s">
        <v>61</v>
      </c>
      <c r="H7" s="5" t="s">
        <v>62</v>
      </c>
      <c r="I7" s="15">
        <v>1000000</v>
      </c>
      <c r="J7" s="15"/>
      <c r="K7" s="15"/>
      <c r="L7" s="8">
        <f>I7*1.2</f>
        <v>1200000</v>
      </c>
      <c r="M7" s="15"/>
      <c r="N7" s="8"/>
      <c r="O7" s="15">
        <f>M7*0.83333332117758</f>
        <v>0</v>
      </c>
      <c r="P7" s="15">
        <f t="shared" ref="P7:P17" si="2">M7*0.16666667882242</f>
        <v>0</v>
      </c>
      <c r="Q7" s="136"/>
      <c r="R7" s="15"/>
      <c r="S7" s="5" t="s">
        <v>63</v>
      </c>
      <c r="T7" s="5" t="s">
        <v>64</v>
      </c>
      <c r="U7" s="5" t="s">
        <v>65</v>
      </c>
      <c r="V7" s="7">
        <v>1</v>
      </c>
      <c r="W7" s="9" t="s">
        <v>66</v>
      </c>
      <c r="X7" s="10">
        <v>45281</v>
      </c>
      <c r="Y7" s="5" t="s">
        <v>67</v>
      </c>
      <c r="Z7" s="7" t="s">
        <v>68</v>
      </c>
      <c r="AA7" s="7"/>
      <c r="AB7" s="9">
        <v>312</v>
      </c>
      <c r="AC7" s="9"/>
      <c r="AD7" s="9">
        <v>275</v>
      </c>
      <c r="AE7" s="9">
        <v>299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>
        <f t="shared" si="0"/>
        <v>3</v>
      </c>
      <c r="AQ7" s="62">
        <f t="shared" si="1"/>
        <v>295.33333333333331</v>
      </c>
      <c r="AR7" s="11" t="str">
        <f>IF(AQ7&gt;='Aprovados Recursos do Fundo'!$AQ$1,"APROVADO","REPROVADO")</f>
        <v>APROVADO</v>
      </c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</row>
    <row r="8" spans="2:57" s="64" customFormat="1" ht="39.950000000000003" hidden="1" customHeight="1" x14ac:dyDescent="0.25">
      <c r="B8" s="5">
        <v>5</v>
      </c>
      <c r="C8" s="6" t="s">
        <v>69</v>
      </c>
      <c r="D8" s="100" t="s">
        <v>3951</v>
      </c>
      <c r="E8" s="5" t="s">
        <v>33</v>
      </c>
      <c r="F8" s="5" t="s">
        <v>70</v>
      </c>
      <c r="G8" s="5" t="s">
        <v>71</v>
      </c>
      <c r="H8" s="5" t="s">
        <v>72</v>
      </c>
      <c r="I8" s="15">
        <v>341605</v>
      </c>
      <c r="J8" s="15"/>
      <c r="K8" s="15"/>
      <c r="L8" s="8">
        <f t="shared" ref="L8:L17" si="3">I8*1.2</f>
        <v>409926</v>
      </c>
      <c r="M8" s="15">
        <f>10000+6129.08+5797.53+49534.58+13581.79+18005.21+6165.31+25000+65000+170000+8833.88+54222.33</f>
        <v>432269.71</v>
      </c>
      <c r="N8" s="15">
        <f>L8-M8</f>
        <v>-22343.710000000021</v>
      </c>
      <c r="O8" s="15">
        <f t="shared" ref="O8:O17" si="4">M8*0.83333332117758</f>
        <v>360224.75307876937</v>
      </c>
      <c r="P8" s="15">
        <f t="shared" si="2"/>
        <v>72044.956921230638</v>
      </c>
      <c r="Q8" s="136">
        <f>M8/L8</f>
        <v>1.0545066914516279</v>
      </c>
      <c r="R8" s="15"/>
      <c r="S8" s="5" t="s">
        <v>73</v>
      </c>
      <c r="T8" s="5" t="s">
        <v>74</v>
      </c>
      <c r="U8" s="5" t="s">
        <v>75</v>
      </c>
      <c r="V8" s="7">
        <v>1</v>
      </c>
      <c r="W8" s="9" t="s">
        <v>76</v>
      </c>
      <c r="X8" s="10">
        <v>45288</v>
      </c>
      <c r="Y8" s="7" t="s">
        <v>41</v>
      </c>
      <c r="Z8" s="9"/>
      <c r="AA8" s="7"/>
      <c r="AB8" s="9">
        <v>272</v>
      </c>
      <c r="AC8" s="9"/>
      <c r="AD8" s="9">
        <v>269</v>
      </c>
      <c r="AE8" s="9">
        <v>290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>
        <f t="shared" si="0"/>
        <v>3</v>
      </c>
      <c r="AQ8" s="62">
        <f t="shared" si="1"/>
        <v>277</v>
      </c>
      <c r="AR8" s="11" t="str">
        <f>IF(AQ8&gt;='Aprovados Recursos do Fundo'!$AQ$1,"APROVADO","REPROVADO")</f>
        <v>APROVADO</v>
      </c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</row>
    <row r="9" spans="2:57" s="64" customFormat="1" ht="39.950000000000003" hidden="1" customHeight="1" x14ac:dyDescent="0.25">
      <c r="B9" s="5">
        <v>7</v>
      </c>
      <c r="C9" s="6" t="s">
        <v>84</v>
      </c>
      <c r="D9" s="100" t="s">
        <v>3952</v>
      </c>
      <c r="E9" s="5" t="s">
        <v>33</v>
      </c>
      <c r="F9" s="5" t="s">
        <v>3953</v>
      </c>
      <c r="G9" s="5" t="s">
        <v>86</v>
      </c>
      <c r="H9" s="7" t="s">
        <v>45</v>
      </c>
      <c r="I9" s="15">
        <v>364980</v>
      </c>
      <c r="J9" s="15"/>
      <c r="K9" s="15"/>
      <c r="L9" s="8">
        <f t="shared" si="3"/>
        <v>437976</v>
      </c>
      <c r="M9" s="15"/>
      <c r="N9" s="15"/>
      <c r="O9" s="15">
        <f t="shared" si="4"/>
        <v>0</v>
      </c>
      <c r="P9" s="15">
        <f t="shared" si="2"/>
        <v>0</v>
      </c>
      <c r="Q9" s="15"/>
      <c r="R9" s="15"/>
      <c r="S9" s="5" t="s">
        <v>63</v>
      </c>
      <c r="T9" s="5" t="s">
        <v>64</v>
      </c>
      <c r="U9" s="5" t="s">
        <v>87</v>
      </c>
      <c r="V9" s="7">
        <v>1</v>
      </c>
      <c r="W9" s="11" t="s">
        <v>88</v>
      </c>
      <c r="X9" s="10">
        <v>45289</v>
      </c>
      <c r="Y9" s="5" t="s">
        <v>67</v>
      </c>
      <c r="Z9" s="7" t="s">
        <v>89</v>
      </c>
      <c r="AA9" s="7" t="s">
        <v>90</v>
      </c>
      <c r="AB9" s="9">
        <v>340</v>
      </c>
      <c r="AC9" s="9"/>
      <c r="AD9" s="9">
        <v>245</v>
      </c>
      <c r="AE9" s="9">
        <v>290</v>
      </c>
      <c r="AF9" s="9"/>
      <c r="AG9" s="9"/>
      <c r="AH9" s="9"/>
      <c r="AI9" s="9"/>
      <c r="AJ9" s="9"/>
      <c r="AK9" s="9"/>
      <c r="AL9" s="9"/>
      <c r="AM9" s="9"/>
      <c r="AN9" s="9"/>
      <c r="AO9" s="9"/>
      <c r="AP9" s="9">
        <f t="shared" si="0"/>
        <v>3</v>
      </c>
      <c r="AQ9" s="62">
        <f t="shared" si="1"/>
        <v>291.66666666666669</v>
      </c>
      <c r="AR9" s="11" t="str">
        <f>IF(AQ9&gt;='Aprovados Recursos do Fundo'!$AQ$1,"APROVADO","REPROVADO")</f>
        <v>APROVADO</v>
      </c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</row>
    <row r="10" spans="2:57" s="64" customFormat="1" ht="39.950000000000003" customHeight="1" x14ac:dyDescent="0.25">
      <c r="B10" s="5">
        <v>8</v>
      </c>
      <c r="C10" s="6" t="s">
        <v>91</v>
      </c>
      <c r="D10" s="100" t="s">
        <v>3954</v>
      </c>
      <c r="E10" s="5" t="s">
        <v>33</v>
      </c>
      <c r="F10" s="5" t="s">
        <v>92</v>
      </c>
      <c r="G10" s="5" t="s">
        <v>93</v>
      </c>
      <c r="H10" s="5" t="s">
        <v>36</v>
      </c>
      <c r="I10" s="163">
        <v>218771</v>
      </c>
      <c r="J10" s="15">
        <v>11658</v>
      </c>
      <c r="K10" s="15">
        <v>207113</v>
      </c>
      <c r="L10" s="8">
        <f t="shared" si="3"/>
        <v>262525.2</v>
      </c>
      <c r="M10" s="15">
        <v>300766</v>
      </c>
      <c r="N10" s="15">
        <f>L10-M10</f>
        <v>-38240.799999999988</v>
      </c>
      <c r="O10" s="15">
        <f>M10*0.83333332117758</f>
        <v>250638.32967729602</v>
      </c>
      <c r="P10" s="15">
        <f t="shared" si="2"/>
        <v>50127.670322703976</v>
      </c>
      <c r="Q10" s="143">
        <f>M10/L10</f>
        <v>1.1456652542308319</v>
      </c>
      <c r="R10" s="159">
        <v>51</v>
      </c>
      <c r="S10" s="7" t="s">
        <v>94</v>
      </c>
      <c r="T10" s="5" t="s">
        <v>95</v>
      </c>
      <c r="U10" s="5" t="s">
        <v>96</v>
      </c>
      <c r="V10" s="7">
        <v>1</v>
      </c>
      <c r="W10" s="66" t="s">
        <v>97</v>
      </c>
      <c r="X10" s="10">
        <v>45296</v>
      </c>
      <c r="Y10" s="7" t="s">
        <v>67</v>
      </c>
      <c r="Z10" s="7" t="s">
        <v>98</v>
      </c>
      <c r="AA10" s="7"/>
      <c r="AB10" s="9"/>
      <c r="AC10" s="9">
        <v>170</v>
      </c>
      <c r="AD10" s="9"/>
      <c r="AE10" s="9"/>
      <c r="AF10" s="9"/>
      <c r="AG10" s="9">
        <v>302</v>
      </c>
      <c r="AH10" s="9">
        <v>285</v>
      </c>
      <c r="AI10" s="9"/>
      <c r="AJ10" s="9"/>
      <c r="AK10" s="9"/>
      <c r="AL10" s="9"/>
      <c r="AM10" s="9"/>
      <c r="AN10" s="9"/>
      <c r="AO10" s="9"/>
      <c r="AP10" s="9">
        <f t="shared" si="0"/>
        <v>3</v>
      </c>
      <c r="AQ10" s="62">
        <f t="shared" si="1"/>
        <v>252.33333333333334</v>
      </c>
      <c r="AR10" s="11" t="str">
        <f>IF(AQ10&gt;=$AR$1,"APROVADO","REPROVADO")</f>
        <v>APROVADO</v>
      </c>
      <c r="AS10" s="5" t="s">
        <v>3955</v>
      </c>
      <c r="AT10" s="5" t="s">
        <v>2986</v>
      </c>
      <c r="AU10" s="5" t="s">
        <v>2987</v>
      </c>
      <c r="AV10" s="10">
        <v>45929</v>
      </c>
      <c r="AW10" s="10">
        <f>EDATE(AV10,12)</f>
        <v>46294</v>
      </c>
      <c r="AX10" s="10">
        <v>45931</v>
      </c>
      <c r="AY10" s="10">
        <v>45939</v>
      </c>
      <c r="AZ10" s="5"/>
      <c r="BA10" s="5" t="s">
        <v>3956</v>
      </c>
      <c r="BB10" s="5" t="s">
        <v>3261</v>
      </c>
      <c r="BC10" s="34">
        <v>45939</v>
      </c>
      <c r="BD10" s="145">
        <f>_xlfn.DAYS(BD2,BC10)</f>
        <v>162</v>
      </c>
      <c r="BE10" s="5"/>
    </row>
    <row r="11" spans="2:57" s="64" customFormat="1" ht="39.950000000000003" hidden="1" customHeight="1" x14ac:dyDescent="0.25">
      <c r="B11" s="5">
        <v>9</v>
      </c>
      <c r="C11" s="6" t="s">
        <v>99</v>
      </c>
      <c r="D11" s="100" t="s">
        <v>3957</v>
      </c>
      <c r="E11" s="5" t="s">
        <v>33</v>
      </c>
      <c r="F11" s="5" t="s">
        <v>92</v>
      </c>
      <c r="G11" s="18" t="s">
        <v>100</v>
      </c>
      <c r="H11" s="5" t="s">
        <v>36</v>
      </c>
      <c r="I11" s="15">
        <v>1288900</v>
      </c>
      <c r="J11" s="15"/>
      <c r="K11" s="15"/>
      <c r="L11" s="8">
        <f t="shared" si="3"/>
        <v>1546680</v>
      </c>
      <c r="M11" s="15"/>
      <c r="N11" s="15"/>
      <c r="O11" s="15">
        <f t="shared" si="4"/>
        <v>0</v>
      </c>
      <c r="P11" s="15">
        <f t="shared" si="2"/>
        <v>0</v>
      </c>
      <c r="Q11" s="15"/>
      <c r="R11" s="15"/>
      <c r="S11" s="7" t="s">
        <v>94</v>
      </c>
      <c r="T11" s="5" t="s">
        <v>95</v>
      </c>
      <c r="U11" s="5" t="s">
        <v>96</v>
      </c>
      <c r="V11" s="7">
        <v>1</v>
      </c>
      <c r="W11" s="5" t="s">
        <v>97</v>
      </c>
      <c r="X11" s="10">
        <v>45296</v>
      </c>
      <c r="Y11" s="7" t="s">
        <v>67</v>
      </c>
      <c r="Z11" s="7" t="s">
        <v>98</v>
      </c>
      <c r="AA11" s="7"/>
      <c r="AB11" s="9"/>
      <c r="AC11" s="9">
        <v>164</v>
      </c>
      <c r="AD11" s="9"/>
      <c r="AE11" s="9"/>
      <c r="AF11" s="9"/>
      <c r="AG11" s="9"/>
      <c r="AH11" s="9"/>
      <c r="AI11" s="9">
        <v>330</v>
      </c>
      <c r="AJ11" s="9">
        <v>340</v>
      </c>
      <c r="AK11" s="9"/>
      <c r="AL11" s="9"/>
      <c r="AM11" s="9"/>
      <c r="AN11" s="9"/>
      <c r="AO11" s="9"/>
      <c r="AP11" s="9">
        <f t="shared" si="0"/>
        <v>3</v>
      </c>
      <c r="AQ11" s="62">
        <f t="shared" si="1"/>
        <v>278</v>
      </c>
      <c r="AR11" s="11" t="str">
        <f>IF(AQ11&gt;='Aprovados Recursos do Fundo'!$AQ$1,"APROVADO","REPROVADO")</f>
        <v>APROVADO</v>
      </c>
      <c r="AS11" s="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</row>
    <row r="12" spans="2:57" s="64" customFormat="1" ht="39.950000000000003" hidden="1" customHeight="1" x14ac:dyDescent="0.25">
      <c r="B12" s="5">
        <v>10</v>
      </c>
      <c r="C12" s="6" t="s">
        <v>101</v>
      </c>
      <c r="D12" s="100" t="s">
        <v>3958</v>
      </c>
      <c r="E12" s="5" t="s">
        <v>33</v>
      </c>
      <c r="F12" s="5" t="s">
        <v>92</v>
      </c>
      <c r="G12" s="5" t="s">
        <v>102</v>
      </c>
      <c r="H12" s="5" t="s">
        <v>36</v>
      </c>
      <c r="I12" s="15">
        <v>1086393.5900000001</v>
      </c>
      <c r="J12" s="15"/>
      <c r="K12" s="15"/>
      <c r="L12" s="8">
        <f t="shared" si="3"/>
        <v>1303672.308</v>
      </c>
      <c r="M12" s="15"/>
      <c r="N12" s="15"/>
      <c r="O12" s="15">
        <f t="shared" si="4"/>
        <v>0</v>
      </c>
      <c r="P12" s="15">
        <f t="shared" si="2"/>
        <v>0</v>
      </c>
      <c r="Q12" s="15"/>
      <c r="R12" s="15"/>
      <c r="S12" s="7" t="s">
        <v>94</v>
      </c>
      <c r="T12" s="5" t="s">
        <v>95</v>
      </c>
      <c r="U12" s="5" t="s">
        <v>96</v>
      </c>
      <c r="V12" s="7">
        <v>1</v>
      </c>
      <c r="W12" s="5" t="s">
        <v>97</v>
      </c>
      <c r="X12" s="10">
        <v>45296</v>
      </c>
      <c r="Y12" s="7" t="s">
        <v>67</v>
      </c>
      <c r="Z12" s="7" t="s">
        <v>98</v>
      </c>
      <c r="AA12" s="7"/>
      <c r="AB12" s="9"/>
      <c r="AC12" s="9">
        <v>146</v>
      </c>
      <c r="AD12" s="9"/>
      <c r="AE12" s="9"/>
      <c r="AF12" s="9"/>
      <c r="AG12" s="9">
        <v>340</v>
      </c>
      <c r="AH12" s="9">
        <v>330</v>
      </c>
      <c r="AI12" s="9"/>
      <c r="AJ12" s="9"/>
      <c r="AK12" s="9"/>
      <c r="AL12" s="9"/>
      <c r="AM12" s="9"/>
      <c r="AN12" s="9"/>
      <c r="AO12" s="9"/>
      <c r="AP12" s="9">
        <f t="shared" si="0"/>
        <v>3</v>
      </c>
      <c r="AQ12" s="62">
        <f t="shared" si="1"/>
        <v>272</v>
      </c>
      <c r="AR12" s="11" t="str">
        <f>IF(AQ12&gt;=$AR$1,"APROVADO","REPROVADO")</f>
        <v>APROVADO</v>
      </c>
      <c r="AS12" s="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</row>
    <row r="13" spans="2:57" s="64" customFormat="1" ht="39.950000000000003" hidden="1" customHeight="1" x14ac:dyDescent="0.25">
      <c r="B13" s="5">
        <v>11</v>
      </c>
      <c r="C13" s="6" t="s">
        <v>104</v>
      </c>
      <c r="D13" s="100" t="s">
        <v>3959</v>
      </c>
      <c r="E13" s="5" t="s">
        <v>33</v>
      </c>
      <c r="F13" s="5" t="s">
        <v>105</v>
      </c>
      <c r="G13" s="7" t="s">
        <v>106</v>
      </c>
      <c r="H13" s="7" t="s">
        <v>107</v>
      </c>
      <c r="I13" s="8">
        <v>193281.12</v>
      </c>
      <c r="J13" s="8"/>
      <c r="K13" s="8"/>
      <c r="L13" s="8">
        <f t="shared" si="3"/>
        <v>231937.34399999998</v>
      </c>
      <c r="M13" s="8"/>
      <c r="N13" s="8"/>
      <c r="O13" s="15">
        <f t="shared" si="4"/>
        <v>0</v>
      </c>
      <c r="P13" s="15">
        <f t="shared" si="2"/>
        <v>0</v>
      </c>
      <c r="Q13" s="8"/>
      <c r="R13" s="8"/>
      <c r="S13" s="7" t="s">
        <v>108</v>
      </c>
      <c r="T13" s="7" t="s">
        <v>95</v>
      </c>
      <c r="U13" s="7" t="s">
        <v>109</v>
      </c>
      <c r="V13" s="7">
        <v>1</v>
      </c>
      <c r="W13" s="31" t="s">
        <v>110</v>
      </c>
      <c r="X13" s="10">
        <v>45296</v>
      </c>
      <c r="Y13" s="7" t="s">
        <v>41</v>
      </c>
      <c r="Z13" s="7"/>
      <c r="AA13" s="7"/>
      <c r="AB13" s="9">
        <v>312</v>
      </c>
      <c r="AC13" s="9"/>
      <c r="AD13" s="9">
        <v>237</v>
      </c>
      <c r="AE13" s="9">
        <v>174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>
        <f t="shared" si="0"/>
        <v>3</v>
      </c>
      <c r="AQ13" s="62">
        <f t="shared" si="1"/>
        <v>241</v>
      </c>
      <c r="AR13" s="11" t="str">
        <f>IF(AQ13&gt;='Aprovados Recursos do Fundo'!$AQ$1,"APROVADO","REPROVADO")</f>
        <v>APROVADO</v>
      </c>
      <c r="AS13" s="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spans="2:57" s="64" customFormat="1" ht="39.950000000000003" hidden="1" customHeight="1" x14ac:dyDescent="0.25">
      <c r="B14" s="5">
        <v>13</v>
      </c>
      <c r="C14" s="6" t="s">
        <v>119</v>
      </c>
      <c r="D14" s="101" t="s">
        <v>3960</v>
      </c>
      <c r="E14" s="5" t="s">
        <v>33</v>
      </c>
      <c r="F14" s="5" t="s">
        <v>120</v>
      </c>
      <c r="G14" s="5" t="s">
        <v>121</v>
      </c>
      <c r="H14" s="5" t="s">
        <v>36</v>
      </c>
      <c r="I14" s="15">
        <v>69808.08</v>
      </c>
      <c r="J14" s="15"/>
      <c r="K14" s="15"/>
      <c r="L14" s="8">
        <f t="shared" si="3"/>
        <v>83769.695999999996</v>
      </c>
      <c r="M14" s="15"/>
      <c r="N14" s="15"/>
      <c r="O14" s="15">
        <f t="shared" si="4"/>
        <v>0</v>
      </c>
      <c r="P14" s="15">
        <f t="shared" si="2"/>
        <v>0</v>
      </c>
      <c r="Q14" s="15"/>
      <c r="R14" s="15"/>
      <c r="S14" s="5" t="s">
        <v>122</v>
      </c>
      <c r="T14" s="5" t="s">
        <v>123</v>
      </c>
      <c r="U14" s="5" t="s">
        <v>124</v>
      </c>
      <c r="V14" s="5"/>
      <c r="W14" s="9" t="s">
        <v>125</v>
      </c>
      <c r="X14" s="10">
        <v>45299</v>
      </c>
      <c r="Y14" s="7" t="s">
        <v>41</v>
      </c>
      <c r="Z14" s="7"/>
      <c r="AA14" s="7"/>
      <c r="AB14" s="9">
        <v>329</v>
      </c>
      <c r="AC14" s="9"/>
      <c r="AD14" s="9">
        <v>236</v>
      </c>
      <c r="AE14" s="9">
        <v>200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>
        <f t="shared" si="0"/>
        <v>3</v>
      </c>
      <c r="AQ14" s="62">
        <f t="shared" si="1"/>
        <v>255</v>
      </c>
      <c r="AR14" s="11" t="str">
        <f>IF(AQ14&gt;='Aprovados Recursos do Fundo'!$AQ$1,"APROVADO","REPROVADO")</f>
        <v>APROVADO</v>
      </c>
      <c r="AS14" s="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</row>
    <row r="15" spans="2:57" s="64" customFormat="1" ht="39.950000000000003" hidden="1" customHeight="1" x14ac:dyDescent="0.25">
      <c r="B15" s="5">
        <v>16</v>
      </c>
      <c r="C15" s="6" t="s">
        <v>137</v>
      </c>
      <c r="D15" s="101" t="s">
        <v>3961</v>
      </c>
      <c r="E15" s="5" t="s">
        <v>33</v>
      </c>
      <c r="F15" s="5" t="s">
        <v>138</v>
      </c>
      <c r="G15" s="5" t="s">
        <v>139</v>
      </c>
      <c r="H15" s="5" t="s">
        <v>107</v>
      </c>
      <c r="I15" s="15">
        <v>29714</v>
      </c>
      <c r="J15" s="15"/>
      <c r="K15" s="15"/>
      <c r="L15" s="8">
        <f t="shared" si="3"/>
        <v>35656.799999999996</v>
      </c>
      <c r="M15" s="15"/>
      <c r="N15" s="15"/>
      <c r="O15" s="15">
        <f t="shared" si="4"/>
        <v>0</v>
      </c>
      <c r="P15" s="15">
        <f t="shared" si="2"/>
        <v>0</v>
      </c>
      <c r="Q15" s="15"/>
      <c r="R15" s="15"/>
      <c r="S15" s="5" t="s">
        <v>140</v>
      </c>
      <c r="T15" s="5" t="s">
        <v>141</v>
      </c>
      <c r="U15" s="5" t="s">
        <v>142</v>
      </c>
      <c r="V15" s="5"/>
      <c r="W15" s="9" t="s">
        <v>143</v>
      </c>
      <c r="X15" s="10">
        <v>45300</v>
      </c>
      <c r="Y15" s="7" t="s">
        <v>67</v>
      </c>
      <c r="Z15" s="7" t="s">
        <v>98</v>
      </c>
      <c r="AA15" s="7"/>
      <c r="AB15" s="9">
        <v>340</v>
      </c>
      <c r="AC15" s="9">
        <v>209</v>
      </c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>
        <v>340</v>
      </c>
      <c r="AP15" s="9">
        <f t="shared" si="0"/>
        <v>3</v>
      </c>
      <c r="AQ15" s="62">
        <f t="shared" si="1"/>
        <v>296.33333333333331</v>
      </c>
      <c r="AR15" s="11" t="str">
        <f>IF(AQ15&gt;='Aprovados Recursos do Fundo'!$AQ$1,"APROVADO","REPROVADO")</f>
        <v>APROVADO</v>
      </c>
      <c r="AS15" s="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</row>
    <row r="16" spans="2:57" s="64" customFormat="1" ht="39.950000000000003" hidden="1" customHeight="1" x14ac:dyDescent="0.25">
      <c r="B16" s="5">
        <v>17</v>
      </c>
      <c r="C16" s="6" t="s">
        <v>144</v>
      </c>
      <c r="D16" s="101" t="s">
        <v>3962</v>
      </c>
      <c r="E16" s="5" t="s">
        <v>33</v>
      </c>
      <c r="F16" s="5" t="s">
        <v>145</v>
      </c>
      <c r="G16" s="5" t="s">
        <v>146</v>
      </c>
      <c r="H16" s="5" t="s">
        <v>36</v>
      </c>
      <c r="I16" s="15">
        <v>91857.47</v>
      </c>
      <c r="J16" s="15"/>
      <c r="K16" s="15"/>
      <c r="L16" s="8">
        <f t="shared" si="3"/>
        <v>110228.96399999999</v>
      </c>
      <c r="M16" s="15"/>
      <c r="N16" s="15"/>
      <c r="O16" s="15">
        <f t="shared" si="4"/>
        <v>0</v>
      </c>
      <c r="P16" s="15">
        <f t="shared" si="2"/>
        <v>0</v>
      </c>
      <c r="Q16" s="15"/>
      <c r="R16" s="15"/>
      <c r="S16" s="5" t="s">
        <v>147</v>
      </c>
      <c r="T16" s="5" t="s">
        <v>95</v>
      </c>
      <c r="U16" s="5" t="s">
        <v>148</v>
      </c>
      <c r="V16" s="5"/>
      <c r="W16" s="9" t="s">
        <v>149</v>
      </c>
      <c r="X16" s="10">
        <v>45301</v>
      </c>
      <c r="Y16" s="7" t="s">
        <v>41</v>
      </c>
      <c r="Z16" s="7"/>
      <c r="AA16" s="7"/>
      <c r="AB16" s="9">
        <v>340</v>
      </c>
      <c r="AC16" s="9"/>
      <c r="AD16" s="9">
        <v>253</v>
      </c>
      <c r="AE16" s="9">
        <v>242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>
        <f t="shared" si="0"/>
        <v>3</v>
      </c>
      <c r="AQ16" s="62">
        <f t="shared" si="1"/>
        <v>278.33333333333331</v>
      </c>
      <c r="AR16" s="11" t="str">
        <f>IF(AQ16&gt;='Aprovados Recursos do Fundo'!$AQ$1,"APROVADO","REPROVADO")</f>
        <v>APROVADO</v>
      </c>
      <c r="AS16" s="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2:56" s="64" customFormat="1" ht="39.950000000000003" hidden="1" customHeight="1" x14ac:dyDescent="0.25">
      <c r="B17" s="5">
        <v>18</v>
      </c>
      <c r="C17" s="6" t="s">
        <v>150</v>
      </c>
      <c r="D17" s="101" t="s">
        <v>3963</v>
      </c>
      <c r="E17" s="5" t="s">
        <v>33</v>
      </c>
      <c r="F17" s="5" t="s">
        <v>151</v>
      </c>
      <c r="G17" s="5" t="s">
        <v>152</v>
      </c>
      <c r="H17" s="5" t="s">
        <v>36</v>
      </c>
      <c r="I17" s="15">
        <v>67100</v>
      </c>
      <c r="J17" s="15"/>
      <c r="K17" s="15"/>
      <c r="L17" s="8">
        <f t="shared" si="3"/>
        <v>80520</v>
      </c>
      <c r="M17" s="15"/>
      <c r="N17" s="15"/>
      <c r="O17" s="15">
        <f t="shared" si="4"/>
        <v>0</v>
      </c>
      <c r="P17" s="15">
        <f t="shared" si="2"/>
        <v>0</v>
      </c>
      <c r="Q17" s="15"/>
      <c r="R17" s="15"/>
      <c r="S17" s="5" t="s">
        <v>153</v>
      </c>
      <c r="T17" s="5" t="s">
        <v>154</v>
      </c>
      <c r="U17" s="5" t="s">
        <v>155</v>
      </c>
      <c r="V17" s="5"/>
      <c r="W17" s="9" t="s">
        <v>156</v>
      </c>
      <c r="X17" s="10">
        <v>45302</v>
      </c>
      <c r="Y17" s="7" t="s">
        <v>67</v>
      </c>
      <c r="Z17" s="7" t="s">
        <v>157</v>
      </c>
      <c r="AA17" s="7"/>
      <c r="AB17" s="9"/>
      <c r="AC17" s="9">
        <v>199</v>
      </c>
      <c r="AD17" s="9"/>
      <c r="AE17" s="9"/>
      <c r="AF17" s="9"/>
      <c r="AG17" s="9"/>
      <c r="AH17" s="9"/>
      <c r="AI17" s="9">
        <v>326</v>
      </c>
      <c r="AJ17" s="9">
        <v>323</v>
      </c>
      <c r="AK17" s="9"/>
      <c r="AL17" s="9"/>
      <c r="AM17" s="9"/>
      <c r="AN17" s="9"/>
      <c r="AO17" s="9"/>
      <c r="AP17" s="9">
        <f t="shared" si="0"/>
        <v>3</v>
      </c>
      <c r="AQ17" s="62">
        <f t="shared" si="1"/>
        <v>282.66666666666669</v>
      </c>
      <c r="AR17" s="11" t="str">
        <f>IF(AQ17&gt;='Aprovados Recursos do Fundo'!$AQ$1,"APROVADO","REPROVADO")</f>
        <v>APROVADO</v>
      </c>
      <c r="AS17" s="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spans="2:56" s="64" customFormat="1" ht="39.950000000000003" hidden="1" customHeight="1" x14ac:dyDescent="0.25">
      <c r="B18" s="5">
        <v>20</v>
      </c>
      <c r="C18" s="6" t="s">
        <v>165</v>
      </c>
      <c r="D18" s="99"/>
      <c r="E18" s="5" t="s">
        <v>51</v>
      </c>
      <c r="F18" s="5" t="s">
        <v>166</v>
      </c>
      <c r="G18" s="7" t="s">
        <v>167</v>
      </c>
      <c r="H18" s="7" t="s">
        <v>36</v>
      </c>
      <c r="I18" s="8">
        <v>267000</v>
      </c>
      <c r="J18" s="8"/>
      <c r="K18" s="8"/>
      <c r="L18" s="8">
        <v>320400</v>
      </c>
      <c r="M18" s="8"/>
      <c r="N18" s="8"/>
      <c r="O18" s="8"/>
      <c r="P18" s="8"/>
      <c r="Q18" s="8"/>
      <c r="R18" s="8"/>
      <c r="S18" s="7" t="s">
        <v>168</v>
      </c>
      <c r="T18" s="7" t="s">
        <v>64</v>
      </c>
      <c r="U18" s="7" t="s">
        <v>169</v>
      </c>
      <c r="V18" s="7"/>
      <c r="W18" s="9" t="s">
        <v>170</v>
      </c>
      <c r="X18" s="10">
        <v>45302</v>
      </c>
      <c r="Y18" s="9" t="s">
        <v>41</v>
      </c>
      <c r="Z18" s="11"/>
      <c r="AA18" s="9"/>
      <c r="AB18" s="9">
        <v>330</v>
      </c>
      <c r="AC18" s="9"/>
      <c r="AD18" s="9">
        <v>160</v>
      </c>
      <c r="AE18" s="9">
        <v>125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>
        <f t="shared" si="0"/>
        <v>3</v>
      </c>
      <c r="AQ18" s="62">
        <f t="shared" si="1"/>
        <v>205</v>
      </c>
      <c r="AR18" s="11" t="str">
        <f>IF(AQ18&gt;='Aprovados Recursos do Fundo'!$AQ$1,"APROVADO","REPROVADO")</f>
        <v>APROVADO</v>
      </c>
      <c r="AS18" s="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2:56" s="64" customFormat="1" ht="39.950000000000003" hidden="1" customHeight="1" x14ac:dyDescent="0.25">
      <c r="B19" s="5">
        <v>22</v>
      </c>
      <c r="C19" s="6" t="s">
        <v>178</v>
      </c>
      <c r="D19" s="100" t="s">
        <v>3964</v>
      </c>
      <c r="E19" s="5" t="s">
        <v>33</v>
      </c>
      <c r="F19" s="5" t="s">
        <v>172</v>
      </c>
      <c r="G19" s="5" t="s">
        <v>179</v>
      </c>
      <c r="H19" s="7" t="s">
        <v>36</v>
      </c>
      <c r="I19" s="15">
        <v>50000</v>
      </c>
      <c r="J19" s="15"/>
      <c r="K19" s="15"/>
      <c r="L19" s="8">
        <f>I19*1.2</f>
        <v>60000</v>
      </c>
      <c r="M19" s="15"/>
      <c r="N19" s="15"/>
      <c r="O19" s="15">
        <f>M19*0.83333332117758</f>
        <v>0</v>
      </c>
      <c r="P19" s="15">
        <f>M19*0.16666667882242</f>
        <v>0</v>
      </c>
      <c r="Q19" s="15"/>
      <c r="R19" s="15"/>
      <c r="S19" s="7" t="s">
        <v>180</v>
      </c>
      <c r="T19" s="7" t="s">
        <v>181</v>
      </c>
      <c r="U19" s="7" t="s">
        <v>182</v>
      </c>
      <c r="V19" s="7">
        <v>1</v>
      </c>
      <c r="W19" s="9" t="s">
        <v>183</v>
      </c>
      <c r="X19" s="10">
        <v>45302</v>
      </c>
      <c r="Y19" s="7" t="s">
        <v>67</v>
      </c>
      <c r="Z19" s="7" t="s">
        <v>89</v>
      </c>
      <c r="AA19" s="7" t="s">
        <v>184</v>
      </c>
      <c r="AB19" s="9">
        <v>340</v>
      </c>
      <c r="AC19" s="9">
        <v>178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>
        <v>340</v>
      </c>
      <c r="AP19" s="9">
        <f t="shared" si="0"/>
        <v>3</v>
      </c>
      <c r="AQ19" s="62">
        <f t="shared" si="1"/>
        <v>286</v>
      </c>
      <c r="AR19" s="11" t="str">
        <f>IF(AQ19&gt;='Aprovados Recursos do Fundo'!$AQ$1,"APROVADO","REPROVADO")</f>
        <v>APROVADO</v>
      </c>
      <c r="AS19" s="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</row>
    <row r="20" spans="2:56" s="64" customFormat="1" ht="39.950000000000003" hidden="1" customHeight="1" x14ac:dyDescent="0.25">
      <c r="B20" s="5">
        <v>23</v>
      </c>
      <c r="C20" s="6" t="s">
        <v>185</v>
      </c>
      <c r="D20" s="5"/>
      <c r="E20" s="5" t="s">
        <v>51</v>
      </c>
      <c r="F20" s="5" t="s">
        <v>186</v>
      </c>
      <c r="G20" s="7" t="s">
        <v>187</v>
      </c>
      <c r="H20" s="7" t="s">
        <v>107</v>
      </c>
      <c r="I20" s="8">
        <v>414308.85</v>
      </c>
      <c r="J20" s="8"/>
      <c r="K20" s="8"/>
      <c r="L20" s="8">
        <v>497170.61999999994</v>
      </c>
      <c r="M20" s="8"/>
      <c r="N20" s="8"/>
      <c r="O20" s="8"/>
      <c r="P20" s="8"/>
      <c r="Q20" s="8"/>
      <c r="R20" s="8"/>
      <c r="S20" s="7" t="s">
        <v>188</v>
      </c>
      <c r="T20" s="7" t="s">
        <v>189</v>
      </c>
      <c r="U20" s="7" t="s">
        <v>190</v>
      </c>
      <c r="V20" s="7"/>
      <c r="W20" s="9" t="s">
        <v>191</v>
      </c>
      <c r="X20" s="10">
        <v>45302</v>
      </c>
      <c r="Y20" s="9" t="s">
        <v>41</v>
      </c>
      <c r="Z20" s="9"/>
      <c r="AA20" s="9"/>
      <c r="AB20" s="9">
        <v>297</v>
      </c>
      <c r="AC20" s="9">
        <v>247</v>
      </c>
      <c r="AD20" s="9">
        <v>249</v>
      </c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>
        <f t="shared" si="0"/>
        <v>3</v>
      </c>
      <c r="AQ20" s="62">
        <f t="shared" si="1"/>
        <v>264.33333333333331</v>
      </c>
      <c r="AR20" s="11" t="str">
        <f>IF(AQ20&gt;='Aprovados Recursos do Fundo'!$AQ$1,"APROVADO","REPROVADO")</f>
        <v>APROVADO</v>
      </c>
      <c r="AS20" s="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</row>
    <row r="21" spans="2:56" s="64" customFormat="1" ht="39.950000000000003" hidden="1" customHeight="1" x14ac:dyDescent="0.25">
      <c r="B21" s="5">
        <v>24</v>
      </c>
      <c r="C21" s="6" t="s">
        <v>192</v>
      </c>
      <c r="D21" s="100" t="s">
        <v>3965</v>
      </c>
      <c r="E21" s="5" t="s">
        <v>33</v>
      </c>
      <c r="F21" s="5" t="s">
        <v>193</v>
      </c>
      <c r="G21" s="7" t="s">
        <v>3966</v>
      </c>
      <c r="H21" s="7" t="s">
        <v>36</v>
      </c>
      <c r="I21" s="8">
        <v>267766.51</v>
      </c>
      <c r="J21" s="8"/>
      <c r="K21" s="8"/>
      <c r="L21" s="8">
        <f t="shared" ref="L21:L24" si="5">I21*1.2</f>
        <v>321319.81199999998</v>
      </c>
      <c r="M21" s="8"/>
      <c r="N21" s="8"/>
      <c r="O21" s="15">
        <f t="shared" ref="O21:O24" si="6">M21*0.83333332117758</f>
        <v>0</v>
      </c>
      <c r="P21" s="15">
        <f t="shared" ref="P21:P24" si="7">M21*0.16666667882242</f>
        <v>0</v>
      </c>
      <c r="Q21" s="8"/>
      <c r="R21" s="8"/>
      <c r="S21" s="7" t="s">
        <v>195</v>
      </c>
      <c r="T21" s="7" t="s">
        <v>64</v>
      </c>
      <c r="U21" s="7" t="s">
        <v>196</v>
      </c>
      <c r="V21" s="7">
        <v>1</v>
      </c>
      <c r="W21" s="9" t="s">
        <v>197</v>
      </c>
      <c r="X21" s="10">
        <v>45302</v>
      </c>
      <c r="Y21" s="7" t="s">
        <v>41</v>
      </c>
      <c r="Z21" s="7"/>
      <c r="AA21" s="7"/>
      <c r="AB21" s="9">
        <v>331</v>
      </c>
      <c r="AC21" s="9"/>
      <c r="AD21" s="9">
        <v>178</v>
      </c>
      <c r="AE21" s="9">
        <v>248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>
        <f t="shared" si="0"/>
        <v>3</v>
      </c>
      <c r="AQ21" s="62">
        <f t="shared" si="1"/>
        <v>252.33333333333334</v>
      </c>
      <c r="AR21" s="11" t="str">
        <f>IF(AQ21&gt;='Aprovados Recursos do Fundo'!$AQ$1,"APROVADO","REPROVADO")</f>
        <v>APROVADO</v>
      </c>
      <c r="AS21" s="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2:56" s="64" customFormat="1" ht="39.950000000000003" hidden="1" customHeight="1" x14ac:dyDescent="0.25">
      <c r="B22" s="5">
        <v>25</v>
      </c>
      <c r="C22" s="6" t="s">
        <v>198</v>
      </c>
      <c r="D22" s="100" t="s">
        <v>3967</v>
      </c>
      <c r="E22" s="5" t="s">
        <v>33</v>
      </c>
      <c r="F22" s="58" t="s">
        <v>199</v>
      </c>
      <c r="G22" s="5" t="s">
        <v>200</v>
      </c>
      <c r="H22" s="5" t="s">
        <v>36</v>
      </c>
      <c r="I22" s="15">
        <v>261777</v>
      </c>
      <c r="J22" s="15"/>
      <c r="K22" s="15"/>
      <c r="L22" s="8">
        <f t="shared" si="5"/>
        <v>314132.39999999997</v>
      </c>
      <c r="M22" s="15"/>
      <c r="N22" s="15"/>
      <c r="O22" s="15">
        <f t="shared" si="6"/>
        <v>0</v>
      </c>
      <c r="P22" s="15">
        <f t="shared" si="7"/>
        <v>0</v>
      </c>
      <c r="Q22" s="15"/>
      <c r="R22" s="15"/>
      <c r="S22" s="5" t="s">
        <v>201</v>
      </c>
      <c r="T22" s="5" t="s">
        <v>202</v>
      </c>
      <c r="U22" s="5" t="s">
        <v>203</v>
      </c>
      <c r="V22" s="7">
        <v>1</v>
      </c>
      <c r="W22" s="9" t="s">
        <v>204</v>
      </c>
      <c r="X22" s="10">
        <v>45302</v>
      </c>
      <c r="Y22" s="7" t="s">
        <v>41</v>
      </c>
      <c r="Z22" s="7"/>
      <c r="AA22" s="7"/>
      <c r="AB22" s="9">
        <v>340</v>
      </c>
      <c r="AC22" s="9"/>
      <c r="AD22" s="9">
        <v>262</v>
      </c>
      <c r="AE22" s="9">
        <v>302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>
        <f t="shared" si="0"/>
        <v>3</v>
      </c>
      <c r="AQ22" s="62">
        <f t="shared" si="1"/>
        <v>301.33333333333331</v>
      </c>
      <c r="AR22" s="11" t="str">
        <f>IF(AQ22&gt;=$AR$1,"APROVADO","REPROVADO")</f>
        <v>APROVADO</v>
      </c>
      <c r="AS22" s="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</row>
    <row r="23" spans="2:56" s="64" customFormat="1" ht="39.950000000000003" hidden="1" customHeight="1" x14ac:dyDescent="0.25">
      <c r="B23" s="5">
        <v>29</v>
      </c>
      <c r="C23" s="6" t="s">
        <v>217</v>
      </c>
      <c r="D23" s="101" t="s">
        <v>3968</v>
      </c>
      <c r="E23" s="5" t="s">
        <v>33</v>
      </c>
      <c r="F23" s="5" t="s">
        <v>210</v>
      </c>
      <c r="G23" s="7" t="s">
        <v>218</v>
      </c>
      <c r="H23" s="7" t="s">
        <v>174</v>
      </c>
      <c r="I23" s="8">
        <v>70000</v>
      </c>
      <c r="J23" s="8"/>
      <c r="K23" s="8"/>
      <c r="L23" s="8">
        <f t="shared" si="5"/>
        <v>84000</v>
      </c>
      <c r="M23" s="8"/>
      <c r="N23" s="8"/>
      <c r="O23" s="15">
        <f t="shared" si="6"/>
        <v>0</v>
      </c>
      <c r="P23" s="15">
        <f t="shared" si="7"/>
        <v>0</v>
      </c>
      <c r="Q23" s="8"/>
      <c r="R23" s="8"/>
      <c r="S23" s="7" t="s">
        <v>212</v>
      </c>
      <c r="T23" s="7" t="s">
        <v>123</v>
      </c>
      <c r="U23" s="7" t="s">
        <v>213</v>
      </c>
      <c r="V23" s="7"/>
      <c r="W23" s="9" t="s">
        <v>214</v>
      </c>
      <c r="X23" s="10">
        <v>45303</v>
      </c>
      <c r="Y23" s="7" t="s">
        <v>41</v>
      </c>
      <c r="Z23" s="7"/>
      <c r="AA23" s="7"/>
      <c r="AB23" s="9">
        <v>340</v>
      </c>
      <c r="AC23" s="9"/>
      <c r="AD23" s="9">
        <v>58</v>
      </c>
      <c r="AE23" s="9"/>
      <c r="AF23" s="9"/>
      <c r="AG23" s="9"/>
      <c r="AH23" s="9"/>
      <c r="AI23" s="9"/>
      <c r="AJ23" s="9"/>
      <c r="AK23" s="9"/>
      <c r="AL23" s="9"/>
      <c r="AM23" s="9">
        <v>295</v>
      </c>
      <c r="AN23" s="9"/>
      <c r="AO23" s="9"/>
      <c r="AP23" s="9">
        <f t="shared" si="0"/>
        <v>3</v>
      </c>
      <c r="AQ23" s="62">
        <f t="shared" si="1"/>
        <v>231</v>
      </c>
      <c r="AR23" s="11" t="str">
        <f>IF(AQ23&gt;='Aprovados Recursos do Fundo'!$AQ$1,"APROVADO","REPROVADO")</f>
        <v>APROVADO</v>
      </c>
      <c r="AS23" s="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</row>
    <row r="24" spans="2:56" s="64" customFormat="1" ht="39.950000000000003" hidden="1" customHeight="1" x14ac:dyDescent="0.25">
      <c r="B24" s="5">
        <v>33</v>
      </c>
      <c r="C24" s="6" t="s">
        <v>237</v>
      </c>
      <c r="D24" s="100" t="s">
        <v>3969</v>
      </c>
      <c r="E24" s="5" t="s">
        <v>33</v>
      </c>
      <c r="F24" s="5" t="s">
        <v>238</v>
      </c>
      <c r="G24" s="5" t="s">
        <v>239</v>
      </c>
      <c r="H24" s="5" t="s">
        <v>36</v>
      </c>
      <c r="I24" s="15">
        <v>641438.57999999996</v>
      </c>
      <c r="J24" s="15"/>
      <c r="K24" s="15"/>
      <c r="L24" s="8">
        <f t="shared" si="5"/>
        <v>769726.29599999997</v>
      </c>
      <c r="M24" s="15"/>
      <c r="N24" s="15"/>
      <c r="O24" s="15">
        <f t="shared" si="6"/>
        <v>0</v>
      </c>
      <c r="P24" s="15">
        <f t="shared" si="7"/>
        <v>0</v>
      </c>
      <c r="Q24" s="15"/>
      <c r="R24" s="15"/>
      <c r="S24" s="5" t="s">
        <v>240</v>
      </c>
      <c r="T24" s="5" t="s">
        <v>241</v>
      </c>
      <c r="U24" s="5" t="s">
        <v>242</v>
      </c>
      <c r="V24" s="7">
        <v>1</v>
      </c>
      <c r="W24" s="9" t="s">
        <v>243</v>
      </c>
      <c r="X24" s="10">
        <v>45303</v>
      </c>
      <c r="Y24" s="7" t="s">
        <v>67</v>
      </c>
      <c r="Z24" s="7"/>
      <c r="AA24" s="65"/>
      <c r="AB24" s="9"/>
      <c r="AC24" s="9">
        <v>198</v>
      </c>
      <c r="AD24" s="9"/>
      <c r="AE24" s="9"/>
      <c r="AF24" s="9"/>
      <c r="AG24" s="9"/>
      <c r="AH24" s="9">
        <v>340</v>
      </c>
      <c r="AI24" s="9"/>
      <c r="AJ24" s="9">
        <v>340</v>
      </c>
      <c r="AK24" s="9"/>
      <c r="AL24" s="9"/>
      <c r="AM24" s="9"/>
      <c r="AN24" s="9"/>
      <c r="AO24" s="9"/>
      <c r="AP24" s="9">
        <f t="shared" si="0"/>
        <v>3</v>
      </c>
      <c r="AQ24" s="62">
        <f t="shared" si="1"/>
        <v>292.66666666666669</v>
      </c>
      <c r="AR24" s="11" t="str">
        <f>IF(AQ24&gt;='Aprovados Recursos do Fundo'!$AQ$1,"APROVADO","REPROVADO")</f>
        <v>APROVADO</v>
      </c>
      <c r="AS24" s="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</row>
    <row r="25" spans="2:56" s="64" customFormat="1" ht="39.950000000000003" hidden="1" customHeight="1" x14ac:dyDescent="0.25">
      <c r="B25" s="5">
        <v>34</v>
      </c>
      <c r="C25" s="6" t="s">
        <v>244</v>
      </c>
      <c r="D25" s="5"/>
      <c r="E25" s="5" t="s">
        <v>51</v>
      </c>
      <c r="F25" s="5" t="s">
        <v>245</v>
      </c>
      <c r="G25" s="7" t="s">
        <v>246</v>
      </c>
      <c r="H25" s="7" t="s">
        <v>36</v>
      </c>
      <c r="I25" s="8">
        <v>100000</v>
      </c>
      <c r="J25" s="8"/>
      <c r="K25" s="8"/>
      <c r="L25" s="8">
        <v>120000</v>
      </c>
      <c r="M25" s="8"/>
      <c r="N25" s="8"/>
      <c r="O25" s="8"/>
      <c r="P25" s="8"/>
      <c r="Q25" s="8"/>
      <c r="R25" s="8"/>
      <c r="S25" s="7" t="s">
        <v>247</v>
      </c>
      <c r="T25" s="7" t="s">
        <v>47</v>
      </c>
      <c r="U25" s="7" t="s">
        <v>248</v>
      </c>
      <c r="V25" s="7"/>
      <c r="W25" s="21" t="s">
        <v>249</v>
      </c>
      <c r="X25" s="10">
        <v>45303</v>
      </c>
      <c r="Y25" s="9" t="s">
        <v>41</v>
      </c>
      <c r="Z25" s="9"/>
      <c r="AA25" s="65"/>
      <c r="AB25" s="9">
        <v>337</v>
      </c>
      <c r="AC25" s="9"/>
      <c r="AD25" s="9">
        <v>224</v>
      </c>
      <c r="AE25" s="9">
        <v>238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>
        <f t="shared" si="0"/>
        <v>3</v>
      </c>
      <c r="AQ25" s="62">
        <f t="shared" si="1"/>
        <v>266.33333333333331</v>
      </c>
      <c r="AR25" s="11" t="str">
        <f>IF(AQ25&gt;='Aprovados Recursos do Fundo'!$AQ$1,"APROVADO","REPROVADO")</f>
        <v>APROVADO</v>
      </c>
      <c r="AS25" s="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2:56" s="64" customFormat="1" ht="39.950000000000003" hidden="1" customHeight="1" x14ac:dyDescent="0.25">
      <c r="B26" s="5">
        <v>35</v>
      </c>
      <c r="C26" s="6" t="s">
        <v>250</v>
      </c>
      <c r="D26" s="100" t="s">
        <v>3970</v>
      </c>
      <c r="E26" s="5" t="s">
        <v>33</v>
      </c>
      <c r="F26" s="5" t="s">
        <v>3971</v>
      </c>
      <c r="G26" s="7" t="s">
        <v>252</v>
      </c>
      <c r="H26" s="7" t="s">
        <v>36</v>
      </c>
      <c r="I26" s="8">
        <v>283010</v>
      </c>
      <c r="J26" s="8"/>
      <c r="K26" s="8"/>
      <c r="L26" s="8">
        <f t="shared" ref="L26:L28" si="8">I26*1.2</f>
        <v>339612</v>
      </c>
      <c r="M26" s="8"/>
      <c r="N26" s="8"/>
      <c r="O26" s="15">
        <f t="shared" ref="O26:O28" si="9">M26*0.83333332117758</f>
        <v>0</v>
      </c>
      <c r="P26" s="15">
        <f t="shared" ref="P26:P28" si="10">M26*0.16666667882242</f>
        <v>0</v>
      </c>
      <c r="Q26" s="8"/>
      <c r="R26" s="8"/>
      <c r="S26" s="7" t="s">
        <v>253</v>
      </c>
      <c r="T26" s="7" t="s">
        <v>254</v>
      </c>
      <c r="U26" s="7" t="s">
        <v>255</v>
      </c>
      <c r="V26" s="7">
        <v>1</v>
      </c>
      <c r="W26" s="31" t="s">
        <v>256</v>
      </c>
      <c r="X26" s="10">
        <v>45303</v>
      </c>
      <c r="Y26" s="7" t="s">
        <v>41</v>
      </c>
      <c r="Z26" s="7"/>
      <c r="AA26" s="65"/>
      <c r="AB26" s="9">
        <v>312</v>
      </c>
      <c r="AC26" s="9"/>
      <c r="AD26" s="9">
        <v>222</v>
      </c>
      <c r="AE26" s="9">
        <v>161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>
        <f t="shared" si="0"/>
        <v>3</v>
      </c>
      <c r="AQ26" s="62">
        <f t="shared" si="1"/>
        <v>231.66666666666666</v>
      </c>
      <c r="AR26" s="11" t="str">
        <f>IF(AQ26&gt;='Aprovados Recursos do Fundo'!$AQ$1,"APROVADO","REPROVADO")</f>
        <v>APROVADO</v>
      </c>
      <c r="AS26" s="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</row>
    <row r="27" spans="2:56" s="64" customFormat="1" ht="39.950000000000003" hidden="1" customHeight="1" x14ac:dyDescent="0.25">
      <c r="B27" s="5">
        <v>36</v>
      </c>
      <c r="C27" s="6" t="s">
        <v>257</v>
      </c>
      <c r="D27" s="100" t="s">
        <v>3972</v>
      </c>
      <c r="E27" s="5" t="s">
        <v>33</v>
      </c>
      <c r="F27" s="58" t="s">
        <v>258</v>
      </c>
      <c r="G27" s="7" t="s">
        <v>259</v>
      </c>
      <c r="H27" s="7" t="s">
        <v>260</v>
      </c>
      <c r="I27" s="8">
        <v>53388</v>
      </c>
      <c r="J27" s="8"/>
      <c r="K27" s="8"/>
      <c r="L27" s="8">
        <f t="shared" si="8"/>
        <v>64065.599999999999</v>
      </c>
      <c r="M27" s="8"/>
      <c r="N27" s="8"/>
      <c r="O27" s="15">
        <f t="shared" si="9"/>
        <v>0</v>
      </c>
      <c r="P27" s="15">
        <f t="shared" si="10"/>
        <v>0</v>
      </c>
      <c r="Q27" s="8"/>
      <c r="R27" s="8"/>
      <c r="S27" s="7" t="s">
        <v>261</v>
      </c>
      <c r="T27" s="7" t="s">
        <v>141</v>
      </c>
      <c r="U27" s="7" t="s">
        <v>262</v>
      </c>
      <c r="V27" s="7">
        <v>1</v>
      </c>
      <c r="W27" s="31" t="s">
        <v>263</v>
      </c>
      <c r="X27" s="10">
        <v>45303</v>
      </c>
      <c r="Y27" s="7" t="s">
        <v>41</v>
      </c>
      <c r="Z27" s="65"/>
      <c r="AA27" s="65"/>
      <c r="AB27" s="9">
        <v>297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>
        <v>243</v>
      </c>
      <c r="AN27" s="9">
        <v>287</v>
      </c>
      <c r="AO27" s="9"/>
      <c r="AP27" s="9">
        <f t="shared" si="0"/>
        <v>3</v>
      </c>
      <c r="AQ27" s="62">
        <f t="shared" si="1"/>
        <v>275.66666666666669</v>
      </c>
      <c r="AR27" s="11" t="str">
        <f>IF(AQ27&gt;=$AR$1,"APROVADO","REPROVADO")</f>
        <v>APROVADO</v>
      </c>
      <c r="AS27" s="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spans="2:56" s="64" customFormat="1" ht="39.950000000000003" hidden="1" customHeight="1" x14ac:dyDescent="0.25">
      <c r="B28" s="5">
        <v>39</v>
      </c>
      <c r="C28" s="6" t="s">
        <v>274</v>
      </c>
      <c r="D28" s="101" t="s">
        <v>3973</v>
      </c>
      <c r="E28" s="5" t="s">
        <v>33</v>
      </c>
      <c r="F28" s="5" t="s">
        <v>267</v>
      </c>
      <c r="G28" s="7" t="s">
        <v>275</v>
      </c>
      <c r="H28" s="5" t="s">
        <v>62</v>
      </c>
      <c r="I28" s="8">
        <v>220000</v>
      </c>
      <c r="J28" s="8"/>
      <c r="K28" s="8"/>
      <c r="L28" s="8">
        <f t="shared" si="8"/>
        <v>264000</v>
      </c>
      <c r="M28" s="8"/>
      <c r="N28" s="8"/>
      <c r="O28" s="15">
        <f t="shared" si="9"/>
        <v>0</v>
      </c>
      <c r="P28" s="15">
        <f t="shared" si="10"/>
        <v>0</v>
      </c>
      <c r="Q28" s="8"/>
      <c r="R28" s="8"/>
      <c r="S28" s="7" t="s">
        <v>269</v>
      </c>
      <c r="T28" s="7" t="s">
        <v>270</v>
      </c>
      <c r="U28" s="7" t="s">
        <v>271</v>
      </c>
      <c r="V28" s="7"/>
      <c r="W28" s="9" t="s">
        <v>272</v>
      </c>
      <c r="X28" s="10">
        <v>45303</v>
      </c>
      <c r="Y28" s="7" t="s">
        <v>67</v>
      </c>
      <c r="Z28" s="7"/>
      <c r="AA28" s="65"/>
      <c r="AB28" s="9">
        <v>340</v>
      </c>
      <c r="AC28" s="9">
        <v>123</v>
      </c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>
        <v>238</v>
      </c>
      <c r="AP28" s="9">
        <f t="shared" si="0"/>
        <v>3</v>
      </c>
      <c r="AQ28" s="62">
        <f t="shared" si="1"/>
        <v>233.66666666666666</v>
      </c>
      <c r="AR28" s="11" t="str">
        <f>IF(AQ28&gt;='Aprovados Recursos do Fundo'!$AQ$1,"APROVADO","REPROVADO")</f>
        <v>APROVADO</v>
      </c>
      <c r="AS28" s="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</row>
    <row r="29" spans="2:56" s="64" customFormat="1" ht="39.950000000000003" hidden="1" customHeight="1" x14ac:dyDescent="0.25">
      <c r="B29" s="5">
        <v>42</v>
      </c>
      <c r="C29" s="6" t="s">
        <v>284</v>
      </c>
      <c r="D29" s="5"/>
      <c r="E29" s="5" t="s">
        <v>51</v>
      </c>
      <c r="F29" s="5" t="s">
        <v>277</v>
      </c>
      <c r="G29" s="7" t="s">
        <v>285</v>
      </c>
      <c r="H29" s="7" t="s">
        <v>36</v>
      </c>
      <c r="I29" s="8">
        <v>400000</v>
      </c>
      <c r="J29" s="8"/>
      <c r="K29" s="8"/>
      <c r="L29" s="8">
        <v>480000</v>
      </c>
      <c r="M29" s="8"/>
      <c r="N29" s="8"/>
      <c r="O29" s="8"/>
      <c r="P29" s="8"/>
      <c r="Q29" s="8"/>
      <c r="R29" s="8"/>
      <c r="S29" s="7" t="s">
        <v>269</v>
      </c>
      <c r="T29" s="7" t="s">
        <v>270</v>
      </c>
      <c r="U29" s="7" t="s">
        <v>279</v>
      </c>
      <c r="V29" s="7"/>
      <c r="W29" s="31" t="s">
        <v>286</v>
      </c>
      <c r="X29" s="10">
        <v>45303</v>
      </c>
      <c r="Y29" s="9" t="s">
        <v>57</v>
      </c>
      <c r="Z29" s="9"/>
      <c r="AA29" s="65"/>
      <c r="AB29" s="9">
        <v>277</v>
      </c>
      <c r="AC29" s="9">
        <v>91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>
        <v>292</v>
      </c>
      <c r="AO29" s="9"/>
      <c r="AP29" s="9">
        <f t="shared" si="0"/>
        <v>3</v>
      </c>
      <c r="AQ29" s="62">
        <f t="shared" si="1"/>
        <v>220</v>
      </c>
      <c r="AR29" s="11" t="str">
        <f>IF(AQ29&gt;='Aprovados Recursos do Fundo'!$AQ$1,"APROVADO","REPROVADO")</f>
        <v>APROVADO</v>
      </c>
      <c r="AS29" s="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2:56" s="64" customFormat="1" ht="39.950000000000003" hidden="1" customHeight="1" x14ac:dyDescent="0.25">
      <c r="B30" s="5">
        <v>43</v>
      </c>
      <c r="C30" s="6" t="s">
        <v>287</v>
      </c>
      <c r="D30" s="101" t="s">
        <v>3974</v>
      </c>
      <c r="E30" s="5" t="s">
        <v>33</v>
      </c>
      <c r="F30" s="7" t="s">
        <v>288</v>
      </c>
      <c r="G30" s="7" t="s">
        <v>289</v>
      </c>
      <c r="H30" s="7" t="s">
        <v>36</v>
      </c>
      <c r="I30" s="8">
        <v>270000</v>
      </c>
      <c r="J30" s="8"/>
      <c r="K30" s="8"/>
      <c r="L30" s="8">
        <f t="shared" ref="L30:L41" si="11">I30*1.2</f>
        <v>324000</v>
      </c>
      <c r="M30" s="8"/>
      <c r="N30" s="8"/>
      <c r="O30" s="15">
        <f t="shared" ref="O30:O41" si="12">M30*0.83333332117758</f>
        <v>0</v>
      </c>
      <c r="P30" s="15">
        <f t="shared" ref="P30:P41" si="13">M30*0.16666667882242</f>
        <v>0</v>
      </c>
      <c r="Q30" s="8"/>
      <c r="R30" s="8"/>
      <c r="S30" s="7" t="s">
        <v>290</v>
      </c>
      <c r="T30" s="7" t="s">
        <v>154</v>
      </c>
      <c r="U30" s="7" t="s">
        <v>291</v>
      </c>
      <c r="V30" s="7"/>
      <c r="W30" s="9" t="s">
        <v>292</v>
      </c>
      <c r="X30" s="10">
        <v>45303</v>
      </c>
      <c r="Y30" s="7" t="s">
        <v>41</v>
      </c>
      <c r="Z30" s="7"/>
      <c r="AA30" s="65"/>
      <c r="AB30" s="9">
        <v>340</v>
      </c>
      <c r="AC30" s="9"/>
      <c r="AD30" s="9">
        <v>189</v>
      </c>
      <c r="AE30" s="9">
        <v>212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>
        <f t="shared" si="0"/>
        <v>3</v>
      </c>
      <c r="AQ30" s="62">
        <f t="shared" si="1"/>
        <v>247</v>
      </c>
      <c r="AR30" s="11" t="str">
        <f>IF(AQ30&gt;='Aprovados Recursos do Fundo'!$AQ$1,"APROVADO","REPROVADO")</f>
        <v>APROVADO</v>
      </c>
      <c r="AS30" s="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</row>
    <row r="31" spans="2:56" s="64" customFormat="1" ht="39.950000000000003" hidden="1" customHeight="1" x14ac:dyDescent="0.25">
      <c r="B31" s="5">
        <v>44</v>
      </c>
      <c r="C31" s="6" t="s">
        <v>293</v>
      </c>
      <c r="D31" s="101" t="s">
        <v>3975</v>
      </c>
      <c r="E31" s="5" t="s">
        <v>33</v>
      </c>
      <c r="F31" s="58" t="s">
        <v>288</v>
      </c>
      <c r="G31" s="7" t="s">
        <v>294</v>
      </c>
      <c r="H31" s="5" t="s">
        <v>62</v>
      </c>
      <c r="I31" s="8">
        <v>188640</v>
      </c>
      <c r="J31" s="8"/>
      <c r="K31" s="8"/>
      <c r="L31" s="8">
        <f t="shared" si="11"/>
        <v>226368</v>
      </c>
      <c r="M31" s="8"/>
      <c r="N31" s="8"/>
      <c r="O31" s="15">
        <f t="shared" si="12"/>
        <v>0</v>
      </c>
      <c r="P31" s="15">
        <f t="shared" si="13"/>
        <v>0</v>
      </c>
      <c r="Q31" s="8"/>
      <c r="R31" s="8"/>
      <c r="S31" s="7" t="s">
        <v>290</v>
      </c>
      <c r="T31" s="7" t="s">
        <v>154</v>
      </c>
      <c r="U31" s="7" t="s">
        <v>291</v>
      </c>
      <c r="V31" s="7"/>
      <c r="W31" s="9" t="s">
        <v>292</v>
      </c>
      <c r="X31" s="10">
        <v>45303</v>
      </c>
      <c r="Y31" s="7" t="s">
        <v>41</v>
      </c>
      <c r="Z31" s="7"/>
      <c r="AA31" s="65"/>
      <c r="AB31" s="9">
        <v>327</v>
      </c>
      <c r="AC31" s="9"/>
      <c r="AD31" s="9">
        <v>190</v>
      </c>
      <c r="AE31" s="9">
        <v>153</v>
      </c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>
        <f t="shared" si="0"/>
        <v>3</v>
      </c>
      <c r="AQ31" s="62">
        <f t="shared" si="1"/>
        <v>223.33333333333334</v>
      </c>
      <c r="AR31" s="11" t="str">
        <f>IF(AQ31&gt;=$AR$1,"APROVADO","REPROVADO")</f>
        <v>APROVADO</v>
      </c>
      <c r="AS31" s="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</row>
    <row r="32" spans="2:56" s="64" customFormat="1" ht="39.950000000000003" hidden="1" customHeight="1" x14ac:dyDescent="0.25">
      <c r="B32" s="5">
        <v>45</v>
      </c>
      <c r="C32" s="6" t="s">
        <v>295</v>
      </c>
      <c r="D32" s="101" t="s">
        <v>3976</v>
      </c>
      <c r="E32" s="5" t="s">
        <v>33</v>
      </c>
      <c r="F32" s="58" t="s">
        <v>288</v>
      </c>
      <c r="G32" s="7" t="s">
        <v>296</v>
      </c>
      <c r="H32" s="7" t="s">
        <v>107</v>
      </c>
      <c r="I32" s="8">
        <v>240000</v>
      </c>
      <c r="J32" s="8"/>
      <c r="K32" s="8"/>
      <c r="L32" s="8">
        <f t="shared" si="11"/>
        <v>288000</v>
      </c>
      <c r="M32" s="8"/>
      <c r="N32" s="8"/>
      <c r="O32" s="15">
        <f t="shared" si="12"/>
        <v>0</v>
      </c>
      <c r="P32" s="15">
        <f t="shared" si="13"/>
        <v>0</v>
      </c>
      <c r="Q32" s="8"/>
      <c r="R32" s="8"/>
      <c r="S32" s="7" t="s">
        <v>290</v>
      </c>
      <c r="T32" s="7" t="s">
        <v>154</v>
      </c>
      <c r="U32" s="7" t="s">
        <v>291</v>
      </c>
      <c r="V32" s="7"/>
      <c r="W32" s="9" t="s">
        <v>292</v>
      </c>
      <c r="X32" s="10">
        <v>45303</v>
      </c>
      <c r="Y32" s="7" t="s">
        <v>41</v>
      </c>
      <c r="Z32" s="7"/>
      <c r="AA32" s="65"/>
      <c r="AB32" s="9">
        <v>333</v>
      </c>
      <c r="AC32" s="9"/>
      <c r="AD32" s="9">
        <v>200</v>
      </c>
      <c r="AE32" s="9">
        <v>168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>
        <f t="shared" si="0"/>
        <v>3</v>
      </c>
      <c r="AQ32" s="62">
        <f t="shared" si="1"/>
        <v>233.66666666666666</v>
      </c>
      <c r="AR32" s="11" t="str">
        <f>IF(AQ32&gt;=$AR$1,"APROVADO","REPROVADO")</f>
        <v>APROVADO</v>
      </c>
      <c r="AS32" s="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</row>
    <row r="33" spans="2:58" s="64" customFormat="1" ht="39.950000000000003" hidden="1" customHeight="1" x14ac:dyDescent="0.25">
      <c r="B33" s="5">
        <v>46</v>
      </c>
      <c r="C33" s="6" t="s">
        <v>297</v>
      </c>
      <c r="D33" s="100" t="s">
        <v>3977</v>
      </c>
      <c r="E33" s="5" t="s">
        <v>33</v>
      </c>
      <c r="F33" s="7" t="s">
        <v>298</v>
      </c>
      <c r="G33" s="7" t="s">
        <v>299</v>
      </c>
      <c r="H33" s="7" t="s">
        <v>300</v>
      </c>
      <c r="I33" s="8">
        <v>252000</v>
      </c>
      <c r="J33" s="8"/>
      <c r="K33" s="8"/>
      <c r="L33" s="8">
        <f t="shared" si="11"/>
        <v>302400</v>
      </c>
      <c r="M33" s="8"/>
      <c r="N33" s="8"/>
      <c r="O33" s="15">
        <f t="shared" si="12"/>
        <v>0</v>
      </c>
      <c r="P33" s="15">
        <f t="shared" si="13"/>
        <v>0</v>
      </c>
      <c r="Q33" s="8"/>
      <c r="R33" s="8"/>
      <c r="S33" s="7" t="s">
        <v>290</v>
      </c>
      <c r="T33" s="7" t="s">
        <v>154</v>
      </c>
      <c r="U33" s="7" t="s">
        <v>301</v>
      </c>
      <c r="V33" s="7">
        <v>1</v>
      </c>
      <c r="W33" s="9" t="s">
        <v>302</v>
      </c>
      <c r="X33" s="10">
        <v>45303</v>
      </c>
      <c r="Y33" s="7" t="s">
        <v>41</v>
      </c>
      <c r="Z33" s="7"/>
      <c r="AA33" s="65"/>
      <c r="AB33" s="9">
        <v>286</v>
      </c>
      <c r="AC33" s="9">
        <v>305</v>
      </c>
      <c r="AD33" s="9"/>
      <c r="AE33" s="9">
        <v>306</v>
      </c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>
        <f t="shared" si="0"/>
        <v>3</v>
      </c>
      <c r="AQ33" s="62">
        <f t="shared" si="1"/>
        <v>299</v>
      </c>
      <c r="AR33" s="11" t="str">
        <f>IF(AQ33&gt;='Aprovados Recursos do Fundo'!$AQ$1,"APROVADO","REPROVADO")</f>
        <v>APROVADO</v>
      </c>
      <c r="AS33" s="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spans="2:58" s="64" customFormat="1" ht="39.950000000000003" hidden="1" customHeight="1" x14ac:dyDescent="0.25">
      <c r="B34" s="5">
        <v>47</v>
      </c>
      <c r="C34" s="6" t="s">
        <v>303</v>
      </c>
      <c r="D34" s="100" t="s">
        <v>3978</v>
      </c>
      <c r="E34" s="5" t="s">
        <v>33</v>
      </c>
      <c r="F34" s="58" t="s">
        <v>298</v>
      </c>
      <c r="G34" s="7" t="s">
        <v>304</v>
      </c>
      <c r="H34" s="7" t="s">
        <v>36</v>
      </c>
      <c r="I34" s="8">
        <v>500000</v>
      </c>
      <c r="J34" s="8"/>
      <c r="K34" s="8"/>
      <c r="L34" s="8">
        <f t="shared" si="11"/>
        <v>600000</v>
      </c>
      <c r="M34" s="8"/>
      <c r="N34" s="8"/>
      <c r="O34" s="15">
        <f t="shared" si="12"/>
        <v>0</v>
      </c>
      <c r="P34" s="15">
        <f t="shared" si="13"/>
        <v>0</v>
      </c>
      <c r="Q34" s="8"/>
      <c r="R34" s="8"/>
      <c r="S34" s="7" t="s">
        <v>290</v>
      </c>
      <c r="T34" s="7" t="s">
        <v>154</v>
      </c>
      <c r="U34" s="7" t="s">
        <v>301</v>
      </c>
      <c r="V34" s="7">
        <v>1</v>
      </c>
      <c r="W34" s="9" t="s">
        <v>302</v>
      </c>
      <c r="X34" s="10">
        <v>45303</v>
      </c>
      <c r="Y34" s="7" t="s">
        <v>41</v>
      </c>
      <c r="Z34" s="7" t="s">
        <v>305</v>
      </c>
      <c r="AA34" s="65"/>
      <c r="AB34" s="9">
        <v>340</v>
      </c>
      <c r="AC34" s="9">
        <v>159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>
        <v>333</v>
      </c>
      <c r="AO34" s="9"/>
      <c r="AP34" s="9">
        <f t="shared" si="0"/>
        <v>3</v>
      </c>
      <c r="AQ34" s="62">
        <f t="shared" si="1"/>
        <v>277.33333333333331</v>
      </c>
      <c r="AR34" s="11" t="str">
        <f>IF(AQ34&gt;=$AR$1,"APROVADO","REPROVADO")</f>
        <v>APROVADO</v>
      </c>
      <c r="AS34" s="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</row>
    <row r="35" spans="2:58" s="64" customFormat="1" ht="39.950000000000003" hidden="1" customHeight="1" x14ac:dyDescent="0.25">
      <c r="B35" s="5">
        <v>48</v>
      </c>
      <c r="C35" s="22" t="s">
        <v>306</v>
      </c>
      <c r="D35" s="100" t="s">
        <v>3979</v>
      </c>
      <c r="E35" s="5" t="s">
        <v>33</v>
      </c>
      <c r="F35" s="5" t="s">
        <v>307</v>
      </c>
      <c r="G35" s="7" t="s">
        <v>308</v>
      </c>
      <c r="H35" s="7" t="s">
        <v>36</v>
      </c>
      <c r="I35" s="8">
        <v>200000</v>
      </c>
      <c r="J35" s="8"/>
      <c r="K35" s="8"/>
      <c r="L35" s="8">
        <f t="shared" si="11"/>
        <v>240000</v>
      </c>
      <c r="M35" s="8"/>
      <c r="N35" s="8"/>
      <c r="O35" s="15">
        <f t="shared" si="12"/>
        <v>0</v>
      </c>
      <c r="P35" s="15">
        <f t="shared" si="13"/>
        <v>0</v>
      </c>
      <c r="Q35" s="8"/>
      <c r="R35" s="8"/>
      <c r="S35" s="7" t="s">
        <v>290</v>
      </c>
      <c r="T35" s="7" t="s">
        <v>154</v>
      </c>
      <c r="U35" s="7" t="s">
        <v>309</v>
      </c>
      <c r="V35" s="7">
        <v>1</v>
      </c>
      <c r="W35" s="9" t="s">
        <v>310</v>
      </c>
      <c r="X35" s="10">
        <v>45303</v>
      </c>
      <c r="Y35" s="7" t="s">
        <v>41</v>
      </c>
      <c r="Z35" s="7"/>
      <c r="AA35" s="65"/>
      <c r="AB35" s="9">
        <v>327</v>
      </c>
      <c r="AC35" s="9"/>
      <c r="AD35" s="9">
        <v>224</v>
      </c>
      <c r="AE35" s="9">
        <v>142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>
        <f t="shared" si="0"/>
        <v>3</v>
      </c>
      <c r="AQ35" s="62">
        <f t="shared" si="1"/>
        <v>231</v>
      </c>
      <c r="AR35" s="11" t="str">
        <f>IF(AQ35&gt;='Aprovados Recursos do Fundo'!$AQ$1,"APROVADO","REPROVADO")</f>
        <v>APROVADO</v>
      </c>
      <c r="AS35" s="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 spans="2:58" s="64" customFormat="1" ht="39.950000000000003" hidden="1" customHeight="1" x14ac:dyDescent="0.25">
      <c r="B36" s="5">
        <v>49</v>
      </c>
      <c r="C36" s="6" t="s">
        <v>311</v>
      </c>
      <c r="D36" s="101" t="s">
        <v>3980</v>
      </c>
      <c r="E36" s="5" t="s">
        <v>33</v>
      </c>
      <c r="F36" s="5" t="s">
        <v>312</v>
      </c>
      <c r="G36" s="7" t="s">
        <v>313</v>
      </c>
      <c r="H36" s="7" t="s">
        <v>36</v>
      </c>
      <c r="I36" s="8">
        <v>37863.96</v>
      </c>
      <c r="J36" s="8"/>
      <c r="K36" s="8"/>
      <c r="L36" s="8">
        <f t="shared" si="11"/>
        <v>45436.752</v>
      </c>
      <c r="M36" s="8"/>
      <c r="N36" s="8"/>
      <c r="O36" s="15">
        <f t="shared" si="12"/>
        <v>0</v>
      </c>
      <c r="P36" s="15">
        <f t="shared" si="13"/>
        <v>0</v>
      </c>
      <c r="Q36" s="8"/>
      <c r="R36" s="8"/>
      <c r="S36" s="7" t="s">
        <v>290</v>
      </c>
      <c r="T36" s="7" t="s">
        <v>154</v>
      </c>
      <c r="U36" s="7" t="s">
        <v>314</v>
      </c>
      <c r="V36" s="7"/>
      <c r="W36" s="9" t="s">
        <v>315</v>
      </c>
      <c r="X36" s="10">
        <v>45303</v>
      </c>
      <c r="Y36" s="7" t="s">
        <v>41</v>
      </c>
      <c r="Z36" s="7" t="s">
        <v>316</v>
      </c>
      <c r="AA36" s="65"/>
      <c r="AB36" s="9">
        <v>340</v>
      </c>
      <c r="AC36" s="9">
        <v>117</v>
      </c>
      <c r="AD36" s="9"/>
      <c r="AE36" s="9">
        <v>265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>
        <f t="shared" si="0"/>
        <v>3</v>
      </c>
      <c r="AQ36" s="62">
        <f t="shared" si="1"/>
        <v>240.66666666666666</v>
      </c>
      <c r="AR36" s="11" t="str">
        <f>IF(AQ36&gt;='Aprovados Recursos do Fundo'!$AQ$1,"APROVADO","REPROVADO")</f>
        <v>APROVADO</v>
      </c>
      <c r="AS36" s="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 spans="2:58" s="64" customFormat="1" ht="39.950000000000003" hidden="1" customHeight="1" x14ac:dyDescent="0.25">
      <c r="B37" s="5">
        <v>51</v>
      </c>
      <c r="C37" s="6" t="s">
        <v>322</v>
      </c>
      <c r="D37" s="100" t="s">
        <v>3981</v>
      </c>
      <c r="E37" s="5" t="s">
        <v>33</v>
      </c>
      <c r="F37" s="5" t="s">
        <v>323</v>
      </c>
      <c r="G37" s="7" t="s">
        <v>324</v>
      </c>
      <c r="H37" s="7" t="s">
        <v>36</v>
      </c>
      <c r="I37" s="8">
        <v>345133.32</v>
      </c>
      <c r="J37" s="8"/>
      <c r="K37" s="8"/>
      <c r="L37" s="8">
        <f t="shared" si="11"/>
        <v>414159.984</v>
      </c>
      <c r="M37" s="8"/>
      <c r="N37" s="8"/>
      <c r="O37" s="15">
        <f t="shared" si="12"/>
        <v>0</v>
      </c>
      <c r="P37" s="15">
        <f t="shared" si="13"/>
        <v>0</v>
      </c>
      <c r="Q37" s="8"/>
      <c r="R37" s="8"/>
      <c r="S37" s="7" t="s">
        <v>325</v>
      </c>
      <c r="T37" s="7" t="s">
        <v>64</v>
      </c>
      <c r="U37" s="7" t="s">
        <v>326</v>
      </c>
      <c r="V37" s="7">
        <v>1</v>
      </c>
      <c r="W37" s="9" t="s">
        <v>327</v>
      </c>
      <c r="X37" s="10">
        <v>45303</v>
      </c>
      <c r="Y37" s="7" t="s">
        <v>67</v>
      </c>
      <c r="Z37" s="7" t="s">
        <v>98</v>
      </c>
      <c r="AA37" s="7"/>
      <c r="AB37" s="9">
        <v>315</v>
      </c>
      <c r="AC37" s="9">
        <v>242</v>
      </c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>
        <v>289</v>
      </c>
      <c r="AP37" s="9">
        <f t="shared" si="0"/>
        <v>3</v>
      </c>
      <c r="AQ37" s="62">
        <f t="shared" si="1"/>
        <v>282</v>
      </c>
      <c r="AR37" s="11" t="str">
        <f>IF(AQ37&gt;='Aprovados Recursos do Fundo'!$AQ$1,"APROVADO","REPROVADO")</f>
        <v>APROVADO</v>
      </c>
      <c r="AS37" s="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spans="2:58" s="64" customFormat="1" ht="39.950000000000003" customHeight="1" x14ac:dyDescent="0.25">
      <c r="B38" s="5">
        <v>52</v>
      </c>
      <c r="C38" s="6" t="s">
        <v>328</v>
      </c>
      <c r="D38" s="100" t="s">
        <v>3982</v>
      </c>
      <c r="E38" s="5" t="s">
        <v>33</v>
      </c>
      <c r="F38" s="5" t="s">
        <v>329</v>
      </c>
      <c r="G38" s="7" t="s">
        <v>330</v>
      </c>
      <c r="H38" s="5" t="s">
        <v>62</v>
      </c>
      <c r="I38" s="163">
        <v>1372823.82</v>
      </c>
      <c r="J38" s="15">
        <v>1355658.88</v>
      </c>
      <c r="K38" s="15">
        <v>17164.939999999999</v>
      </c>
      <c r="L38" s="8">
        <f t="shared" si="11"/>
        <v>1647388.584</v>
      </c>
      <c r="M38" s="8">
        <f>40500+1603529.78+72000</f>
        <v>1716029.78</v>
      </c>
      <c r="N38" s="8">
        <f>L38-M38</f>
        <v>-68641.195999999996</v>
      </c>
      <c r="O38" s="15">
        <f t="shared" si="12"/>
        <v>1430024.7958070319</v>
      </c>
      <c r="P38" s="15">
        <f t="shared" si="13"/>
        <v>286004.98419296806</v>
      </c>
      <c r="Q38" s="143">
        <f>M38/L38</f>
        <v>1.0416666697017734</v>
      </c>
      <c r="R38" s="159">
        <v>120</v>
      </c>
      <c r="S38" s="7" t="s">
        <v>73</v>
      </c>
      <c r="T38" s="7" t="s">
        <v>74</v>
      </c>
      <c r="U38" s="7" t="s">
        <v>331</v>
      </c>
      <c r="V38" s="7">
        <v>1</v>
      </c>
      <c r="W38" s="9" t="s">
        <v>332</v>
      </c>
      <c r="X38" s="10">
        <v>45303</v>
      </c>
      <c r="Y38" s="7" t="s">
        <v>41</v>
      </c>
      <c r="Z38" s="7"/>
      <c r="AA38" s="7"/>
      <c r="AB38" s="9">
        <v>340</v>
      </c>
      <c r="AC38" s="9"/>
      <c r="AD38" s="9">
        <v>272</v>
      </c>
      <c r="AE38" s="9">
        <v>288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>
        <f t="shared" si="0"/>
        <v>3</v>
      </c>
      <c r="AQ38" s="62">
        <f t="shared" si="1"/>
        <v>300</v>
      </c>
      <c r="AR38" s="11" t="str">
        <f>IF(AQ38&gt;='Aprovados Recursos do Fundo'!$AQ$1,"APROVADO","REPROVADO")</f>
        <v>APROVADO</v>
      </c>
      <c r="AS38" s="5" t="s">
        <v>3983</v>
      </c>
      <c r="AT38" s="8" t="s">
        <v>2986</v>
      </c>
      <c r="AU38" s="156" t="s">
        <v>3037</v>
      </c>
      <c r="AV38" s="152">
        <v>45933</v>
      </c>
      <c r="AW38" s="10">
        <f>EDATE(AV38,12)</f>
        <v>46298</v>
      </c>
      <c r="AX38" s="152">
        <v>45940</v>
      </c>
      <c r="AY38" s="152">
        <v>45985</v>
      </c>
      <c r="AZ38" s="8"/>
      <c r="BA38" s="8"/>
      <c r="BB38" s="5" t="s">
        <v>3261</v>
      </c>
      <c r="BC38" s="34">
        <v>45985</v>
      </c>
      <c r="BD38" s="145">
        <f>_xlfn.DAYS(BD2,BC38)</f>
        <v>116</v>
      </c>
    </row>
    <row r="39" spans="2:58" s="64" customFormat="1" ht="39.950000000000003" hidden="1" customHeight="1" x14ac:dyDescent="0.25">
      <c r="B39" s="5">
        <v>53</v>
      </c>
      <c r="C39" s="6" t="s">
        <v>333</v>
      </c>
      <c r="D39" s="101" t="s">
        <v>3984</v>
      </c>
      <c r="E39" s="5" t="s">
        <v>33</v>
      </c>
      <c r="F39" s="5" t="s">
        <v>334</v>
      </c>
      <c r="G39" s="5" t="s">
        <v>335</v>
      </c>
      <c r="H39" s="7" t="s">
        <v>336</v>
      </c>
      <c r="I39" s="8">
        <v>1111410.1299999999</v>
      </c>
      <c r="J39" s="8"/>
      <c r="K39" s="8"/>
      <c r="L39" s="8">
        <f t="shared" si="11"/>
        <v>1333692.1559999997</v>
      </c>
      <c r="M39" s="8">
        <f>120000+8991+326299+12000+282229+38786+89714</f>
        <v>878019</v>
      </c>
      <c r="N39" s="8">
        <f>L39-M39</f>
        <v>455673.15599999973</v>
      </c>
      <c r="O39" s="15">
        <f t="shared" si="12"/>
        <v>731682.48932701757</v>
      </c>
      <c r="P39" s="15">
        <f t="shared" si="13"/>
        <v>146336.5106729824</v>
      </c>
      <c r="Q39" s="136">
        <f>M39/L39</f>
        <v>0.65833708029996107</v>
      </c>
      <c r="R39" s="159"/>
      <c r="S39" s="7" t="s">
        <v>73</v>
      </c>
      <c r="T39" s="7" t="s">
        <v>74</v>
      </c>
      <c r="U39" s="7" t="s">
        <v>337</v>
      </c>
      <c r="V39" s="7"/>
      <c r="W39" s="9" t="s">
        <v>338</v>
      </c>
      <c r="X39" s="10">
        <v>45303</v>
      </c>
      <c r="Y39" s="5" t="s">
        <v>67</v>
      </c>
      <c r="Z39" s="7" t="s">
        <v>68</v>
      </c>
      <c r="AA39" s="7"/>
      <c r="AB39" s="9">
        <v>284</v>
      </c>
      <c r="AC39" s="9"/>
      <c r="AD39" s="9">
        <v>246</v>
      </c>
      <c r="AE39" s="9">
        <v>172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>
        <f t="shared" si="0"/>
        <v>3</v>
      </c>
      <c r="AQ39" s="62">
        <f t="shared" si="1"/>
        <v>234</v>
      </c>
      <c r="AR39" s="11" t="str">
        <f>IF(AQ39&gt;='Aprovados Recursos do Fundo'!$AQ$1,"APROVADO","REPROVADO")</f>
        <v>APROVADO</v>
      </c>
      <c r="AS39" s="5"/>
      <c r="AT39" s="65"/>
      <c r="AU39" s="65"/>
      <c r="AV39" s="65"/>
      <c r="AW39" s="65"/>
      <c r="AX39" s="65"/>
      <c r="AY39" s="65"/>
      <c r="AZ39" s="65"/>
      <c r="BA39" s="65"/>
      <c r="BB39" s="65"/>
      <c r="BC39" s="34"/>
      <c r="BD39" s="65"/>
    </row>
    <row r="40" spans="2:58" s="64" customFormat="1" ht="39.950000000000003" hidden="1" customHeight="1" x14ac:dyDescent="0.25">
      <c r="B40" s="5">
        <v>54</v>
      </c>
      <c r="C40" s="6" t="s">
        <v>339</v>
      </c>
      <c r="D40" s="101" t="s">
        <v>3985</v>
      </c>
      <c r="E40" s="5" t="s">
        <v>33</v>
      </c>
      <c r="F40" s="5" t="s">
        <v>340</v>
      </c>
      <c r="G40" s="7" t="s">
        <v>341</v>
      </c>
      <c r="H40" s="7" t="s">
        <v>36</v>
      </c>
      <c r="I40" s="8">
        <v>88952.51</v>
      </c>
      <c r="J40" s="8"/>
      <c r="K40" s="8"/>
      <c r="L40" s="8">
        <f t="shared" si="11"/>
        <v>106743.01199999999</v>
      </c>
      <c r="M40" s="8"/>
      <c r="N40" s="8"/>
      <c r="O40" s="15">
        <f t="shared" si="12"/>
        <v>0</v>
      </c>
      <c r="P40" s="15">
        <f t="shared" si="13"/>
        <v>0</v>
      </c>
      <c r="Q40" s="8"/>
      <c r="R40" s="159"/>
      <c r="S40" s="7" t="s">
        <v>342</v>
      </c>
      <c r="T40" s="7" t="s">
        <v>235</v>
      </c>
      <c r="U40" s="7" t="s">
        <v>343</v>
      </c>
      <c r="V40" s="7"/>
      <c r="W40" s="9" t="s">
        <v>344</v>
      </c>
      <c r="X40" s="10">
        <v>45306</v>
      </c>
      <c r="Y40" s="7" t="s">
        <v>41</v>
      </c>
      <c r="Z40" s="7"/>
      <c r="AA40" s="7"/>
      <c r="AB40" s="9">
        <v>340</v>
      </c>
      <c r="AC40" s="9"/>
      <c r="AD40" s="9">
        <v>246</v>
      </c>
      <c r="AE40" s="9">
        <v>290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>
        <f t="shared" si="0"/>
        <v>3</v>
      </c>
      <c r="AQ40" s="62">
        <f t="shared" si="1"/>
        <v>292</v>
      </c>
      <c r="AR40" s="11" t="str">
        <f>IF(AQ40&gt;='Aprovados Recursos do Fundo'!$AQ$1,"APROVADO","REPROVADO")</f>
        <v>APROVADO</v>
      </c>
      <c r="AS40" s="5"/>
      <c r="AT40" s="65"/>
      <c r="AU40" s="65"/>
      <c r="AV40" s="65"/>
      <c r="AW40" s="65"/>
      <c r="AX40" s="65"/>
      <c r="AY40" s="65"/>
      <c r="AZ40" s="65"/>
      <c r="BA40" s="65"/>
      <c r="BB40" s="65"/>
      <c r="BC40" s="34"/>
      <c r="BD40" s="65"/>
    </row>
    <row r="41" spans="2:58" s="64" customFormat="1" ht="39.950000000000003" hidden="1" customHeight="1" x14ac:dyDescent="0.25">
      <c r="B41" s="5">
        <v>55</v>
      </c>
      <c r="C41" s="6" t="s">
        <v>345</v>
      </c>
      <c r="D41" s="101" t="s">
        <v>3986</v>
      </c>
      <c r="E41" s="5" t="s">
        <v>33</v>
      </c>
      <c r="F41" s="7" t="s">
        <v>172</v>
      </c>
      <c r="G41" s="7" t="s">
        <v>346</v>
      </c>
      <c r="H41" s="7" t="s">
        <v>174</v>
      </c>
      <c r="I41" s="8">
        <v>388555.13</v>
      </c>
      <c r="J41" s="8"/>
      <c r="K41" s="8"/>
      <c r="L41" s="8">
        <f t="shared" si="11"/>
        <v>466266.15600000002</v>
      </c>
      <c r="M41" s="8"/>
      <c r="N41" s="8"/>
      <c r="O41" s="15">
        <f t="shared" si="12"/>
        <v>0</v>
      </c>
      <c r="P41" s="15">
        <f t="shared" si="13"/>
        <v>0</v>
      </c>
      <c r="Q41" s="8"/>
      <c r="R41" s="159"/>
      <c r="S41" s="7" t="s">
        <v>347</v>
      </c>
      <c r="T41" s="7" t="s">
        <v>348</v>
      </c>
      <c r="U41" s="7" t="s">
        <v>349</v>
      </c>
      <c r="V41" s="7"/>
      <c r="W41" s="23" t="s">
        <v>350</v>
      </c>
      <c r="X41" s="10">
        <v>45306</v>
      </c>
      <c r="Y41" s="7" t="s">
        <v>67</v>
      </c>
      <c r="Z41" s="7" t="s">
        <v>98</v>
      </c>
      <c r="AA41" s="7"/>
      <c r="AB41" s="9"/>
      <c r="AC41" s="9">
        <v>111</v>
      </c>
      <c r="AD41" s="9"/>
      <c r="AE41" s="9"/>
      <c r="AF41" s="9"/>
      <c r="AG41" s="9"/>
      <c r="AH41" s="9"/>
      <c r="AI41" s="9">
        <v>300</v>
      </c>
      <c r="AJ41" s="9">
        <v>324</v>
      </c>
      <c r="AK41" s="9"/>
      <c r="AL41" s="9"/>
      <c r="AM41" s="9"/>
      <c r="AN41" s="9"/>
      <c r="AO41" s="9"/>
      <c r="AP41" s="9">
        <f t="shared" si="0"/>
        <v>3</v>
      </c>
      <c r="AQ41" s="62">
        <f t="shared" si="1"/>
        <v>245</v>
      </c>
      <c r="AR41" s="11" t="str">
        <f>IF(AQ41&gt;='Aprovados Recursos do Fundo'!$AQ$1,"APROVADO","REPROVADO")</f>
        <v>APROVADO</v>
      </c>
      <c r="AS41" s="5"/>
      <c r="AT41" s="65"/>
      <c r="AU41" s="65"/>
      <c r="AV41" s="65"/>
      <c r="AW41" s="65"/>
      <c r="AX41" s="65"/>
      <c r="AY41" s="65"/>
      <c r="AZ41" s="65"/>
      <c r="BA41" s="65"/>
      <c r="BB41" s="65"/>
      <c r="BC41" s="34"/>
      <c r="BD41" s="65"/>
    </row>
    <row r="42" spans="2:58" s="64" customFormat="1" ht="39.950000000000003" hidden="1" customHeight="1" x14ac:dyDescent="0.25">
      <c r="B42" s="5">
        <v>58</v>
      </c>
      <c r="C42" s="22" t="s">
        <v>356</v>
      </c>
      <c r="D42" s="99"/>
      <c r="E42" s="5" t="s">
        <v>51</v>
      </c>
      <c r="F42" s="58" t="s">
        <v>354</v>
      </c>
      <c r="G42" s="7" t="s">
        <v>357</v>
      </c>
      <c r="H42" s="7" t="s">
        <v>62</v>
      </c>
      <c r="I42" s="8">
        <v>39973</v>
      </c>
      <c r="J42" s="8"/>
      <c r="K42" s="8"/>
      <c r="L42" s="8">
        <v>47967.6</v>
      </c>
      <c r="M42" s="8"/>
      <c r="N42" s="8"/>
      <c r="O42" s="8"/>
      <c r="P42" s="8"/>
      <c r="Q42" s="8"/>
      <c r="R42" s="159"/>
      <c r="S42" s="7" t="s">
        <v>347</v>
      </c>
      <c r="T42" s="7" t="s">
        <v>348</v>
      </c>
      <c r="U42" s="7" t="s">
        <v>355</v>
      </c>
      <c r="V42" s="7"/>
      <c r="W42" s="7" t="s">
        <v>358</v>
      </c>
      <c r="X42" s="10">
        <v>45306</v>
      </c>
      <c r="Y42" s="7" t="s">
        <v>57</v>
      </c>
      <c r="Z42" s="7" t="s">
        <v>359</v>
      </c>
      <c r="AA42" s="9"/>
      <c r="AB42" s="9">
        <v>340</v>
      </c>
      <c r="AC42" s="9">
        <v>103</v>
      </c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>
        <v>340</v>
      </c>
      <c r="AO42" s="9"/>
      <c r="AP42" s="9">
        <f t="shared" si="0"/>
        <v>3</v>
      </c>
      <c r="AQ42" s="62">
        <f t="shared" si="1"/>
        <v>261</v>
      </c>
      <c r="AR42" s="11" t="str">
        <f>IF(AQ42&gt;=$AR$1,"APROVADO","REPROVADO")</f>
        <v>APROVADO</v>
      </c>
      <c r="AS42" s="5"/>
      <c r="AT42" s="65"/>
      <c r="AU42" s="65"/>
      <c r="AV42" s="65"/>
      <c r="AW42" s="65"/>
      <c r="AX42" s="65"/>
      <c r="AY42" s="65"/>
      <c r="AZ42" s="65"/>
      <c r="BA42" s="65"/>
      <c r="BB42" s="65"/>
      <c r="BC42" s="34"/>
      <c r="BD42" s="65"/>
    </row>
    <row r="43" spans="2:58" s="64" customFormat="1" ht="39.950000000000003" hidden="1" customHeight="1" x14ac:dyDescent="0.25">
      <c r="B43" s="5">
        <v>59</v>
      </c>
      <c r="C43" s="6" t="s">
        <v>360</v>
      </c>
      <c r="D43" s="5"/>
      <c r="E43" s="5" t="s">
        <v>51</v>
      </c>
      <c r="F43" s="7" t="s">
        <v>354</v>
      </c>
      <c r="G43" s="7" t="s">
        <v>361</v>
      </c>
      <c r="H43" s="7" t="s">
        <v>62</v>
      </c>
      <c r="I43" s="8">
        <v>649980</v>
      </c>
      <c r="J43" s="8"/>
      <c r="K43" s="8"/>
      <c r="L43" s="8">
        <v>779976</v>
      </c>
      <c r="M43" s="8"/>
      <c r="N43" s="8"/>
      <c r="O43" s="8"/>
      <c r="P43" s="8"/>
      <c r="Q43" s="8"/>
      <c r="R43" s="159"/>
      <c r="S43" s="7" t="s">
        <v>347</v>
      </c>
      <c r="T43" s="7" t="s">
        <v>348</v>
      </c>
      <c r="U43" s="7" t="s">
        <v>355</v>
      </c>
      <c r="V43" s="7"/>
      <c r="W43" s="7" t="s">
        <v>358</v>
      </c>
      <c r="X43" s="10">
        <v>45306</v>
      </c>
      <c r="Y43" s="7" t="s">
        <v>57</v>
      </c>
      <c r="Z43" s="7" t="s">
        <v>359</v>
      </c>
      <c r="AA43" s="9"/>
      <c r="AB43" s="9">
        <v>340</v>
      </c>
      <c r="AC43" s="9">
        <v>103</v>
      </c>
      <c r="AD43" s="9"/>
      <c r="AE43" s="9"/>
      <c r="AF43" s="9"/>
      <c r="AG43" s="9">
        <v>340</v>
      </c>
      <c r="AH43" s="9"/>
      <c r="AI43" s="9"/>
      <c r="AJ43" s="9"/>
      <c r="AK43" s="9"/>
      <c r="AL43" s="9"/>
      <c r="AM43" s="9"/>
      <c r="AN43" s="9"/>
      <c r="AO43" s="9"/>
      <c r="AP43" s="9">
        <f t="shared" si="0"/>
        <v>3</v>
      </c>
      <c r="AQ43" s="62">
        <f t="shared" si="1"/>
        <v>261</v>
      </c>
      <c r="AR43" s="11" t="str">
        <f>IF(AQ43&gt;='Aprovados Recursos do Fundo'!$AQ$1,"APROVADO","REPROVADO")</f>
        <v>APROVADO</v>
      </c>
      <c r="AS43" s="5"/>
      <c r="AT43" s="65"/>
      <c r="AU43" s="65"/>
      <c r="AV43" s="65"/>
      <c r="AW43" s="65"/>
      <c r="AX43" s="65"/>
      <c r="AY43" s="65"/>
      <c r="AZ43" s="65"/>
      <c r="BA43" s="65"/>
      <c r="BB43" s="65"/>
      <c r="BC43" s="34"/>
      <c r="BD43" s="65"/>
    </row>
    <row r="44" spans="2:58" s="64" customFormat="1" ht="39.950000000000003" hidden="1" customHeight="1" x14ac:dyDescent="0.25">
      <c r="B44" s="5">
        <v>60</v>
      </c>
      <c r="C44" s="6" t="s">
        <v>362</v>
      </c>
      <c r="D44" s="99"/>
      <c r="E44" s="5" t="s">
        <v>51</v>
      </c>
      <c r="F44" s="58" t="s">
        <v>354</v>
      </c>
      <c r="G44" s="7" t="s">
        <v>363</v>
      </c>
      <c r="H44" s="7" t="s">
        <v>62</v>
      </c>
      <c r="I44" s="8">
        <v>450000</v>
      </c>
      <c r="J44" s="8"/>
      <c r="K44" s="8"/>
      <c r="L44" s="8">
        <v>540000</v>
      </c>
      <c r="M44" s="8"/>
      <c r="N44" s="8"/>
      <c r="O44" s="8"/>
      <c r="P44" s="8"/>
      <c r="Q44" s="8"/>
      <c r="R44" s="159"/>
      <c r="S44" s="7" t="s">
        <v>347</v>
      </c>
      <c r="T44" s="7" t="s">
        <v>348</v>
      </c>
      <c r="U44" s="7" t="s">
        <v>355</v>
      </c>
      <c r="V44" s="7"/>
      <c r="W44" s="7" t="s">
        <v>358</v>
      </c>
      <c r="X44" s="10">
        <v>45306</v>
      </c>
      <c r="Y44" s="7" t="s">
        <v>57</v>
      </c>
      <c r="Z44" s="7" t="s">
        <v>359</v>
      </c>
      <c r="AA44" s="9"/>
      <c r="AB44" s="9">
        <v>324</v>
      </c>
      <c r="AC44" s="9">
        <v>111</v>
      </c>
      <c r="AD44" s="9"/>
      <c r="AE44" s="9"/>
      <c r="AF44" s="9"/>
      <c r="AG44" s="9"/>
      <c r="AH44" s="9">
        <v>340</v>
      </c>
      <c r="AI44" s="9"/>
      <c r="AJ44" s="9"/>
      <c r="AK44" s="9"/>
      <c r="AL44" s="9"/>
      <c r="AM44" s="9"/>
      <c r="AN44" s="9"/>
      <c r="AO44" s="9"/>
      <c r="AP44" s="9">
        <f t="shared" si="0"/>
        <v>3</v>
      </c>
      <c r="AQ44" s="62">
        <f t="shared" si="1"/>
        <v>258.33333333333331</v>
      </c>
      <c r="AR44" s="11" t="str">
        <f>IF(AQ44&gt;=$AR$1,"APROVADO","REPROVADO")</f>
        <v>APROVADO</v>
      </c>
      <c r="AS44" s="5"/>
      <c r="AT44" s="65"/>
      <c r="AU44" s="65"/>
      <c r="AV44" s="65"/>
      <c r="AW44" s="65"/>
      <c r="AX44" s="65"/>
      <c r="AY44" s="65"/>
      <c r="AZ44" s="65"/>
      <c r="BA44" s="65"/>
      <c r="BB44" s="65"/>
      <c r="BC44" s="34"/>
      <c r="BD44" s="65"/>
    </row>
    <row r="45" spans="2:58" s="64" customFormat="1" ht="39.950000000000003" hidden="1" customHeight="1" x14ac:dyDescent="0.25">
      <c r="B45" s="5">
        <v>61</v>
      </c>
      <c r="C45" s="6" t="s">
        <v>364</v>
      </c>
      <c r="D45" s="101" t="s">
        <v>3987</v>
      </c>
      <c r="E45" s="5" t="s">
        <v>33</v>
      </c>
      <c r="F45" s="7" t="s">
        <v>172</v>
      </c>
      <c r="G45" s="7" t="s">
        <v>365</v>
      </c>
      <c r="H45" s="7" t="s">
        <v>36</v>
      </c>
      <c r="I45" s="8">
        <v>50000</v>
      </c>
      <c r="J45" s="8"/>
      <c r="K45" s="8"/>
      <c r="L45" s="8">
        <f t="shared" ref="L45:L49" si="14">I45*1.2</f>
        <v>60000</v>
      </c>
      <c r="M45" s="8"/>
      <c r="N45" s="8"/>
      <c r="O45" s="15">
        <f t="shared" ref="O45:O49" si="15">M45*0.83333332117758</f>
        <v>0</v>
      </c>
      <c r="P45" s="15">
        <f t="shared" ref="P45:P49" si="16">M45*0.16666667882242</f>
        <v>0</v>
      </c>
      <c r="Q45" s="8"/>
      <c r="R45" s="159"/>
      <c r="S45" s="7" t="s">
        <v>366</v>
      </c>
      <c r="T45" s="7" t="s">
        <v>115</v>
      </c>
      <c r="U45" s="7" t="s">
        <v>367</v>
      </c>
      <c r="V45" s="7"/>
      <c r="W45" s="9" t="s">
        <v>368</v>
      </c>
      <c r="X45" s="10">
        <v>45306</v>
      </c>
      <c r="Y45" s="7" t="s">
        <v>67</v>
      </c>
      <c r="Z45" s="7" t="s">
        <v>369</v>
      </c>
      <c r="AA45" s="7"/>
      <c r="AB45" s="9"/>
      <c r="AC45" s="9">
        <v>188</v>
      </c>
      <c r="AD45" s="9"/>
      <c r="AE45" s="9"/>
      <c r="AF45" s="9"/>
      <c r="AG45" s="9"/>
      <c r="AH45" s="9"/>
      <c r="AI45" s="9">
        <v>340</v>
      </c>
      <c r="AJ45" s="9">
        <v>340</v>
      </c>
      <c r="AK45" s="9"/>
      <c r="AL45" s="9"/>
      <c r="AM45" s="9"/>
      <c r="AN45" s="9"/>
      <c r="AO45" s="9"/>
      <c r="AP45" s="9">
        <f t="shared" si="0"/>
        <v>3</v>
      </c>
      <c r="AQ45" s="62">
        <f t="shared" si="1"/>
        <v>289.33333333333331</v>
      </c>
      <c r="AR45" s="11" t="str">
        <f>IF(AQ45&gt;='Aprovados Recursos do Fundo'!$AQ$1,"APROVADO","REPROVADO")</f>
        <v>APROVADO</v>
      </c>
      <c r="AS45" s="5"/>
      <c r="AT45" s="65"/>
      <c r="AU45" s="65"/>
      <c r="AV45" s="65"/>
      <c r="AW45" s="65"/>
      <c r="AX45" s="65"/>
      <c r="AY45" s="65"/>
      <c r="AZ45" s="65"/>
      <c r="BA45" s="65"/>
      <c r="BB45" s="65"/>
      <c r="BC45" s="34"/>
      <c r="BD45" s="65"/>
    </row>
    <row r="46" spans="2:58" s="64" customFormat="1" ht="39.950000000000003" hidden="1" customHeight="1" x14ac:dyDescent="0.25">
      <c r="B46" s="5">
        <v>62</v>
      </c>
      <c r="C46" s="6" t="s">
        <v>370</v>
      </c>
      <c r="D46" s="101" t="s">
        <v>3988</v>
      </c>
      <c r="E46" s="5" t="s">
        <v>33</v>
      </c>
      <c r="F46" s="5" t="s">
        <v>371</v>
      </c>
      <c r="G46" s="7" t="s">
        <v>372</v>
      </c>
      <c r="H46" s="7" t="s">
        <v>36</v>
      </c>
      <c r="I46" s="8">
        <v>34150</v>
      </c>
      <c r="J46" s="8"/>
      <c r="K46" s="8"/>
      <c r="L46" s="8">
        <f t="shared" si="14"/>
        <v>40980</v>
      </c>
      <c r="M46" s="8"/>
      <c r="N46" s="8"/>
      <c r="O46" s="15">
        <f t="shared" si="15"/>
        <v>0</v>
      </c>
      <c r="P46" s="15">
        <f t="shared" si="16"/>
        <v>0</v>
      </c>
      <c r="Q46" s="8"/>
      <c r="R46" s="159"/>
      <c r="S46" s="7" t="s">
        <v>366</v>
      </c>
      <c r="T46" s="7" t="s">
        <v>115</v>
      </c>
      <c r="U46" s="7" t="s">
        <v>373</v>
      </c>
      <c r="V46" s="7"/>
      <c r="W46" s="9" t="s">
        <v>374</v>
      </c>
      <c r="X46" s="10">
        <v>45306</v>
      </c>
      <c r="Y46" s="7" t="s">
        <v>67</v>
      </c>
      <c r="Z46" s="7" t="s">
        <v>375</v>
      </c>
      <c r="AA46" s="7"/>
      <c r="AB46" s="9">
        <v>340</v>
      </c>
      <c r="AC46" s="9">
        <v>207</v>
      </c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>
        <v>340</v>
      </c>
      <c r="AP46" s="9">
        <f t="shared" si="0"/>
        <v>3</v>
      </c>
      <c r="AQ46" s="62">
        <f t="shared" si="1"/>
        <v>295.66666666666669</v>
      </c>
      <c r="AR46" s="11" t="str">
        <f>IF(AQ46&gt;='Aprovados Recursos do Fundo'!$AQ$1,"APROVADO","REPROVADO")</f>
        <v>APROVADO</v>
      </c>
      <c r="AS46" s="5"/>
      <c r="AT46" s="65"/>
      <c r="AU46" s="65"/>
      <c r="AV46" s="65"/>
      <c r="AW46" s="65"/>
      <c r="AX46" s="65"/>
      <c r="AY46" s="65"/>
      <c r="AZ46" s="65"/>
      <c r="BA46" s="65"/>
      <c r="BB46" s="65"/>
      <c r="BC46" s="34"/>
      <c r="BD46" s="65"/>
    </row>
    <row r="47" spans="2:58" s="64" customFormat="1" ht="39.950000000000003" hidden="1" customHeight="1" x14ac:dyDescent="0.25">
      <c r="B47" s="5">
        <v>63</v>
      </c>
      <c r="C47" s="6" t="s">
        <v>376</v>
      </c>
      <c r="D47" s="101" t="s">
        <v>3989</v>
      </c>
      <c r="E47" s="5" t="s">
        <v>33</v>
      </c>
      <c r="F47" s="7" t="s">
        <v>172</v>
      </c>
      <c r="G47" s="7" t="s">
        <v>377</v>
      </c>
      <c r="H47" s="7" t="s">
        <v>36</v>
      </c>
      <c r="I47" s="8">
        <v>67450</v>
      </c>
      <c r="J47" s="8"/>
      <c r="K47" s="8"/>
      <c r="L47" s="8">
        <f t="shared" si="14"/>
        <v>80940</v>
      </c>
      <c r="M47" s="8"/>
      <c r="N47" s="8"/>
      <c r="O47" s="15">
        <f t="shared" si="15"/>
        <v>0</v>
      </c>
      <c r="P47" s="15">
        <f t="shared" si="16"/>
        <v>0</v>
      </c>
      <c r="Q47" s="8"/>
      <c r="R47" s="159"/>
      <c r="S47" s="7" t="s">
        <v>378</v>
      </c>
      <c r="T47" s="7" t="s">
        <v>115</v>
      </c>
      <c r="U47" s="7" t="s">
        <v>379</v>
      </c>
      <c r="V47" s="7"/>
      <c r="W47" s="9" t="s">
        <v>380</v>
      </c>
      <c r="X47" s="10">
        <v>45306</v>
      </c>
      <c r="Y47" s="7" t="s">
        <v>41</v>
      </c>
      <c r="Z47" s="7"/>
      <c r="AA47" s="7"/>
      <c r="AB47" s="9">
        <v>340</v>
      </c>
      <c r="AC47" s="9">
        <v>239</v>
      </c>
      <c r="AD47" s="9"/>
      <c r="AE47" s="9">
        <v>237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>
        <f t="shared" si="0"/>
        <v>3</v>
      </c>
      <c r="AQ47" s="62">
        <f t="shared" si="1"/>
        <v>272</v>
      </c>
      <c r="AR47" s="11" t="str">
        <f>IF(AQ47&gt;='Aprovados Recursos do Fundo'!$AQ$1,"APROVADO","REPROVADO")</f>
        <v>APROVADO</v>
      </c>
      <c r="AS47" s="5"/>
      <c r="AT47" s="65"/>
      <c r="AU47" s="65"/>
      <c r="AV47" s="65"/>
      <c r="AW47" s="65"/>
      <c r="AX47" s="65"/>
      <c r="AY47" s="65"/>
      <c r="AZ47" s="65"/>
      <c r="BA47" s="65"/>
      <c r="BB47" s="65"/>
      <c r="BC47" s="34"/>
      <c r="BD47" s="65"/>
    </row>
    <row r="48" spans="2:58" s="64" customFormat="1" ht="39.950000000000003" customHeight="1" x14ac:dyDescent="0.25">
      <c r="B48" s="5">
        <v>65</v>
      </c>
      <c r="C48" s="6" t="s">
        <v>387</v>
      </c>
      <c r="D48" s="100" t="s">
        <v>3990</v>
      </c>
      <c r="E48" s="5" t="s">
        <v>33</v>
      </c>
      <c r="F48" s="5" t="s">
        <v>3991</v>
      </c>
      <c r="G48" s="7" t="s">
        <v>389</v>
      </c>
      <c r="H48" s="7" t="s">
        <v>107</v>
      </c>
      <c r="I48" s="163">
        <v>208834.86</v>
      </c>
      <c r="J48" s="8">
        <v>208841.59</v>
      </c>
      <c r="K48" s="8">
        <v>0</v>
      </c>
      <c r="L48" s="8">
        <f t="shared" si="14"/>
        <v>250601.83199999997</v>
      </c>
      <c r="M48" s="8">
        <f>200000+51000</f>
        <v>251000</v>
      </c>
      <c r="N48" s="124">
        <f>L48-M48</f>
        <v>-398.16800000003423</v>
      </c>
      <c r="O48" s="15">
        <f t="shared" si="15"/>
        <v>209166.66361557256</v>
      </c>
      <c r="P48" s="15">
        <f t="shared" si="16"/>
        <v>41833.336384427421</v>
      </c>
      <c r="Q48" s="143">
        <f>M48/L48</f>
        <v>1.0015888471238312</v>
      </c>
      <c r="R48" s="159">
        <v>20</v>
      </c>
      <c r="S48" s="7" t="s">
        <v>390</v>
      </c>
      <c r="T48" s="7" t="s">
        <v>391</v>
      </c>
      <c r="U48" s="7" t="s">
        <v>392</v>
      </c>
      <c r="V48" s="7"/>
      <c r="W48" s="9" t="s">
        <v>393</v>
      </c>
      <c r="X48" s="10">
        <v>45306</v>
      </c>
      <c r="Y48" s="7" t="s">
        <v>41</v>
      </c>
      <c r="Z48" s="7"/>
      <c r="AA48" s="7"/>
      <c r="AB48" s="9">
        <v>299</v>
      </c>
      <c r="AC48" s="9">
        <v>272</v>
      </c>
      <c r="AD48" s="9">
        <v>281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>
        <f t="shared" si="0"/>
        <v>3</v>
      </c>
      <c r="AQ48" s="62">
        <f t="shared" si="1"/>
        <v>284</v>
      </c>
      <c r="AR48" s="11" t="str">
        <f>IF(AQ48&gt;='Aprovados Recursos do Fundo'!$AQ$1,"APROVADO","REPROVADO")</f>
        <v>APROVADO</v>
      </c>
      <c r="AS48" s="5" t="s">
        <v>3992</v>
      </c>
      <c r="AT48" s="8" t="s">
        <v>3631</v>
      </c>
      <c r="AU48" s="151" t="s">
        <v>3632</v>
      </c>
      <c r="AV48" s="152">
        <v>45986</v>
      </c>
      <c r="AW48" s="10">
        <f>EDATE(AV48,12)</f>
        <v>46351</v>
      </c>
      <c r="AX48" s="152">
        <v>45988</v>
      </c>
      <c r="AY48" s="8"/>
      <c r="AZ48" s="8"/>
      <c r="BA48" s="5" t="s">
        <v>3119</v>
      </c>
      <c r="BB48" s="5" t="s">
        <v>3261</v>
      </c>
      <c r="BC48" s="34">
        <v>45673</v>
      </c>
      <c r="BD48" s="145">
        <f>_xlfn.DAYS(BD2,BC48)</f>
        <v>428</v>
      </c>
      <c r="BE48" s="11" t="s">
        <v>3633</v>
      </c>
      <c r="BF48" s="64" t="s">
        <v>3993</v>
      </c>
    </row>
    <row r="49" spans="2:58" s="64" customFormat="1" ht="39.950000000000003" hidden="1" customHeight="1" x14ac:dyDescent="0.25">
      <c r="B49" s="5">
        <v>66</v>
      </c>
      <c r="C49" s="6" t="s">
        <v>394</v>
      </c>
      <c r="D49" s="101" t="s">
        <v>3994</v>
      </c>
      <c r="E49" s="5" t="s">
        <v>33</v>
      </c>
      <c r="F49" s="5" t="s">
        <v>395</v>
      </c>
      <c r="G49" s="7" t="s">
        <v>396</v>
      </c>
      <c r="H49" s="7" t="s">
        <v>107</v>
      </c>
      <c r="I49" s="8">
        <v>49800</v>
      </c>
      <c r="J49" s="8"/>
      <c r="K49" s="8"/>
      <c r="L49" s="8">
        <f t="shared" si="14"/>
        <v>59760</v>
      </c>
      <c r="M49" s="8"/>
      <c r="N49" s="8"/>
      <c r="O49" s="15">
        <f t="shared" si="15"/>
        <v>0</v>
      </c>
      <c r="P49" s="15">
        <f t="shared" si="16"/>
        <v>0</v>
      </c>
      <c r="Q49" s="8"/>
      <c r="R49" s="159"/>
      <c r="S49" s="7" t="s">
        <v>397</v>
      </c>
      <c r="T49" s="7" t="s">
        <v>38</v>
      </c>
      <c r="U49" s="7" t="s">
        <v>398</v>
      </c>
      <c r="V49" s="7"/>
      <c r="W49" s="9" t="s">
        <v>399</v>
      </c>
      <c r="X49" s="10">
        <v>45306</v>
      </c>
      <c r="Y49" s="7" t="s">
        <v>67</v>
      </c>
      <c r="Z49" s="7" t="s">
        <v>98</v>
      </c>
      <c r="AA49" s="7"/>
      <c r="AB49" s="9"/>
      <c r="AC49" s="9">
        <v>191</v>
      </c>
      <c r="AD49" s="9"/>
      <c r="AE49" s="9"/>
      <c r="AF49" s="9"/>
      <c r="AG49" s="9"/>
      <c r="AH49" s="9"/>
      <c r="AI49" s="9">
        <v>321</v>
      </c>
      <c r="AJ49" s="9">
        <v>340</v>
      </c>
      <c r="AK49" s="9"/>
      <c r="AL49" s="9"/>
      <c r="AM49" s="9"/>
      <c r="AN49" s="9"/>
      <c r="AO49" s="9"/>
      <c r="AP49" s="9">
        <f t="shared" si="0"/>
        <v>3</v>
      </c>
      <c r="AQ49" s="62">
        <f t="shared" si="1"/>
        <v>284</v>
      </c>
      <c r="AR49" s="11" t="str">
        <f>IF(AQ49&gt;='Aprovados Recursos do Fundo'!$AQ$1,"APROVADO","REPROVADO")</f>
        <v>APROVADO</v>
      </c>
      <c r="AS49" s="5"/>
      <c r="AT49" s="65"/>
      <c r="AU49" s="151"/>
      <c r="AV49" s="65"/>
      <c r="AW49" s="65"/>
      <c r="AX49" s="65"/>
      <c r="AY49" s="65"/>
      <c r="AZ49" s="65"/>
      <c r="BA49" s="65"/>
      <c r="BB49" s="65"/>
      <c r="BC49" s="34"/>
      <c r="BD49" s="65"/>
    </row>
    <row r="50" spans="2:58" s="64" customFormat="1" ht="39.950000000000003" hidden="1" customHeight="1" x14ac:dyDescent="0.25">
      <c r="B50" s="5">
        <v>67</v>
      </c>
      <c r="C50" s="6" t="s">
        <v>400</v>
      </c>
      <c r="D50" s="5"/>
      <c r="E50" s="5" t="s">
        <v>51</v>
      </c>
      <c r="F50" s="5" t="s">
        <v>401</v>
      </c>
      <c r="G50" s="7" t="s">
        <v>402</v>
      </c>
      <c r="H50" s="7" t="s">
        <v>36</v>
      </c>
      <c r="I50" s="8">
        <v>188300</v>
      </c>
      <c r="J50" s="8"/>
      <c r="K50" s="8"/>
      <c r="L50" s="8">
        <v>225960</v>
      </c>
      <c r="M50" s="8"/>
      <c r="N50" s="8"/>
      <c r="O50" s="8"/>
      <c r="P50" s="8"/>
      <c r="Q50" s="8"/>
      <c r="R50" s="159"/>
      <c r="S50" s="7" t="s">
        <v>403</v>
      </c>
      <c r="T50" s="7" t="s">
        <v>154</v>
      </c>
      <c r="U50" s="7" t="s">
        <v>404</v>
      </c>
      <c r="V50" s="7"/>
      <c r="W50" s="31" t="s">
        <v>358</v>
      </c>
      <c r="X50" s="34">
        <v>45306</v>
      </c>
      <c r="Y50" s="9" t="s">
        <v>57</v>
      </c>
      <c r="Z50" s="11" t="s">
        <v>89</v>
      </c>
      <c r="AA50" s="9"/>
      <c r="AB50" s="9">
        <v>235</v>
      </c>
      <c r="AC50" s="9"/>
      <c r="AD50" s="9"/>
      <c r="AE50" s="9"/>
      <c r="AF50" s="9"/>
      <c r="AG50" s="9">
        <v>213</v>
      </c>
      <c r="AH50" s="9">
        <v>212</v>
      </c>
      <c r="AI50" s="9"/>
      <c r="AJ50" s="9"/>
      <c r="AK50" s="9"/>
      <c r="AL50" s="9"/>
      <c r="AM50" s="9"/>
      <c r="AN50" s="9"/>
      <c r="AO50" s="9"/>
      <c r="AP50" s="9">
        <f t="shared" si="0"/>
        <v>3</v>
      </c>
      <c r="AQ50" s="62">
        <f t="shared" si="1"/>
        <v>220</v>
      </c>
      <c r="AR50" s="11" t="str">
        <f>IF(AQ50&gt;='Aprovados Recursos do Fundo'!$AQ$1,"APROVADO","REPROVADO")</f>
        <v>APROVADO</v>
      </c>
      <c r="AS50" s="5"/>
      <c r="AT50" s="65"/>
      <c r="AU50" s="151"/>
      <c r="AV50" s="65"/>
      <c r="AW50" s="65"/>
      <c r="AX50" s="65"/>
      <c r="AY50" s="65"/>
      <c r="AZ50" s="65"/>
      <c r="BA50" s="65"/>
      <c r="BB50" s="65"/>
      <c r="BC50" s="34"/>
      <c r="BD50" s="65"/>
    </row>
    <row r="51" spans="2:58" s="64" customFormat="1" ht="39.950000000000003" hidden="1" customHeight="1" x14ac:dyDescent="0.25">
      <c r="B51" s="5">
        <v>68</v>
      </c>
      <c r="C51" s="27" t="s">
        <v>405</v>
      </c>
      <c r="D51" s="100" t="s">
        <v>3995</v>
      </c>
      <c r="E51" s="5" t="s">
        <v>33</v>
      </c>
      <c r="F51" s="5" t="s">
        <v>406</v>
      </c>
      <c r="G51" s="7" t="s">
        <v>407</v>
      </c>
      <c r="H51" s="7" t="s">
        <v>107</v>
      </c>
      <c r="I51" s="8">
        <v>68680</v>
      </c>
      <c r="J51" s="8"/>
      <c r="K51" s="8"/>
      <c r="L51" s="8">
        <f t="shared" ref="L51:L53" si="17">I51*1.2</f>
        <v>82416</v>
      </c>
      <c r="M51" s="8"/>
      <c r="N51" s="8"/>
      <c r="O51" s="15">
        <f t="shared" ref="O51:O53" si="18">M51*0.83333332117758</f>
        <v>0</v>
      </c>
      <c r="P51" s="15">
        <f t="shared" ref="P51:P53" si="19">M51*0.16666667882242</f>
        <v>0</v>
      </c>
      <c r="Q51" s="8"/>
      <c r="R51" s="159"/>
      <c r="S51" s="7" t="s">
        <v>108</v>
      </c>
      <c r="T51" s="7" t="s">
        <v>95</v>
      </c>
      <c r="U51" s="7" t="s">
        <v>408</v>
      </c>
      <c r="V51" s="7">
        <v>1</v>
      </c>
      <c r="W51" s="31" t="s">
        <v>3996</v>
      </c>
      <c r="X51" s="10">
        <v>45306</v>
      </c>
      <c r="Y51" s="7" t="s">
        <v>41</v>
      </c>
      <c r="Z51" s="7"/>
      <c r="AA51" s="7"/>
      <c r="AB51" s="9">
        <v>276</v>
      </c>
      <c r="AC51" s="9">
        <v>188</v>
      </c>
      <c r="AD51" s="9"/>
      <c r="AE51" s="9"/>
      <c r="AF51" s="9"/>
      <c r="AG51" s="9"/>
      <c r="AH51" s="9"/>
      <c r="AI51" s="9"/>
      <c r="AJ51" s="9"/>
      <c r="AK51" s="9"/>
      <c r="AL51" s="9"/>
      <c r="AM51" s="9">
        <v>269</v>
      </c>
      <c r="AN51" s="9"/>
      <c r="AO51" s="9"/>
      <c r="AP51" s="9">
        <f t="shared" si="0"/>
        <v>3</v>
      </c>
      <c r="AQ51" s="62">
        <f t="shared" si="1"/>
        <v>244.33333333333334</v>
      </c>
      <c r="AR51" s="11" t="str">
        <f>IF(AQ51&gt;='Aprovados Recursos do Fundo'!$AQ$1,"APROVADO","REPROVADO")</f>
        <v>APROVADO</v>
      </c>
      <c r="AS51" s="5"/>
      <c r="AT51" s="65"/>
      <c r="AU51" s="151"/>
      <c r="AV51" s="65"/>
      <c r="AW51" s="65"/>
      <c r="AX51" s="65"/>
      <c r="AY51" s="65"/>
      <c r="AZ51" s="65"/>
      <c r="BA51" s="65"/>
      <c r="BB51" s="65"/>
      <c r="BC51" s="34"/>
      <c r="BD51" s="65"/>
    </row>
    <row r="52" spans="2:58" s="64" customFormat="1" ht="39.950000000000003" hidden="1" customHeight="1" x14ac:dyDescent="0.25">
      <c r="B52" s="5">
        <v>69</v>
      </c>
      <c r="C52" s="6" t="s">
        <v>410</v>
      </c>
      <c r="D52" s="101" t="s">
        <v>3997</v>
      </c>
      <c r="E52" s="5" t="s">
        <v>33</v>
      </c>
      <c r="F52" s="5" t="s">
        <v>411</v>
      </c>
      <c r="G52" s="7" t="s">
        <v>412</v>
      </c>
      <c r="H52" s="7" t="s">
        <v>36</v>
      </c>
      <c r="I52" s="8">
        <v>44934</v>
      </c>
      <c r="J52" s="8"/>
      <c r="K52" s="8"/>
      <c r="L52" s="8">
        <f t="shared" si="17"/>
        <v>53920.799999999996</v>
      </c>
      <c r="M52" s="8"/>
      <c r="N52" s="8"/>
      <c r="O52" s="15">
        <f t="shared" si="18"/>
        <v>0</v>
      </c>
      <c r="P52" s="15">
        <f t="shared" si="19"/>
        <v>0</v>
      </c>
      <c r="Q52" s="8"/>
      <c r="R52" s="159"/>
      <c r="S52" s="7" t="s">
        <v>413</v>
      </c>
      <c r="T52" s="7" t="s">
        <v>47</v>
      </c>
      <c r="U52" s="7" t="s">
        <v>414</v>
      </c>
      <c r="V52" s="7"/>
      <c r="W52" s="23" t="s">
        <v>415</v>
      </c>
      <c r="X52" s="10">
        <v>45306</v>
      </c>
      <c r="Y52" s="7" t="s">
        <v>67</v>
      </c>
      <c r="Z52" s="7" t="s">
        <v>98</v>
      </c>
      <c r="AA52" s="7" t="s">
        <v>416</v>
      </c>
      <c r="AB52" s="9"/>
      <c r="AC52" s="9">
        <v>212</v>
      </c>
      <c r="AD52" s="9"/>
      <c r="AE52" s="9"/>
      <c r="AF52" s="9"/>
      <c r="AG52" s="9"/>
      <c r="AH52" s="9"/>
      <c r="AI52" s="9">
        <v>307</v>
      </c>
      <c r="AJ52" s="9">
        <v>298</v>
      </c>
      <c r="AK52" s="9"/>
      <c r="AL52" s="9"/>
      <c r="AM52" s="9"/>
      <c r="AN52" s="9"/>
      <c r="AO52" s="9"/>
      <c r="AP52" s="9">
        <f t="shared" si="0"/>
        <v>3</v>
      </c>
      <c r="AQ52" s="62">
        <f t="shared" si="1"/>
        <v>272.33333333333331</v>
      </c>
      <c r="AR52" s="11" t="str">
        <f>IF(AQ52&gt;='Aprovados Recursos do Fundo'!$AQ$1,"APROVADO","REPROVADO")</f>
        <v>APROVADO</v>
      </c>
      <c r="AS52" s="5"/>
      <c r="AT52" s="65"/>
      <c r="AU52" s="151"/>
      <c r="AV52" s="65"/>
      <c r="AW52" s="65"/>
      <c r="AX52" s="65"/>
      <c r="AY52" s="65"/>
      <c r="AZ52" s="65"/>
      <c r="BA52" s="65"/>
      <c r="BB52" s="65"/>
      <c r="BC52" s="34"/>
      <c r="BD52" s="65"/>
    </row>
    <row r="53" spans="2:58" s="64" customFormat="1" ht="39.950000000000003" hidden="1" customHeight="1" x14ac:dyDescent="0.25">
      <c r="B53" s="5">
        <v>72</v>
      </c>
      <c r="C53" s="27" t="s">
        <v>422</v>
      </c>
      <c r="D53" s="100" t="s">
        <v>3998</v>
      </c>
      <c r="E53" s="5" t="s">
        <v>33</v>
      </c>
      <c r="F53" s="5" t="s">
        <v>423</v>
      </c>
      <c r="G53" s="7" t="s">
        <v>424</v>
      </c>
      <c r="H53" s="7" t="s">
        <v>36</v>
      </c>
      <c r="I53" s="8">
        <v>360000</v>
      </c>
      <c r="J53" s="8"/>
      <c r="K53" s="8"/>
      <c r="L53" s="8">
        <f t="shared" si="17"/>
        <v>432000</v>
      </c>
      <c r="M53" s="8"/>
      <c r="N53" s="8"/>
      <c r="O53" s="15">
        <f t="shared" si="18"/>
        <v>0</v>
      </c>
      <c r="P53" s="15">
        <f t="shared" si="19"/>
        <v>0</v>
      </c>
      <c r="Q53" s="8"/>
      <c r="R53" s="159"/>
      <c r="S53" s="7" t="s">
        <v>425</v>
      </c>
      <c r="T53" s="7" t="s">
        <v>348</v>
      </c>
      <c r="U53" s="7" t="s">
        <v>426</v>
      </c>
      <c r="V53" s="7">
        <v>1</v>
      </c>
      <c r="W53" s="9" t="s">
        <v>427</v>
      </c>
      <c r="X53" s="10">
        <v>45306</v>
      </c>
      <c r="Y53" s="7" t="s">
        <v>41</v>
      </c>
      <c r="Z53" s="7"/>
      <c r="AA53" s="7"/>
      <c r="AB53" s="9">
        <v>324</v>
      </c>
      <c r="AC53" s="9"/>
      <c r="AD53" s="9">
        <v>274</v>
      </c>
      <c r="AE53" s="9">
        <v>230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>
        <f t="shared" si="0"/>
        <v>3</v>
      </c>
      <c r="AQ53" s="62">
        <f t="shared" si="1"/>
        <v>276</v>
      </c>
      <c r="AR53" s="11" t="str">
        <f>IF(AQ53&gt;='Aprovados Recursos do Fundo'!$AQ$1,"APROVADO","REPROVADO")</f>
        <v>APROVADO</v>
      </c>
      <c r="AS53" s="5"/>
      <c r="AT53" s="65"/>
      <c r="AU53" s="151"/>
      <c r="AV53" s="65"/>
      <c r="AW53" s="65"/>
      <c r="AX53" s="65"/>
      <c r="AY53" s="65"/>
      <c r="AZ53" s="65"/>
      <c r="BA53" s="65"/>
      <c r="BB53" s="65"/>
      <c r="BC53" s="34"/>
      <c r="BD53" s="65"/>
    </row>
    <row r="54" spans="2:58" s="64" customFormat="1" ht="39.950000000000003" hidden="1" customHeight="1" x14ac:dyDescent="0.25">
      <c r="B54" s="5">
        <v>74</v>
      </c>
      <c r="C54" s="22" t="s">
        <v>434</v>
      </c>
      <c r="D54" s="9"/>
      <c r="E54" s="5" t="s">
        <v>51</v>
      </c>
      <c r="F54" s="9" t="s">
        <v>435</v>
      </c>
      <c r="G54" s="9" t="s">
        <v>436</v>
      </c>
      <c r="H54" s="11" t="s">
        <v>36</v>
      </c>
      <c r="I54" s="41">
        <v>133070</v>
      </c>
      <c r="J54" s="41"/>
      <c r="K54" s="41"/>
      <c r="L54" s="8">
        <v>159684</v>
      </c>
      <c r="M54" s="41"/>
      <c r="N54" s="41"/>
      <c r="O54" s="41"/>
      <c r="P54" s="41"/>
      <c r="Q54" s="41"/>
      <c r="R54" s="159"/>
      <c r="S54" s="9" t="s">
        <v>437</v>
      </c>
      <c r="T54" s="11" t="s">
        <v>47</v>
      </c>
      <c r="U54" s="9" t="s">
        <v>438</v>
      </c>
      <c r="V54" s="9"/>
      <c r="W54" s="67" t="s">
        <v>439</v>
      </c>
      <c r="X54" s="34">
        <v>45306</v>
      </c>
      <c r="Y54" s="9" t="s">
        <v>41</v>
      </c>
      <c r="Z54" s="11"/>
      <c r="AA54" s="9"/>
      <c r="AB54" s="9">
        <v>320</v>
      </c>
      <c r="AC54" s="9"/>
      <c r="AD54" s="9">
        <v>252</v>
      </c>
      <c r="AE54" s="9">
        <v>215</v>
      </c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>
        <f t="shared" si="0"/>
        <v>3</v>
      </c>
      <c r="AQ54" s="62">
        <f t="shared" si="1"/>
        <v>262.33333333333331</v>
      </c>
      <c r="AR54" s="11" t="str">
        <f>IF(AQ54&gt;='Aprovados Recursos do Fundo'!$AQ$1,"APROVADO","REPROVADO")</f>
        <v>APROVADO</v>
      </c>
      <c r="AS54" s="5"/>
      <c r="AT54" s="65"/>
      <c r="AU54" s="151"/>
      <c r="AV54" s="65"/>
      <c r="AW54" s="65"/>
      <c r="AX54" s="65"/>
      <c r="AY54" s="65"/>
      <c r="AZ54" s="65"/>
      <c r="BA54" s="65"/>
      <c r="BB54" s="65"/>
      <c r="BC54" s="34"/>
      <c r="BD54" s="65"/>
    </row>
    <row r="55" spans="2:58" s="64" customFormat="1" ht="39.950000000000003" customHeight="1" x14ac:dyDescent="0.25">
      <c r="B55" s="5">
        <v>75</v>
      </c>
      <c r="C55" s="27" t="s">
        <v>440</v>
      </c>
      <c r="D55" s="100" t="s">
        <v>3999</v>
      </c>
      <c r="E55" s="5" t="s">
        <v>33</v>
      </c>
      <c r="F55" s="5" t="s">
        <v>441</v>
      </c>
      <c r="G55" s="5" t="s">
        <v>442</v>
      </c>
      <c r="H55" s="5" t="s">
        <v>443</v>
      </c>
      <c r="I55" s="8">
        <v>620100</v>
      </c>
      <c r="J55" s="17">
        <v>620100</v>
      </c>
      <c r="K55" s="17">
        <v>0</v>
      </c>
      <c r="L55" s="8">
        <f t="shared" ref="L55:L63" si="20">I55*1.2</f>
        <v>744120</v>
      </c>
      <c r="M55" s="17">
        <v>744120</v>
      </c>
      <c r="N55" s="17">
        <f>L55-M55</f>
        <v>0</v>
      </c>
      <c r="O55" s="15">
        <f t="shared" ref="O55:O63" si="21">M55*0.83333332117758</f>
        <v>620099.99095466081</v>
      </c>
      <c r="P55" s="15">
        <f t="shared" ref="P55:P63" si="22">M55*0.16666667882242</f>
        <v>124020.00904533917</v>
      </c>
      <c r="Q55" s="143">
        <f>M55/L55</f>
        <v>1</v>
      </c>
      <c r="R55" s="159"/>
      <c r="S55" s="5" t="s">
        <v>444</v>
      </c>
      <c r="T55" s="5" t="s">
        <v>445</v>
      </c>
      <c r="U55" s="5" t="s">
        <v>446</v>
      </c>
      <c r="V55" s="7">
        <v>1</v>
      </c>
      <c r="W55" s="9" t="s">
        <v>447</v>
      </c>
      <c r="X55" s="10">
        <v>45306</v>
      </c>
      <c r="Y55" s="5" t="s">
        <v>41</v>
      </c>
      <c r="Z55" s="5"/>
      <c r="AA55" s="5" t="s">
        <v>448</v>
      </c>
      <c r="AB55" s="9">
        <v>330</v>
      </c>
      <c r="AC55" s="9">
        <v>187</v>
      </c>
      <c r="AD55" s="9">
        <v>281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>
        <f t="shared" si="0"/>
        <v>3</v>
      </c>
      <c r="AQ55" s="62">
        <f t="shared" si="1"/>
        <v>266</v>
      </c>
      <c r="AR55" s="11" t="str">
        <f>IF(AQ55&gt;='Aprovados Recursos do Fundo'!$AQ$1,"APROVADO","REPROVADO")</f>
        <v>APROVADO</v>
      </c>
      <c r="AS55" s="5" t="s">
        <v>4000</v>
      </c>
      <c r="AT55" s="60" t="s">
        <v>3631</v>
      </c>
      <c r="AU55" s="151" t="s">
        <v>3926</v>
      </c>
      <c r="AV55" s="10">
        <v>46098</v>
      </c>
      <c r="AW55" s="5"/>
      <c r="AX55" s="10">
        <v>46099</v>
      </c>
      <c r="AY55" s="5"/>
      <c r="AZ55" s="5"/>
      <c r="BA55" s="5" t="s">
        <v>4001</v>
      </c>
      <c r="BB55" s="5"/>
      <c r="BC55" s="34">
        <v>46099</v>
      </c>
      <c r="BD55" s="145">
        <f>_xlfn.DAYS(BD2,BC55)</f>
        <v>2</v>
      </c>
      <c r="BE55" s="146"/>
      <c r="BF55" s="64" t="s">
        <v>4002</v>
      </c>
    </row>
    <row r="56" spans="2:58" s="64" customFormat="1" ht="39.950000000000003" hidden="1" customHeight="1" x14ac:dyDescent="0.25">
      <c r="B56" s="5">
        <v>77</v>
      </c>
      <c r="C56" s="27" t="s">
        <v>456</v>
      </c>
      <c r="D56" s="101" t="s">
        <v>4003</v>
      </c>
      <c r="E56" s="5" t="s">
        <v>33</v>
      </c>
      <c r="F56" s="5" t="s">
        <v>457</v>
      </c>
      <c r="G56" s="7" t="s">
        <v>458</v>
      </c>
      <c r="H56" s="7" t="s">
        <v>36</v>
      </c>
      <c r="I56" s="8">
        <v>240000</v>
      </c>
      <c r="J56" s="8"/>
      <c r="K56" s="8"/>
      <c r="L56" s="8">
        <f t="shared" si="20"/>
        <v>288000</v>
      </c>
      <c r="M56" s="8"/>
      <c r="N56" s="8"/>
      <c r="O56" s="15">
        <f t="shared" si="21"/>
        <v>0</v>
      </c>
      <c r="P56" s="15">
        <f t="shared" si="22"/>
        <v>0</v>
      </c>
      <c r="Q56" s="8"/>
      <c r="R56" s="159"/>
      <c r="S56" s="7" t="s">
        <v>452</v>
      </c>
      <c r="T56" s="7" t="s">
        <v>453</v>
      </c>
      <c r="U56" s="7" t="s">
        <v>459</v>
      </c>
      <c r="V56" s="7"/>
      <c r="W56" s="9" t="s">
        <v>460</v>
      </c>
      <c r="X56" s="10">
        <v>45307</v>
      </c>
      <c r="Y56" s="7" t="s">
        <v>41</v>
      </c>
      <c r="Z56" s="7"/>
      <c r="AA56" s="7"/>
      <c r="AB56" s="9">
        <v>325</v>
      </c>
      <c r="AC56" s="9"/>
      <c r="AD56" s="9">
        <v>260</v>
      </c>
      <c r="AE56" s="9">
        <v>263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>
        <f t="shared" si="0"/>
        <v>3</v>
      </c>
      <c r="AQ56" s="62">
        <f t="shared" si="1"/>
        <v>282.66666666666669</v>
      </c>
      <c r="AR56" s="11" t="str">
        <f>IF(AQ56&gt;='Aprovados Recursos do Fundo'!$AQ$1,"APROVADO","REPROVADO")</f>
        <v>APROVADO</v>
      </c>
      <c r="AS56" s="5"/>
      <c r="AT56" s="65"/>
      <c r="AU56" s="151"/>
      <c r="AV56" s="65"/>
      <c r="AW56" s="65"/>
      <c r="AX56" s="65"/>
      <c r="AY56" s="65"/>
      <c r="AZ56" s="65"/>
      <c r="BA56" s="65"/>
      <c r="BB56" s="65"/>
      <c r="BC56" s="34"/>
      <c r="BD56" s="65"/>
    </row>
    <row r="57" spans="2:58" s="64" customFormat="1" ht="39.950000000000003" hidden="1" customHeight="1" x14ac:dyDescent="0.25">
      <c r="B57" s="5">
        <v>79</v>
      </c>
      <c r="C57" s="6" t="s">
        <v>467</v>
      </c>
      <c r="D57" s="100" t="s">
        <v>4004</v>
      </c>
      <c r="E57" s="5" t="s">
        <v>33</v>
      </c>
      <c r="F57" s="58" t="s">
        <v>462</v>
      </c>
      <c r="G57" s="7" t="s">
        <v>468</v>
      </c>
      <c r="H57" s="7" t="s">
        <v>107</v>
      </c>
      <c r="I57" s="8">
        <v>396760.14</v>
      </c>
      <c r="J57" s="8"/>
      <c r="K57" s="8"/>
      <c r="L57" s="8">
        <f t="shared" si="20"/>
        <v>476112.16800000001</v>
      </c>
      <c r="M57" s="8">
        <f>30383.46+150000+246000+295728.71</f>
        <v>722112.16999999993</v>
      </c>
      <c r="N57" s="8">
        <f>L57-M57</f>
        <v>-246000.00199999992</v>
      </c>
      <c r="O57" s="15">
        <f t="shared" si="21"/>
        <v>601760.13288884913</v>
      </c>
      <c r="P57" s="15">
        <f t="shared" si="22"/>
        <v>120352.03711115074</v>
      </c>
      <c r="Q57" s="136">
        <f>M57/L57</f>
        <v>1.5166849715968611</v>
      </c>
      <c r="R57" s="159"/>
      <c r="S57" s="7" t="s">
        <v>469</v>
      </c>
      <c r="T57" s="7" t="s">
        <v>95</v>
      </c>
      <c r="U57" s="7" t="s">
        <v>464</v>
      </c>
      <c r="V57" s="7">
        <v>1</v>
      </c>
      <c r="W57" s="9" t="s">
        <v>465</v>
      </c>
      <c r="X57" s="10">
        <v>45307</v>
      </c>
      <c r="Y57" s="7" t="s">
        <v>67</v>
      </c>
      <c r="Z57" s="7" t="s">
        <v>466</v>
      </c>
      <c r="AA57" s="7"/>
      <c r="AB57" s="9">
        <v>308</v>
      </c>
      <c r="AC57" s="9">
        <v>256</v>
      </c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>
        <v>273</v>
      </c>
      <c r="AP57" s="9">
        <f t="shared" si="0"/>
        <v>3</v>
      </c>
      <c r="AQ57" s="62">
        <f t="shared" si="1"/>
        <v>279</v>
      </c>
      <c r="AR57" s="11" t="str">
        <f>IF(AQ57&gt;=$AR$1,"APROVADO","REPROVADO")</f>
        <v>APROVADO</v>
      </c>
      <c r="AS57" s="5"/>
      <c r="AT57" s="65"/>
      <c r="AU57" s="151"/>
      <c r="AV57" s="65"/>
      <c r="AW57" s="65"/>
      <c r="AX57" s="65"/>
      <c r="AY57" s="65"/>
      <c r="AZ57" s="65"/>
      <c r="BA57" s="65"/>
      <c r="BB57" s="65"/>
      <c r="BC57" s="34"/>
      <c r="BD57" s="65"/>
    </row>
    <row r="58" spans="2:58" s="64" customFormat="1" ht="39.950000000000003" customHeight="1" x14ac:dyDescent="0.25">
      <c r="B58" s="5">
        <v>80</v>
      </c>
      <c r="C58" s="6" t="s">
        <v>470</v>
      </c>
      <c r="D58" s="100" t="s">
        <v>4005</v>
      </c>
      <c r="E58" s="5" t="s">
        <v>33</v>
      </c>
      <c r="F58" s="5" t="s">
        <v>462</v>
      </c>
      <c r="G58" s="7" t="s">
        <v>471</v>
      </c>
      <c r="H58" s="7" t="s">
        <v>107</v>
      </c>
      <c r="I58" s="163">
        <v>579789.01</v>
      </c>
      <c r="J58" s="8">
        <f>I58-K58</f>
        <v>545289</v>
      </c>
      <c r="K58" s="8">
        <v>34500.01</v>
      </c>
      <c r="L58" s="8">
        <f t="shared" si="20"/>
        <v>695746.81200000003</v>
      </c>
      <c r="M58" s="8">
        <f>150000+60000+2702.24+293000+193746</f>
        <v>699448.24</v>
      </c>
      <c r="N58" s="8">
        <f>L58-M58</f>
        <v>-3701.4279999999562</v>
      </c>
      <c r="O58" s="15">
        <f t="shared" si="21"/>
        <v>582873.52483101306</v>
      </c>
      <c r="P58" s="15">
        <f t="shared" si="22"/>
        <v>116574.71516898695</v>
      </c>
      <c r="Q58" s="143">
        <f>M58/L58</f>
        <v>1.0053200789944834</v>
      </c>
      <c r="R58" s="159"/>
      <c r="S58" s="7" t="s">
        <v>469</v>
      </c>
      <c r="T58" s="7" t="s">
        <v>95</v>
      </c>
      <c r="U58" s="7" t="s">
        <v>464</v>
      </c>
      <c r="V58" s="7">
        <v>1</v>
      </c>
      <c r="W58" s="9" t="s">
        <v>465</v>
      </c>
      <c r="X58" s="10">
        <v>45307</v>
      </c>
      <c r="Y58" s="7" t="s">
        <v>67</v>
      </c>
      <c r="Z58" s="7" t="s">
        <v>466</v>
      </c>
      <c r="AA58" s="7"/>
      <c r="AB58" s="9">
        <v>315</v>
      </c>
      <c r="AC58" s="9">
        <v>225</v>
      </c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>
        <v>340</v>
      </c>
      <c r="AP58" s="9">
        <f t="shared" si="0"/>
        <v>3</v>
      </c>
      <c r="AQ58" s="62">
        <f t="shared" si="1"/>
        <v>293.33333333333331</v>
      </c>
      <c r="AR58" s="11" t="str">
        <f>IF(AQ58&gt;=$AR$1,"APROVADO","REPROVADO")</f>
        <v>APROVADO</v>
      </c>
      <c r="AS58" s="5" t="s">
        <v>4006</v>
      </c>
      <c r="AT58" s="7" t="s">
        <v>3387</v>
      </c>
      <c r="AU58" s="151" t="s">
        <v>3663</v>
      </c>
      <c r="AV58" s="65"/>
      <c r="AW58" s="65"/>
      <c r="AX58" s="65"/>
      <c r="AY58" s="65"/>
      <c r="AZ58" s="65"/>
      <c r="BA58" s="65"/>
      <c r="BB58" s="65"/>
      <c r="BC58" s="34">
        <v>46079</v>
      </c>
      <c r="BD58" s="145">
        <f>_xlfn.DAYS(BD2,BC58)</f>
        <v>22</v>
      </c>
      <c r="BE58" s="146" t="s">
        <v>4007</v>
      </c>
    </row>
    <row r="59" spans="2:58" s="64" customFormat="1" ht="39.950000000000003" hidden="1" customHeight="1" x14ac:dyDescent="0.25">
      <c r="B59" s="5">
        <v>81</v>
      </c>
      <c r="C59" s="27" t="s">
        <v>472</v>
      </c>
      <c r="D59" s="101" t="s">
        <v>4008</v>
      </c>
      <c r="E59" s="5" t="s">
        <v>33</v>
      </c>
      <c r="F59" s="5" t="s">
        <v>473</v>
      </c>
      <c r="G59" s="7" t="s">
        <v>474</v>
      </c>
      <c r="H59" s="7" t="s">
        <v>36</v>
      </c>
      <c r="I59" s="8">
        <v>10000</v>
      </c>
      <c r="J59" s="8"/>
      <c r="K59" s="8"/>
      <c r="L59" s="8">
        <f t="shared" si="20"/>
        <v>12000</v>
      </c>
      <c r="M59" s="8"/>
      <c r="N59" s="8"/>
      <c r="O59" s="15">
        <f t="shared" si="21"/>
        <v>0</v>
      </c>
      <c r="P59" s="15">
        <f t="shared" si="22"/>
        <v>0</v>
      </c>
      <c r="Q59" s="8"/>
      <c r="R59" s="159"/>
      <c r="S59" s="7" t="s">
        <v>475</v>
      </c>
      <c r="T59" s="7" t="s">
        <v>241</v>
      </c>
      <c r="U59" s="7" t="s">
        <v>476</v>
      </c>
      <c r="V59" s="7"/>
      <c r="W59" s="9" t="s">
        <v>477</v>
      </c>
      <c r="X59" s="10">
        <v>45307</v>
      </c>
      <c r="Y59" s="7" t="s">
        <v>41</v>
      </c>
      <c r="Z59" s="7"/>
      <c r="AA59" s="7" t="s">
        <v>478</v>
      </c>
      <c r="AB59" s="9">
        <v>340</v>
      </c>
      <c r="AC59" s="9"/>
      <c r="AD59" s="9">
        <v>274</v>
      </c>
      <c r="AE59" s="9">
        <v>287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>
        <f t="shared" si="0"/>
        <v>3</v>
      </c>
      <c r="AQ59" s="62">
        <f t="shared" si="1"/>
        <v>300.33333333333331</v>
      </c>
      <c r="AR59" s="11" t="str">
        <f>IF(AQ59&gt;='Aprovados Recursos do Fundo'!$AQ$1,"APROVADO","REPROVADO")</f>
        <v>APROVADO</v>
      </c>
      <c r="AS59" s="5"/>
      <c r="AT59" s="65"/>
      <c r="AU59" s="151"/>
      <c r="AV59" s="65"/>
      <c r="AW59" s="65"/>
      <c r="AX59" s="65"/>
      <c r="AY59" s="65"/>
      <c r="AZ59" s="65"/>
      <c r="BA59" s="65"/>
      <c r="BB59" s="65"/>
      <c r="BC59" s="34"/>
      <c r="BD59" s="65"/>
    </row>
    <row r="60" spans="2:58" s="64" customFormat="1" ht="39.950000000000003" hidden="1" customHeight="1" x14ac:dyDescent="0.25">
      <c r="B60" s="5">
        <v>84</v>
      </c>
      <c r="C60" s="6" t="s">
        <v>483</v>
      </c>
      <c r="D60" s="101" t="s">
        <v>4009</v>
      </c>
      <c r="E60" s="5" t="s">
        <v>33</v>
      </c>
      <c r="F60" s="5" t="s">
        <v>484</v>
      </c>
      <c r="G60" s="7" t="s">
        <v>485</v>
      </c>
      <c r="H60" s="7" t="s">
        <v>336</v>
      </c>
      <c r="I60" s="8">
        <v>180000</v>
      </c>
      <c r="J60" s="8"/>
      <c r="K60" s="8"/>
      <c r="L60" s="8">
        <f t="shared" si="20"/>
        <v>216000</v>
      </c>
      <c r="M60" s="8"/>
      <c r="N60" s="8"/>
      <c r="O60" s="15">
        <f t="shared" si="21"/>
        <v>0</v>
      </c>
      <c r="P60" s="15">
        <f t="shared" si="22"/>
        <v>0</v>
      </c>
      <c r="Q60" s="8"/>
      <c r="R60" s="159"/>
      <c r="S60" s="7" t="s">
        <v>486</v>
      </c>
      <c r="T60" s="7" t="s">
        <v>348</v>
      </c>
      <c r="U60" s="7" t="s">
        <v>487</v>
      </c>
      <c r="V60" s="7"/>
      <c r="W60" s="9" t="s">
        <v>488</v>
      </c>
      <c r="X60" s="10">
        <v>45307</v>
      </c>
      <c r="Y60" s="7" t="s">
        <v>67</v>
      </c>
      <c r="Z60" s="7" t="s">
        <v>98</v>
      </c>
      <c r="AA60" s="7"/>
      <c r="AB60" s="9"/>
      <c r="AC60" s="9">
        <v>175</v>
      </c>
      <c r="AD60" s="9"/>
      <c r="AE60" s="9"/>
      <c r="AF60" s="9"/>
      <c r="AG60" s="9"/>
      <c r="AH60" s="9"/>
      <c r="AI60" s="9">
        <v>297</v>
      </c>
      <c r="AJ60" s="9">
        <v>297</v>
      </c>
      <c r="AK60" s="9"/>
      <c r="AL60" s="9"/>
      <c r="AM60" s="9"/>
      <c r="AN60" s="9"/>
      <c r="AO60" s="9"/>
      <c r="AP60" s="9">
        <f t="shared" si="0"/>
        <v>3</v>
      </c>
      <c r="AQ60" s="62">
        <f t="shared" si="1"/>
        <v>256.33333333333331</v>
      </c>
      <c r="AR60" s="11" t="str">
        <f>IF(AQ60&gt;='Aprovados Recursos do Fundo'!$AQ$1,"APROVADO","REPROVADO")</f>
        <v>APROVADO</v>
      </c>
      <c r="AS60" s="5"/>
      <c r="AT60" s="65"/>
      <c r="AU60" s="151"/>
      <c r="AV60" s="65"/>
      <c r="AW60" s="65"/>
      <c r="AX60" s="65"/>
      <c r="AY60" s="65"/>
      <c r="AZ60" s="65"/>
      <c r="BA60" s="65"/>
      <c r="BB60" s="65"/>
      <c r="BC60" s="34"/>
      <c r="BD60" s="65"/>
    </row>
    <row r="61" spans="2:58" s="64" customFormat="1" ht="39.950000000000003" hidden="1" customHeight="1" x14ac:dyDescent="0.25">
      <c r="B61" s="5">
        <v>85</v>
      </c>
      <c r="C61" s="6" t="s">
        <v>489</v>
      </c>
      <c r="D61" s="100" t="s">
        <v>4010</v>
      </c>
      <c r="E61" s="5" t="s">
        <v>33</v>
      </c>
      <c r="F61" s="5" t="s">
        <v>490</v>
      </c>
      <c r="G61" s="5" t="s">
        <v>491</v>
      </c>
      <c r="H61" s="7" t="s">
        <v>36</v>
      </c>
      <c r="I61" s="8">
        <v>1111410.1299999999</v>
      </c>
      <c r="J61" s="8"/>
      <c r="K61" s="8"/>
      <c r="L61" s="8">
        <f t="shared" si="20"/>
        <v>1333692.1559999997</v>
      </c>
      <c r="M61" s="8">
        <f>82000+31412.6+4803.6+3182.89+12307.6+21225.42+622.84+7223+1467+22421+1100+71722+74408+200000+19402+2257+62000+681665.64+11350.72+10442+604.29+16603</f>
        <v>1338220.5999999999</v>
      </c>
      <c r="N61" s="8">
        <f>L61-M61</f>
        <v>-4528.4440000001341</v>
      </c>
      <c r="O61" s="15">
        <f t="shared" si="21"/>
        <v>1115183.8170662536</v>
      </c>
      <c r="P61" s="15">
        <f t="shared" si="22"/>
        <v>223036.78293374617</v>
      </c>
      <c r="Q61" s="136">
        <f>M61/L61</f>
        <v>1.0033954192349619</v>
      </c>
      <c r="R61" s="159"/>
      <c r="S61" s="7" t="s">
        <v>73</v>
      </c>
      <c r="T61" s="7" t="s">
        <v>74</v>
      </c>
      <c r="U61" s="7" t="s">
        <v>492</v>
      </c>
      <c r="V61" s="7"/>
      <c r="W61" s="9" t="s">
        <v>493</v>
      </c>
      <c r="X61" s="10">
        <v>45307</v>
      </c>
      <c r="Y61" s="5" t="s">
        <v>67</v>
      </c>
      <c r="Z61" s="7" t="s">
        <v>89</v>
      </c>
      <c r="AA61" s="7" t="s">
        <v>68</v>
      </c>
      <c r="AB61" s="9">
        <v>317</v>
      </c>
      <c r="AC61" s="9"/>
      <c r="AD61" s="9">
        <v>239</v>
      </c>
      <c r="AE61" s="9">
        <v>266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>
        <f t="shared" si="0"/>
        <v>3</v>
      </c>
      <c r="AQ61" s="62">
        <f t="shared" si="1"/>
        <v>274</v>
      </c>
      <c r="AR61" s="11" t="str">
        <f>IF(AQ61&gt;='Aprovados Recursos do Fundo'!$AQ$1,"APROVADO","REPROVADO")</f>
        <v>APROVADO</v>
      </c>
      <c r="AS61" s="5"/>
      <c r="AT61" s="65"/>
      <c r="AU61" s="151"/>
      <c r="AV61" s="65"/>
      <c r="AW61" s="65"/>
      <c r="AX61" s="65"/>
      <c r="AY61" s="65"/>
      <c r="AZ61" s="65"/>
      <c r="BA61" s="65"/>
      <c r="BB61" s="65"/>
      <c r="BC61" s="34"/>
      <c r="BD61" s="65"/>
    </row>
    <row r="62" spans="2:58" s="64" customFormat="1" ht="39.950000000000003" hidden="1" customHeight="1" x14ac:dyDescent="0.25">
      <c r="B62" s="5">
        <v>86</v>
      </c>
      <c r="C62" s="27" t="s">
        <v>494</v>
      </c>
      <c r="D62" s="101" t="s">
        <v>4011</v>
      </c>
      <c r="E62" s="5" t="s">
        <v>33</v>
      </c>
      <c r="F62" s="5" t="s">
        <v>495</v>
      </c>
      <c r="G62" s="7" t="s">
        <v>496</v>
      </c>
      <c r="H62" s="7" t="s">
        <v>36</v>
      </c>
      <c r="I62" s="8">
        <v>102600</v>
      </c>
      <c r="J62" s="8"/>
      <c r="K62" s="8"/>
      <c r="L62" s="8">
        <f t="shared" si="20"/>
        <v>123120</v>
      </c>
      <c r="M62" s="8"/>
      <c r="N62" s="8"/>
      <c r="O62" s="15">
        <f t="shared" si="21"/>
        <v>0</v>
      </c>
      <c r="P62" s="15">
        <f t="shared" si="22"/>
        <v>0</v>
      </c>
      <c r="Q62" s="8"/>
      <c r="R62" s="159"/>
      <c r="S62" s="7" t="s">
        <v>497</v>
      </c>
      <c r="T62" s="7" t="s">
        <v>141</v>
      </c>
      <c r="U62" s="7" t="s">
        <v>498</v>
      </c>
      <c r="V62" s="7"/>
      <c r="W62" s="9" t="s">
        <v>499</v>
      </c>
      <c r="X62" s="10">
        <v>45307</v>
      </c>
      <c r="Y62" s="7" t="s">
        <v>41</v>
      </c>
      <c r="Z62" s="7"/>
      <c r="AA62" s="7"/>
      <c r="AB62" s="9">
        <v>309</v>
      </c>
      <c r="AC62" s="9">
        <v>203</v>
      </c>
      <c r="AD62" s="9">
        <v>242</v>
      </c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>
        <f t="shared" si="0"/>
        <v>3</v>
      </c>
      <c r="AQ62" s="62">
        <f t="shared" si="1"/>
        <v>251.33333333333334</v>
      </c>
      <c r="AR62" s="11" t="str">
        <f>IF(AQ62&gt;='Aprovados Recursos do Fundo'!$AQ$1,"APROVADO","REPROVADO")</f>
        <v>APROVADO</v>
      </c>
      <c r="AS62" s="5"/>
      <c r="AT62" s="65"/>
      <c r="AU62" s="151"/>
      <c r="AV62" s="65"/>
      <c r="AW62" s="65"/>
      <c r="AX62" s="65"/>
      <c r="AY62" s="65"/>
      <c r="AZ62" s="65"/>
      <c r="BA62" s="65"/>
      <c r="BB62" s="65"/>
      <c r="BC62" s="34"/>
      <c r="BD62" s="65"/>
    </row>
    <row r="63" spans="2:58" s="64" customFormat="1" ht="39.950000000000003" hidden="1" customHeight="1" x14ac:dyDescent="0.25">
      <c r="B63" s="5">
        <v>87</v>
      </c>
      <c r="C63" s="6" t="s">
        <v>500</v>
      </c>
      <c r="D63" s="100" t="s">
        <v>4012</v>
      </c>
      <c r="E63" s="5" t="s">
        <v>33</v>
      </c>
      <c r="F63" s="5" t="s">
        <v>501</v>
      </c>
      <c r="G63" s="7" t="s">
        <v>502</v>
      </c>
      <c r="H63" s="7" t="s">
        <v>36</v>
      </c>
      <c r="I63" s="8">
        <v>650000</v>
      </c>
      <c r="J63" s="8"/>
      <c r="K63" s="8"/>
      <c r="L63" s="8">
        <f t="shared" si="20"/>
        <v>780000</v>
      </c>
      <c r="M63" s="8"/>
      <c r="N63" s="8"/>
      <c r="O63" s="15">
        <f t="shared" si="21"/>
        <v>0</v>
      </c>
      <c r="P63" s="15">
        <f t="shared" si="22"/>
        <v>0</v>
      </c>
      <c r="Q63" s="8"/>
      <c r="R63" s="159"/>
      <c r="S63" s="7" t="s">
        <v>503</v>
      </c>
      <c r="T63" s="7" t="s">
        <v>154</v>
      </c>
      <c r="U63" s="7" t="s">
        <v>504</v>
      </c>
      <c r="V63" s="7">
        <v>1</v>
      </c>
      <c r="W63" s="9" t="s">
        <v>505</v>
      </c>
      <c r="X63" s="10">
        <v>45307</v>
      </c>
      <c r="Y63" s="7" t="s">
        <v>67</v>
      </c>
      <c r="Z63" s="7" t="s">
        <v>89</v>
      </c>
      <c r="AA63" s="7" t="s">
        <v>506</v>
      </c>
      <c r="AB63" s="9">
        <v>305</v>
      </c>
      <c r="AC63" s="9">
        <v>191</v>
      </c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>
        <v>340</v>
      </c>
      <c r="AP63" s="9">
        <f t="shared" si="0"/>
        <v>3</v>
      </c>
      <c r="AQ63" s="62">
        <f t="shared" si="1"/>
        <v>278.66666666666669</v>
      </c>
      <c r="AR63" s="11" t="str">
        <f>IF(AQ63&gt;='Aprovados Recursos do Fundo'!$AQ$1,"APROVADO","REPROVADO")</f>
        <v>APROVADO</v>
      </c>
      <c r="AS63" s="5"/>
      <c r="AT63" s="65"/>
      <c r="AU63" s="151"/>
      <c r="AV63" s="65"/>
      <c r="AW63" s="65"/>
      <c r="AX63" s="65"/>
      <c r="AY63" s="65"/>
      <c r="AZ63" s="65"/>
      <c r="BA63" s="65"/>
      <c r="BB63" s="65"/>
      <c r="BC63" s="34"/>
      <c r="BD63" s="65"/>
    </row>
    <row r="64" spans="2:58" s="64" customFormat="1" ht="39.950000000000003" hidden="1" customHeight="1" x14ac:dyDescent="0.25">
      <c r="B64" s="5">
        <v>89</v>
      </c>
      <c r="C64" s="22" t="s">
        <v>512</v>
      </c>
      <c r="D64" s="9">
        <v>271</v>
      </c>
      <c r="E64" s="5" t="s">
        <v>51</v>
      </c>
      <c r="F64" s="9" t="s">
        <v>513</v>
      </c>
      <c r="G64" s="9" t="s">
        <v>514</v>
      </c>
      <c r="H64" s="11" t="s">
        <v>107</v>
      </c>
      <c r="I64" s="41">
        <v>434000</v>
      </c>
      <c r="J64" s="41"/>
      <c r="K64" s="41"/>
      <c r="L64" s="8">
        <v>520800</v>
      </c>
      <c r="M64" s="41"/>
      <c r="N64" s="41"/>
      <c r="O64" s="41"/>
      <c r="P64" s="41"/>
      <c r="Q64" s="41"/>
      <c r="R64" s="159"/>
      <c r="S64" s="9" t="s">
        <v>515</v>
      </c>
      <c r="T64" s="11" t="s">
        <v>154</v>
      </c>
      <c r="U64" s="9" t="s">
        <v>516</v>
      </c>
      <c r="V64" s="9"/>
      <c r="W64" s="9" t="s">
        <v>517</v>
      </c>
      <c r="X64" s="34">
        <v>45307</v>
      </c>
      <c r="Y64" s="9" t="s">
        <v>57</v>
      </c>
      <c r="Z64" s="11" t="s">
        <v>518</v>
      </c>
      <c r="AA64" s="9"/>
      <c r="AB64" s="9">
        <v>259</v>
      </c>
      <c r="AC64" s="9"/>
      <c r="AD64" s="9"/>
      <c r="AE64" s="9"/>
      <c r="AF64" s="9"/>
      <c r="AG64" s="9">
        <v>258</v>
      </c>
      <c r="AH64" s="9">
        <v>220</v>
      </c>
      <c r="AI64" s="9"/>
      <c r="AJ64" s="9"/>
      <c r="AK64" s="9"/>
      <c r="AL64" s="9"/>
      <c r="AM64" s="9"/>
      <c r="AN64" s="9"/>
      <c r="AO64" s="9"/>
      <c r="AP64" s="9">
        <f t="shared" si="0"/>
        <v>3</v>
      </c>
      <c r="AQ64" s="62">
        <f t="shared" si="1"/>
        <v>245.66666666666666</v>
      </c>
      <c r="AR64" s="11" t="str">
        <f>IF(AQ64&gt;='Aprovados Recursos do Fundo'!$AQ$1,"APROVADO","REPROVADO")</f>
        <v>APROVADO</v>
      </c>
      <c r="AS64" s="65"/>
      <c r="AT64" s="65"/>
      <c r="AU64" s="151"/>
      <c r="AV64" s="65"/>
      <c r="AW64" s="65"/>
      <c r="AX64" s="65"/>
      <c r="AY64" s="65"/>
      <c r="AZ64" s="65"/>
      <c r="BA64" s="65"/>
      <c r="BB64" s="65"/>
      <c r="BC64" s="34"/>
      <c r="BD64" s="65"/>
    </row>
    <row r="65" spans="2:56" s="64" customFormat="1" ht="39.950000000000003" hidden="1" customHeight="1" x14ac:dyDescent="0.25">
      <c r="B65" s="5">
        <v>92</v>
      </c>
      <c r="C65" s="27" t="s">
        <v>530</v>
      </c>
      <c r="D65" s="100" t="s">
        <v>4013</v>
      </c>
      <c r="E65" s="5" t="s">
        <v>33</v>
      </c>
      <c r="F65" s="5" t="s">
        <v>531</v>
      </c>
      <c r="G65" s="7" t="s">
        <v>532</v>
      </c>
      <c r="H65" s="7" t="s">
        <v>36</v>
      </c>
      <c r="I65" s="8">
        <v>500000</v>
      </c>
      <c r="J65" s="8"/>
      <c r="K65" s="8"/>
      <c r="L65" s="8">
        <f t="shared" ref="L65:L69" si="23">I65*1.2</f>
        <v>600000</v>
      </c>
      <c r="M65" s="8"/>
      <c r="N65" s="8"/>
      <c r="O65" s="15">
        <f t="shared" ref="O65:O69" si="24">M65*0.83333332117758</f>
        <v>0</v>
      </c>
      <c r="P65" s="15">
        <f t="shared" ref="P65:P69" si="25">M65*0.16666667882242</f>
        <v>0</v>
      </c>
      <c r="Q65" s="8"/>
      <c r="R65" s="159"/>
      <c r="S65" s="7" t="s">
        <v>253</v>
      </c>
      <c r="T65" s="7" t="s">
        <v>254</v>
      </c>
      <c r="U65" s="7" t="s">
        <v>533</v>
      </c>
      <c r="V65" s="7">
        <v>1</v>
      </c>
      <c r="W65" s="31" t="s">
        <v>4014</v>
      </c>
      <c r="X65" s="10">
        <v>45307</v>
      </c>
      <c r="Y65" s="7" t="s">
        <v>41</v>
      </c>
      <c r="Z65" s="7"/>
      <c r="AA65" s="7"/>
      <c r="AB65" s="9">
        <v>295</v>
      </c>
      <c r="AC65" s="9">
        <v>175</v>
      </c>
      <c r="AD65" s="9">
        <v>241</v>
      </c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>
        <f t="shared" si="0"/>
        <v>3</v>
      </c>
      <c r="AQ65" s="62">
        <f t="shared" si="1"/>
        <v>237</v>
      </c>
      <c r="AR65" s="11" t="str">
        <f>IF(AQ65&gt;='Aprovados Recursos do Fundo'!$AQ$1,"APROVADO","REPROVADO")</f>
        <v>APROVADO</v>
      </c>
      <c r="AS65" s="65"/>
      <c r="AT65" s="65"/>
      <c r="AU65" s="151"/>
      <c r="AV65" s="65"/>
      <c r="AW65" s="65"/>
      <c r="AX65" s="65"/>
      <c r="AY65" s="65"/>
      <c r="AZ65" s="65"/>
      <c r="BA65" s="65"/>
      <c r="BB65" s="65"/>
      <c r="BC65" s="34"/>
      <c r="BD65" s="65"/>
    </row>
    <row r="66" spans="2:56" s="64" customFormat="1" ht="39.950000000000003" hidden="1" customHeight="1" x14ac:dyDescent="0.25">
      <c r="B66" s="5">
        <v>93</v>
      </c>
      <c r="C66" s="6" t="s">
        <v>535</v>
      </c>
      <c r="D66" s="100" t="s">
        <v>4015</v>
      </c>
      <c r="E66" s="5" t="s">
        <v>33</v>
      </c>
      <c r="F66" s="5" t="s">
        <v>536</v>
      </c>
      <c r="G66" s="7" t="s">
        <v>537</v>
      </c>
      <c r="H66" s="7" t="s">
        <v>107</v>
      </c>
      <c r="I66" s="8">
        <v>88496</v>
      </c>
      <c r="J66" s="8"/>
      <c r="K66" s="8"/>
      <c r="L66" s="8">
        <f t="shared" si="23"/>
        <v>106195.2</v>
      </c>
      <c r="M66" s="8"/>
      <c r="N66" s="8"/>
      <c r="O66" s="15">
        <f t="shared" si="24"/>
        <v>0</v>
      </c>
      <c r="P66" s="15">
        <f t="shared" si="25"/>
        <v>0</v>
      </c>
      <c r="Q66" s="8"/>
      <c r="R66" s="159"/>
      <c r="S66" s="7" t="s">
        <v>538</v>
      </c>
      <c r="T66" s="7" t="s">
        <v>115</v>
      </c>
      <c r="U66" s="7" t="s">
        <v>539</v>
      </c>
      <c r="V66" s="7">
        <v>1</v>
      </c>
      <c r="W66" s="9" t="s">
        <v>540</v>
      </c>
      <c r="X66" s="10">
        <v>45307</v>
      </c>
      <c r="Y66" s="7" t="s">
        <v>67</v>
      </c>
      <c r="Z66" s="7" t="s">
        <v>375</v>
      </c>
      <c r="AA66" s="7"/>
      <c r="AB66" s="9">
        <v>313</v>
      </c>
      <c r="AC66" s="9">
        <v>239</v>
      </c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>
        <v>340</v>
      </c>
      <c r="AP66" s="9">
        <f t="shared" si="0"/>
        <v>3</v>
      </c>
      <c r="AQ66" s="62">
        <f t="shared" si="1"/>
        <v>297.33333333333331</v>
      </c>
      <c r="AR66" s="11" t="str">
        <f>IF(AQ66&gt;='Aprovados Recursos do Fundo'!$AQ$1,"APROVADO","REPROVADO")</f>
        <v>APROVADO</v>
      </c>
      <c r="AS66" s="65"/>
      <c r="AT66" s="65"/>
      <c r="AU66" s="151"/>
      <c r="AV66" s="65"/>
      <c r="AW66" s="65"/>
      <c r="AX66" s="65"/>
      <c r="AY66" s="65"/>
      <c r="AZ66" s="65"/>
      <c r="BA66" s="65"/>
      <c r="BB66" s="65"/>
      <c r="BC66" s="34"/>
      <c r="BD66" s="65"/>
    </row>
    <row r="67" spans="2:56" s="64" customFormat="1" ht="39.950000000000003" hidden="1" customHeight="1" x14ac:dyDescent="0.25">
      <c r="B67" s="5">
        <v>94</v>
      </c>
      <c r="C67" s="6" t="s">
        <v>541</v>
      </c>
      <c r="D67" s="100" t="s">
        <v>4016</v>
      </c>
      <c r="E67" s="5" t="s">
        <v>33</v>
      </c>
      <c r="F67" s="5" t="s">
        <v>542</v>
      </c>
      <c r="G67" s="5" t="s">
        <v>543</v>
      </c>
      <c r="H67" s="7" t="s">
        <v>107</v>
      </c>
      <c r="I67" s="8">
        <v>60000</v>
      </c>
      <c r="J67" s="8"/>
      <c r="K67" s="8"/>
      <c r="L67" s="8">
        <f t="shared" si="23"/>
        <v>72000</v>
      </c>
      <c r="M67" s="8">
        <f>72000</f>
        <v>72000</v>
      </c>
      <c r="N67" s="8">
        <f>M67-L67</f>
        <v>0</v>
      </c>
      <c r="O67" s="15">
        <f t="shared" si="24"/>
        <v>59999.999124785754</v>
      </c>
      <c r="P67" s="15">
        <f t="shared" si="25"/>
        <v>12000.00087521424</v>
      </c>
      <c r="Q67" s="136">
        <f>M67/L67</f>
        <v>1</v>
      </c>
      <c r="R67" s="159"/>
      <c r="S67" s="7" t="s">
        <v>538</v>
      </c>
      <c r="T67" s="7" t="s">
        <v>115</v>
      </c>
      <c r="U67" s="7" t="s">
        <v>544</v>
      </c>
      <c r="V67" s="7">
        <v>1</v>
      </c>
      <c r="W67" s="9" t="s">
        <v>545</v>
      </c>
      <c r="X67" s="10">
        <v>45307</v>
      </c>
      <c r="Y67" s="5" t="s">
        <v>67</v>
      </c>
      <c r="Z67" s="7" t="s">
        <v>89</v>
      </c>
      <c r="AA67" s="7" t="s">
        <v>68</v>
      </c>
      <c r="AB67" s="9">
        <v>310</v>
      </c>
      <c r="AC67" s="9"/>
      <c r="AD67" s="9">
        <v>248</v>
      </c>
      <c r="AE67" s="9">
        <v>262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>
        <f t="shared" si="0"/>
        <v>3</v>
      </c>
      <c r="AQ67" s="62">
        <f t="shared" si="1"/>
        <v>273.33333333333331</v>
      </c>
      <c r="AR67" s="11" t="str">
        <f>IF(AQ67&gt;='Aprovados Recursos do Fundo'!$AQ$1,"APROVADO","REPROVADO")</f>
        <v>APROVADO</v>
      </c>
      <c r="AS67" s="65"/>
      <c r="AT67" s="65"/>
      <c r="AU67" s="151"/>
      <c r="AV67" s="65"/>
      <c r="AW67" s="65"/>
      <c r="AX67" s="65"/>
      <c r="AY67" s="65"/>
      <c r="AZ67" s="65"/>
      <c r="BA67" s="65"/>
      <c r="BB67" s="65"/>
      <c r="BC67" s="34"/>
      <c r="BD67" s="65"/>
    </row>
    <row r="68" spans="2:56" s="64" customFormat="1" ht="39.950000000000003" hidden="1" customHeight="1" x14ac:dyDescent="0.25">
      <c r="B68" s="5">
        <v>95</v>
      </c>
      <c r="C68" s="27" t="s">
        <v>546</v>
      </c>
      <c r="D68" s="100" t="s">
        <v>4017</v>
      </c>
      <c r="E68" s="5" t="s">
        <v>33</v>
      </c>
      <c r="F68" s="5" t="s">
        <v>547</v>
      </c>
      <c r="G68" s="7" t="s">
        <v>548</v>
      </c>
      <c r="H68" s="7" t="s">
        <v>36</v>
      </c>
      <c r="I68" s="8">
        <v>40000</v>
      </c>
      <c r="J68" s="8"/>
      <c r="K68" s="8"/>
      <c r="L68" s="8">
        <f t="shared" si="23"/>
        <v>48000</v>
      </c>
      <c r="M68" s="8"/>
      <c r="N68" s="8"/>
      <c r="O68" s="15">
        <f t="shared" si="24"/>
        <v>0</v>
      </c>
      <c r="P68" s="15">
        <f t="shared" si="25"/>
        <v>0</v>
      </c>
      <c r="Q68" s="8"/>
      <c r="R68" s="159"/>
      <c r="S68" s="7" t="s">
        <v>538</v>
      </c>
      <c r="T68" s="7" t="s">
        <v>115</v>
      </c>
      <c r="U68" s="7" t="s">
        <v>549</v>
      </c>
      <c r="V68" s="7">
        <v>1</v>
      </c>
      <c r="W68" s="9" t="s">
        <v>550</v>
      </c>
      <c r="X68" s="10">
        <v>45307</v>
      </c>
      <c r="Y68" s="7" t="s">
        <v>41</v>
      </c>
      <c r="Z68" s="7"/>
      <c r="AA68" s="7"/>
      <c r="AB68" s="9">
        <v>273</v>
      </c>
      <c r="AC68" s="9">
        <v>275</v>
      </c>
      <c r="AD68" s="9">
        <v>270</v>
      </c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>
        <f t="shared" si="0"/>
        <v>3</v>
      </c>
      <c r="AQ68" s="62">
        <f t="shared" si="1"/>
        <v>272.66666666666669</v>
      </c>
      <c r="AR68" s="11" t="str">
        <f>IF(AQ68&gt;='Aprovados Recursos do Fundo'!$AQ$1,"APROVADO","REPROVADO")</f>
        <v>APROVADO</v>
      </c>
      <c r="AS68" s="65"/>
      <c r="AT68" s="65"/>
      <c r="AU68" s="151"/>
      <c r="AV68" s="65"/>
      <c r="AW68" s="65"/>
      <c r="AX68" s="65"/>
      <c r="AY68" s="65"/>
      <c r="AZ68" s="65"/>
      <c r="BA68" s="65"/>
      <c r="BB68" s="65"/>
      <c r="BC68" s="34"/>
      <c r="BD68" s="65"/>
    </row>
    <row r="69" spans="2:56" s="64" customFormat="1" ht="39.950000000000003" hidden="1" customHeight="1" x14ac:dyDescent="0.25">
      <c r="B69" s="5">
        <v>96</v>
      </c>
      <c r="C69" s="27" t="s">
        <v>551</v>
      </c>
      <c r="D69" s="101" t="s">
        <v>4018</v>
      </c>
      <c r="E69" s="5" t="s">
        <v>33</v>
      </c>
      <c r="F69" s="5" t="s">
        <v>552</v>
      </c>
      <c r="G69" s="7" t="s">
        <v>553</v>
      </c>
      <c r="H69" s="5" t="s">
        <v>62</v>
      </c>
      <c r="I69" s="8">
        <v>73150</v>
      </c>
      <c r="J69" s="8"/>
      <c r="K69" s="8"/>
      <c r="L69" s="8">
        <f t="shared" si="23"/>
        <v>87780</v>
      </c>
      <c r="M69" s="8"/>
      <c r="N69" s="8"/>
      <c r="O69" s="15">
        <f t="shared" si="24"/>
        <v>0</v>
      </c>
      <c r="P69" s="15">
        <f t="shared" si="25"/>
        <v>0</v>
      </c>
      <c r="Q69" s="8"/>
      <c r="R69" s="159"/>
      <c r="S69" s="7" t="s">
        <v>554</v>
      </c>
      <c r="T69" s="7" t="s">
        <v>115</v>
      </c>
      <c r="U69" s="7" t="s">
        <v>555</v>
      </c>
      <c r="V69" s="7"/>
      <c r="W69" s="9" t="s">
        <v>556</v>
      </c>
      <c r="X69" s="34">
        <v>45307</v>
      </c>
      <c r="Y69" s="7" t="s">
        <v>41</v>
      </c>
      <c r="Z69" s="7"/>
      <c r="AA69" s="7"/>
      <c r="AB69" s="9">
        <v>340</v>
      </c>
      <c r="AC69" s="9">
        <v>265</v>
      </c>
      <c r="AD69" s="9">
        <v>264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>
        <f t="shared" ref="AP69:AP132" si="26">COUNT(AB69:AO69)</f>
        <v>3</v>
      </c>
      <c r="AQ69" s="62">
        <f t="shared" ref="AQ69:AQ132" si="27">AVERAGE(AB69:AO69)</f>
        <v>289.66666666666669</v>
      </c>
      <c r="AR69" s="11" t="str">
        <f>IF(AQ69&gt;='Aprovados Recursos do Fundo'!$AQ$1,"APROVADO","REPROVADO")</f>
        <v>APROVADO</v>
      </c>
      <c r="AS69" s="65"/>
      <c r="AT69" s="65"/>
      <c r="AU69" s="151"/>
      <c r="AV69" s="65"/>
      <c r="AW69" s="65"/>
      <c r="AX69" s="65"/>
      <c r="AY69" s="65"/>
      <c r="AZ69" s="65"/>
      <c r="BA69" s="65"/>
      <c r="BB69" s="65"/>
      <c r="BC69" s="34"/>
      <c r="BD69" s="65"/>
    </row>
    <row r="70" spans="2:56" s="64" customFormat="1" ht="39.950000000000003" hidden="1" customHeight="1" x14ac:dyDescent="0.25">
      <c r="B70" s="5">
        <v>97</v>
      </c>
      <c r="C70" s="22" t="s">
        <v>557</v>
      </c>
      <c r="D70" s="9"/>
      <c r="E70" s="5" t="s">
        <v>51</v>
      </c>
      <c r="F70" s="9" t="s">
        <v>558</v>
      </c>
      <c r="G70" s="9" t="s">
        <v>559</v>
      </c>
      <c r="H70" s="11" t="s">
        <v>107</v>
      </c>
      <c r="I70" s="41">
        <v>400000</v>
      </c>
      <c r="J70" s="41"/>
      <c r="K70" s="41"/>
      <c r="L70" s="8">
        <v>480000</v>
      </c>
      <c r="M70" s="41"/>
      <c r="N70" s="41"/>
      <c r="O70" s="41"/>
      <c r="P70" s="41"/>
      <c r="Q70" s="41"/>
      <c r="R70" s="159"/>
      <c r="S70" s="9" t="s">
        <v>560</v>
      </c>
      <c r="T70" s="11" t="s">
        <v>391</v>
      </c>
      <c r="U70" s="9" t="s">
        <v>561</v>
      </c>
      <c r="V70" s="9"/>
      <c r="W70" s="9" t="s">
        <v>562</v>
      </c>
      <c r="X70" s="34">
        <v>45307</v>
      </c>
      <c r="Y70" s="9" t="s">
        <v>57</v>
      </c>
      <c r="Z70" s="11" t="s">
        <v>563</v>
      </c>
      <c r="AA70" s="9"/>
      <c r="AB70" s="9">
        <v>236</v>
      </c>
      <c r="AC70" s="9"/>
      <c r="AD70" s="9"/>
      <c r="AE70" s="9"/>
      <c r="AF70" s="9"/>
      <c r="AG70" s="9">
        <v>260</v>
      </c>
      <c r="AH70" s="9">
        <v>246</v>
      </c>
      <c r="AI70" s="9"/>
      <c r="AJ70" s="9"/>
      <c r="AK70" s="9"/>
      <c r="AL70" s="9"/>
      <c r="AM70" s="9"/>
      <c r="AN70" s="9"/>
      <c r="AO70" s="9"/>
      <c r="AP70" s="9">
        <f t="shared" si="26"/>
        <v>3</v>
      </c>
      <c r="AQ70" s="62">
        <f t="shared" si="27"/>
        <v>247.33333333333334</v>
      </c>
      <c r="AR70" s="11" t="str">
        <f>IF(AQ70&gt;='Aprovados Recursos do Fundo'!$AQ$1,"APROVADO","REPROVADO")</f>
        <v>APROVADO</v>
      </c>
      <c r="AS70" s="65"/>
      <c r="AT70" s="65"/>
      <c r="AU70" s="151"/>
      <c r="AV70" s="65"/>
      <c r="AW70" s="65"/>
      <c r="AX70" s="65"/>
      <c r="AY70" s="65"/>
      <c r="AZ70" s="65"/>
      <c r="BA70" s="65"/>
      <c r="BB70" s="65"/>
      <c r="BC70" s="34"/>
      <c r="BD70" s="65"/>
    </row>
    <row r="71" spans="2:56" s="64" customFormat="1" ht="39.950000000000003" hidden="1" customHeight="1" x14ac:dyDescent="0.25">
      <c r="B71" s="5">
        <v>98</v>
      </c>
      <c r="C71" s="6" t="s">
        <v>564</v>
      </c>
      <c r="D71" s="100" t="s">
        <v>4019</v>
      </c>
      <c r="E71" s="5" t="s">
        <v>33</v>
      </c>
      <c r="F71" s="58" t="s">
        <v>565</v>
      </c>
      <c r="G71" s="7" t="s">
        <v>566</v>
      </c>
      <c r="H71" s="7" t="s">
        <v>107</v>
      </c>
      <c r="I71" s="8">
        <v>600000</v>
      </c>
      <c r="J71" s="8"/>
      <c r="K71" s="8"/>
      <c r="L71" s="8">
        <f t="shared" ref="L71:L76" si="28">I71*1.2</f>
        <v>720000</v>
      </c>
      <c r="M71" s="8"/>
      <c r="N71" s="8"/>
      <c r="O71" s="15">
        <f t="shared" ref="O71:O76" si="29">M71*0.83333332117758</f>
        <v>0</v>
      </c>
      <c r="P71" s="15">
        <f t="shared" ref="P71:P76" si="30">M71*0.16666667882242</f>
        <v>0</v>
      </c>
      <c r="Q71" s="8"/>
      <c r="R71" s="159"/>
      <c r="S71" s="7" t="s">
        <v>73</v>
      </c>
      <c r="T71" s="7" t="s">
        <v>74</v>
      </c>
      <c r="U71" s="7" t="s">
        <v>567</v>
      </c>
      <c r="V71" s="7">
        <v>1</v>
      </c>
      <c r="W71" s="9" t="s">
        <v>568</v>
      </c>
      <c r="X71" s="10">
        <v>45307</v>
      </c>
      <c r="Y71" s="7" t="s">
        <v>67</v>
      </c>
      <c r="Z71" s="7" t="s">
        <v>375</v>
      </c>
      <c r="AA71" s="7"/>
      <c r="AB71" s="9"/>
      <c r="AC71" s="9">
        <v>122</v>
      </c>
      <c r="AD71" s="9"/>
      <c r="AE71" s="9"/>
      <c r="AF71" s="9"/>
      <c r="AG71" s="9">
        <v>298</v>
      </c>
      <c r="AH71" s="9">
        <v>295</v>
      </c>
      <c r="AI71" s="9"/>
      <c r="AJ71" s="9"/>
      <c r="AK71" s="9"/>
      <c r="AL71" s="9"/>
      <c r="AM71" s="9"/>
      <c r="AN71" s="9"/>
      <c r="AO71" s="9"/>
      <c r="AP71" s="9">
        <f t="shared" si="26"/>
        <v>3</v>
      </c>
      <c r="AQ71" s="62">
        <f t="shared" si="27"/>
        <v>238.33333333333334</v>
      </c>
      <c r="AR71" s="11" t="str">
        <f>IF(AQ71&gt;=$AR$1,"APROVADO","REPROVADO")</f>
        <v>APROVADO</v>
      </c>
      <c r="AS71" s="65"/>
      <c r="AT71" s="65"/>
      <c r="AU71" s="151"/>
      <c r="AV71" s="65"/>
      <c r="AW71" s="65"/>
      <c r="AX71" s="65"/>
      <c r="AY71" s="65"/>
      <c r="AZ71" s="65"/>
      <c r="BA71" s="65"/>
      <c r="BB71" s="65"/>
      <c r="BC71" s="34"/>
      <c r="BD71" s="65"/>
    </row>
    <row r="72" spans="2:56" s="64" customFormat="1" ht="39.950000000000003" hidden="1" customHeight="1" x14ac:dyDescent="0.25">
      <c r="B72" s="5">
        <v>99</v>
      </c>
      <c r="C72" s="6" t="s">
        <v>569</v>
      </c>
      <c r="D72" s="100" t="s">
        <v>4020</v>
      </c>
      <c r="E72" s="5" t="s">
        <v>33</v>
      </c>
      <c r="F72" s="58" t="s">
        <v>565</v>
      </c>
      <c r="G72" s="7" t="s">
        <v>570</v>
      </c>
      <c r="H72" s="7" t="s">
        <v>107</v>
      </c>
      <c r="I72" s="8">
        <v>640000</v>
      </c>
      <c r="J72" s="8"/>
      <c r="K72" s="8"/>
      <c r="L72" s="8">
        <f t="shared" si="28"/>
        <v>768000</v>
      </c>
      <c r="M72" s="8"/>
      <c r="N72" s="8"/>
      <c r="O72" s="15">
        <f t="shared" si="29"/>
        <v>0</v>
      </c>
      <c r="P72" s="15">
        <f t="shared" si="30"/>
        <v>0</v>
      </c>
      <c r="Q72" s="8"/>
      <c r="R72" s="159"/>
      <c r="S72" s="7" t="s">
        <v>73</v>
      </c>
      <c r="T72" s="7" t="s">
        <v>74</v>
      </c>
      <c r="U72" s="7" t="s">
        <v>567</v>
      </c>
      <c r="V72" s="7">
        <v>1</v>
      </c>
      <c r="W72" s="9" t="s">
        <v>568</v>
      </c>
      <c r="X72" s="10">
        <v>45307</v>
      </c>
      <c r="Y72" s="7" t="s">
        <v>67</v>
      </c>
      <c r="Z72" s="7" t="s">
        <v>375</v>
      </c>
      <c r="AA72" s="7"/>
      <c r="AB72" s="9"/>
      <c r="AC72" s="9">
        <v>149</v>
      </c>
      <c r="AD72" s="9"/>
      <c r="AE72" s="9"/>
      <c r="AF72" s="9"/>
      <c r="AG72" s="9"/>
      <c r="AH72" s="9"/>
      <c r="AI72" s="9">
        <v>316</v>
      </c>
      <c r="AJ72" s="9">
        <v>340</v>
      </c>
      <c r="AK72" s="9"/>
      <c r="AL72" s="9"/>
      <c r="AM72" s="9"/>
      <c r="AN72" s="9"/>
      <c r="AO72" s="9"/>
      <c r="AP72" s="9">
        <f t="shared" si="26"/>
        <v>3</v>
      </c>
      <c r="AQ72" s="62">
        <f t="shared" si="27"/>
        <v>268.33333333333331</v>
      </c>
      <c r="AR72" s="11" t="str">
        <f>IF(AQ72&gt;=$AR$1,"APROVADO","REPROVADO")</f>
        <v>APROVADO</v>
      </c>
      <c r="AS72" s="65"/>
      <c r="AT72" s="65"/>
      <c r="AU72" s="151"/>
      <c r="AV72" s="65"/>
      <c r="AW72" s="65"/>
      <c r="AX72" s="65"/>
      <c r="AY72" s="65"/>
      <c r="AZ72" s="65"/>
      <c r="BA72" s="65"/>
      <c r="BB72" s="65"/>
      <c r="BC72" s="34"/>
      <c r="BD72" s="65"/>
    </row>
    <row r="73" spans="2:56" s="64" customFormat="1" ht="39.950000000000003" hidden="1" customHeight="1" x14ac:dyDescent="0.25">
      <c r="B73" s="5">
        <v>100</v>
      </c>
      <c r="C73" s="6" t="s">
        <v>571</v>
      </c>
      <c r="D73" s="100" t="s">
        <v>4021</v>
      </c>
      <c r="E73" s="5" t="s">
        <v>33</v>
      </c>
      <c r="F73" s="7" t="s">
        <v>565</v>
      </c>
      <c r="G73" s="7" t="s">
        <v>572</v>
      </c>
      <c r="H73" s="7" t="s">
        <v>300</v>
      </c>
      <c r="I73" s="8">
        <v>1400000</v>
      </c>
      <c r="J73" s="8"/>
      <c r="K73" s="8"/>
      <c r="L73" s="8">
        <f t="shared" si="28"/>
        <v>1680000</v>
      </c>
      <c r="M73" s="8"/>
      <c r="N73" s="8"/>
      <c r="O73" s="15">
        <f t="shared" si="29"/>
        <v>0</v>
      </c>
      <c r="P73" s="15">
        <f t="shared" si="30"/>
        <v>0</v>
      </c>
      <c r="Q73" s="8"/>
      <c r="R73" s="159"/>
      <c r="S73" s="7" t="s">
        <v>73</v>
      </c>
      <c r="T73" s="7" t="s">
        <v>74</v>
      </c>
      <c r="U73" s="7" t="s">
        <v>567</v>
      </c>
      <c r="V73" s="7">
        <v>1</v>
      </c>
      <c r="W73" s="9" t="s">
        <v>568</v>
      </c>
      <c r="X73" s="10">
        <v>45307</v>
      </c>
      <c r="Y73" s="7" t="s">
        <v>67</v>
      </c>
      <c r="Z73" s="7" t="s">
        <v>375</v>
      </c>
      <c r="AA73" s="7"/>
      <c r="AB73" s="9">
        <v>306</v>
      </c>
      <c r="AC73" s="9">
        <v>189</v>
      </c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>
        <v>340</v>
      </c>
      <c r="AP73" s="9">
        <f t="shared" si="26"/>
        <v>3</v>
      </c>
      <c r="AQ73" s="62">
        <f t="shared" si="27"/>
        <v>278.33333333333331</v>
      </c>
      <c r="AR73" s="11" t="str">
        <f>IF(AQ73&gt;='Aprovados Recursos do Fundo'!$AQ$1,"APROVADO","REPROVADO")</f>
        <v>APROVADO</v>
      </c>
      <c r="AS73" s="65"/>
      <c r="AT73" s="65"/>
      <c r="AU73" s="151"/>
      <c r="AV73" s="65"/>
      <c r="AW73" s="65"/>
      <c r="AX73" s="65"/>
      <c r="AY73" s="65"/>
      <c r="AZ73" s="65"/>
      <c r="BA73" s="65"/>
      <c r="BB73" s="65"/>
      <c r="BC73" s="34"/>
      <c r="BD73" s="65"/>
    </row>
    <row r="74" spans="2:56" s="64" customFormat="1" ht="39.950000000000003" hidden="1" customHeight="1" x14ac:dyDescent="0.25">
      <c r="B74" s="5">
        <v>101</v>
      </c>
      <c r="C74" s="6" t="s">
        <v>573</v>
      </c>
      <c r="D74" s="100" t="s">
        <v>4022</v>
      </c>
      <c r="E74" s="5" t="s">
        <v>33</v>
      </c>
      <c r="F74" s="5" t="s">
        <v>574</v>
      </c>
      <c r="G74" s="7" t="s">
        <v>575</v>
      </c>
      <c r="H74" s="7" t="s">
        <v>174</v>
      </c>
      <c r="I74" s="8">
        <v>11210</v>
      </c>
      <c r="J74" s="8"/>
      <c r="K74" s="8"/>
      <c r="L74" s="8">
        <f t="shared" si="28"/>
        <v>13452</v>
      </c>
      <c r="M74" s="8"/>
      <c r="N74" s="8"/>
      <c r="O74" s="15">
        <f t="shared" si="29"/>
        <v>0</v>
      </c>
      <c r="P74" s="15">
        <f t="shared" si="30"/>
        <v>0</v>
      </c>
      <c r="Q74" s="8"/>
      <c r="R74" s="159"/>
      <c r="S74" s="7" t="s">
        <v>425</v>
      </c>
      <c r="T74" s="7" t="s">
        <v>348</v>
      </c>
      <c r="U74" s="7" t="s">
        <v>576</v>
      </c>
      <c r="V74" s="7">
        <v>1</v>
      </c>
      <c r="W74" s="9" t="s">
        <v>577</v>
      </c>
      <c r="X74" s="10">
        <v>45307</v>
      </c>
      <c r="Y74" s="7" t="s">
        <v>67</v>
      </c>
      <c r="Z74" s="7" t="s">
        <v>578</v>
      </c>
      <c r="AA74" s="7" t="s">
        <v>579</v>
      </c>
      <c r="AB74" s="9"/>
      <c r="AC74" s="9">
        <v>280</v>
      </c>
      <c r="AD74" s="9"/>
      <c r="AE74" s="9"/>
      <c r="AF74" s="9"/>
      <c r="AG74" s="9"/>
      <c r="AH74" s="9"/>
      <c r="AI74" s="9">
        <v>240</v>
      </c>
      <c r="AJ74" s="9">
        <v>340</v>
      </c>
      <c r="AK74" s="9"/>
      <c r="AL74" s="9"/>
      <c r="AM74" s="9"/>
      <c r="AN74" s="9"/>
      <c r="AO74" s="9"/>
      <c r="AP74" s="9">
        <f t="shared" si="26"/>
        <v>3</v>
      </c>
      <c r="AQ74" s="62">
        <f t="shared" si="27"/>
        <v>286.66666666666669</v>
      </c>
      <c r="AR74" s="11" t="str">
        <f>IF(AQ74&gt;='Aprovados Recursos do Fundo'!$AQ$1,"APROVADO","REPROVADO")</f>
        <v>APROVADO</v>
      </c>
      <c r="AS74" s="65"/>
      <c r="AT74" s="65"/>
      <c r="AU74" s="151"/>
      <c r="AV74" s="65"/>
      <c r="AW74" s="65"/>
      <c r="AX74" s="65"/>
      <c r="AY74" s="65"/>
      <c r="AZ74" s="65"/>
      <c r="BA74" s="65"/>
      <c r="BB74" s="65"/>
      <c r="BC74" s="34"/>
      <c r="BD74" s="65"/>
    </row>
    <row r="75" spans="2:56" s="64" customFormat="1" ht="39.950000000000003" hidden="1" customHeight="1" x14ac:dyDescent="0.25">
      <c r="B75" s="5">
        <v>103</v>
      </c>
      <c r="C75" s="27" t="s">
        <v>582</v>
      </c>
      <c r="D75" s="100" t="s">
        <v>4023</v>
      </c>
      <c r="E75" s="5" t="s">
        <v>33</v>
      </c>
      <c r="F75" s="5" t="s">
        <v>583</v>
      </c>
      <c r="G75" s="7" t="s">
        <v>584</v>
      </c>
      <c r="H75" s="7" t="s">
        <v>36</v>
      </c>
      <c r="I75" s="8">
        <v>377095.48</v>
      </c>
      <c r="J75" s="8"/>
      <c r="K75" s="8"/>
      <c r="L75" s="8">
        <f t="shared" si="28"/>
        <v>452514.57599999994</v>
      </c>
      <c r="M75" s="8"/>
      <c r="N75" s="8"/>
      <c r="O75" s="15">
        <f t="shared" si="29"/>
        <v>0</v>
      </c>
      <c r="P75" s="15">
        <f t="shared" si="30"/>
        <v>0</v>
      </c>
      <c r="Q75" s="8"/>
      <c r="R75" s="159"/>
      <c r="S75" s="7" t="s">
        <v>585</v>
      </c>
      <c r="T75" s="7" t="s">
        <v>38</v>
      </c>
      <c r="U75" s="7" t="s">
        <v>586</v>
      </c>
      <c r="V75" s="7">
        <v>1</v>
      </c>
      <c r="W75" s="9" t="s">
        <v>587</v>
      </c>
      <c r="X75" s="10">
        <v>45307</v>
      </c>
      <c r="Y75" s="7" t="s">
        <v>41</v>
      </c>
      <c r="Z75" s="7"/>
      <c r="AA75" s="7"/>
      <c r="AB75" s="9">
        <v>307</v>
      </c>
      <c r="AC75" s="9">
        <v>209</v>
      </c>
      <c r="AD75" s="9">
        <v>234</v>
      </c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>
        <f t="shared" si="26"/>
        <v>3</v>
      </c>
      <c r="AQ75" s="62">
        <f t="shared" si="27"/>
        <v>250</v>
      </c>
      <c r="AR75" s="11" t="str">
        <f>IF(AQ75&gt;='Aprovados Recursos do Fundo'!$AQ$1,"APROVADO","REPROVADO")</f>
        <v>APROVADO</v>
      </c>
      <c r="AS75" s="65"/>
      <c r="AT75" s="65"/>
      <c r="AU75" s="151"/>
      <c r="AV75" s="65"/>
      <c r="AW75" s="65"/>
      <c r="AX75" s="65"/>
      <c r="AY75" s="65"/>
      <c r="AZ75" s="65"/>
      <c r="BA75" s="65"/>
      <c r="BB75" s="65"/>
      <c r="BC75" s="34"/>
      <c r="BD75" s="65"/>
    </row>
    <row r="76" spans="2:56" s="64" customFormat="1" ht="39.950000000000003" customHeight="1" x14ac:dyDescent="0.25">
      <c r="B76" s="5">
        <v>104</v>
      </c>
      <c r="C76" s="6" t="s">
        <v>588</v>
      </c>
      <c r="D76" s="101" t="s">
        <v>4024</v>
      </c>
      <c r="E76" s="5" t="s">
        <v>33</v>
      </c>
      <c r="F76" s="5" t="s">
        <v>4025</v>
      </c>
      <c r="G76" s="7" t="s">
        <v>590</v>
      </c>
      <c r="H76" s="7" t="s">
        <v>107</v>
      </c>
      <c r="I76" s="8">
        <v>332860</v>
      </c>
      <c r="J76" s="8"/>
      <c r="K76" s="8"/>
      <c r="L76" s="8">
        <f t="shared" si="28"/>
        <v>399432</v>
      </c>
      <c r="M76" s="8">
        <f>191000+136000</f>
        <v>327000</v>
      </c>
      <c r="N76" s="8">
        <f>L76-M76</f>
        <v>72432</v>
      </c>
      <c r="O76" s="15">
        <f t="shared" si="29"/>
        <v>272499.99602506863</v>
      </c>
      <c r="P76" s="15">
        <f t="shared" si="30"/>
        <v>54500.003974931344</v>
      </c>
      <c r="Q76" s="136">
        <f>M76/L76</f>
        <v>0.8186625007510665</v>
      </c>
      <c r="R76" s="159"/>
      <c r="S76" s="7" t="s">
        <v>390</v>
      </c>
      <c r="T76" s="7" t="s">
        <v>391</v>
      </c>
      <c r="U76" s="7" t="s">
        <v>591</v>
      </c>
      <c r="V76" s="7"/>
      <c r="W76" s="9" t="s">
        <v>592</v>
      </c>
      <c r="X76" s="10">
        <v>45307</v>
      </c>
      <c r="Y76" s="7" t="s">
        <v>67</v>
      </c>
      <c r="Z76" s="7" t="s">
        <v>68</v>
      </c>
      <c r="AA76" s="7"/>
      <c r="AB76" s="9">
        <v>263</v>
      </c>
      <c r="AC76" s="9"/>
      <c r="AD76" s="9"/>
      <c r="AE76" s="9"/>
      <c r="AF76" s="9"/>
      <c r="AG76" s="9">
        <v>296</v>
      </c>
      <c r="AH76" s="9"/>
      <c r="AI76" s="9"/>
      <c r="AJ76" s="9"/>
      <c r="AK76" s="9"/>
      <c r="AL76" s="9"/>
      <c r="AM76" s="9"/>
      <c r="AN76" s="9">
        <v>269</v>
      </c>
      <c r="AO76" s="9"/>
      <c r="AP76" s="9">
        <f t="shared" si="26"/>
        <v>3</v>
      </c>
      <c r="AQ76" s="62">
        <f t="shared" si="27"/>
        <v>276</v>
      </c>
      <c r="AR76" s="11" t="str">
        <f>IF(AQ76&gt;='Aprovados Recursos do Fundo'!$AQ$1,"APROVADO","REPROVADO")</f>
        <v>APROVADO</v>
      </c>
      <c r="AS76" s="15" t="s">
        <v>4026</v>
      </c>
      <c r="AT76" s="15" t="s">
        <v>3387</v>
      </c>
      <c r="AU76" s="15" t="s">
        <v>3924</v>
      </c>
      <c r="AV76" s="65"/>
      <c r="AW76" s="65"/>
      <c r="AX76" s="65"/>
      <c r="AY76" s="65"/>
      <c r="AZ76" s="65"/>
      <c r="BA76" s="65"/>
      <c r="BB76" s="65"/>
      <c r="BC76" s="34">
        <v>46099</v>
      </c>
      <c r="BD76" s="140">
        <f>_xlfn.DAYS(BD2,BC76)</f>
        <v>2</v>
      </c>
    </row>
    <row r="77" spans="2:56" s="64" customFormat="1" ht="39.950000000000003" hidden="1" customHeight="1" x14ac:dyDescent="0.25">
      <c r="B77" s="5">
        <v>106</v>
      </c>
      <c r="C77" s="22" t="s">
        <v>601</v>
      </c>
      <c r="D77" s="99"/>
      <c r="E77" s="5" t="s">
        <v>51</v>
      </c>
      <c r="F77" s="59" t="s">
        <v>594</v>
      </c>
      <c r="G77" s="11" t="s">
        <v>602</v>
      </c>
      <c r="H77" s="11" t="s">
        <v>36</v>
      </c>
      <c r="I77" s="41">
        <v>988105.45</v>
      </c>
      <c r="J77" s="41"/>
      <c r="K77" s="41"/>
      <c r="L77" s="8">
        <v>1185726.5399999998</v>
      </c>
      <c r="M77" s="41"/>
      <c r="N77" s="41"/>
      <c r="O77" s="41"/>
      <c r="P77" s="41"/>
      <c r="Q77" s="41"/>
      <c r="R77" s="159"/>
      <c r="S77" s="9" t="s">
        <v>596</v>
      </c>
      <c r="T77" s="11" t="s">
        <v>597</v>
      </c>
      <c r="U77" s="9" t="s">
        <v>603</v>
      </c>
      <c r="V77" s="9"/>
      <c r="W77" s="9" t="s">
        <v>604</v>
      </c>
      <c r="X77" s="34">
        <v>45307</v>
      </c>
      <c r="Y77" s="9" t="s">
        <v>57</v>
      </c>
      <c r="Z77" s="11" t="s">
        <v>118</v>
      </c>
      <c r="AA77" s="9"/>
      <c r="AB77" s="9">
        <v>293</v>
      </c>
      <c r="AC77" s="9">
        <v>142</v>
      </c>
      <c r="AD77" s="9"/>
      <c r="AE77" s="9"/>
      <c r="AF77" s="9"/>
      <c r="AG77" s="9"/>
      <c r="AH77" s="9"/>
      <c r="AI77" s="9"/>
      <c r="AJ77" s="9">
        <v>328</v>
      </c>
      <c r="AK77" s="9"/>
      <c r="AL77" s="9"/>
      <c r="AM77" s="9"/>
      <c r="AN77" s="9"/>
      <c r="AO77" s="9"/>
      <c r="AP77" s="9">
        <f t="shared" si="26"/>
        <v>3</v>
      </c>
      <c r="AQ77" s="62">
        <f t="shared" si="27"/>
        <v>254.33333333333334</v>
      </c>
      <c r="AR77" s="11" t="str">
        <f>IF(AQ77&gt;=$AR$1,"APROVADO","REPROVADO")</f>
        <v>APROVADO</v>
      </c>
      <c r="AS77" s="65"/>
      <c r="AT77" s="65"/>
      <c r="AU77" s="151"/>
      <c r="AV77" s="65"/>
      <c r="AW77" s="65"/>
      <c r="AX77" s="65"/>
      <c r="AY77" s="65"/>
      <c r="AZ77" s="65"/>
      <c r="BA77" s="65"/>
      <c r="BB77" s="65"/>
      <c r="BC77" s="34"/>
      <c r="BD77" s="65"/>
    </row>
    <row r="78" spans="2:56" s="64" customFormat="1" ht="39.950000000000003" hidden="1" customHeight="1" x14ac:dyDescent="0.25">
      <c r="B78" s="5">
        <v>107</v>
      </c>
      <c r="C78" s="22" t="s">
        <v>605</v>
      </c>
      <c r="D78" s="99"/>
      <c r="E78" s="5" t="s">
        <v>51</v>
      </c>
      <c r="F78" s="59" t="s">
        <v>594</v>
      </c>
      <c r="G78" s="11" t="s">
        <v>606</v>
      </c>
      <c r="H78" s="11" t="s">
        <v>36</v>
      </c>
      <c r="I78" s="41">
        <v>3270000</v>
      </c>
      <c r="J78" s="41"/>
      <c r="K78" s="41"/>
      <c r="L78" s="8">
        <v>3924000</v>
      </c>
      <c r="M78" s="41"/>
      <c r="N78" s="41"/>
      <c r="O78" s="41"/>
      <c r="P78" s="41"/>
      <c r="Q78" s="41"/>
      <c r="R78" s="159"/>
      <c r="S78" s="9" t="s">
        <v>596</v>
      </c>
      <c r="T78" s="11" t="s">
        <v>597</v>
      </c>
      <c r="U78" s="9" t="s">
        <v>598</v>
      </c>
      <c r="V78" s="9"/>
      <c r="W78" s="9" t="s">
        <v>562</v>
      </c>
      <c r="X78" s="34">
        <v>45307</v>
      </c>
      <c r="Y78" s="9" t="s">
        <v>57</v>
      </c>
      <c r="Z78" s="11" t="s">
        <v>118</v>
      </c>
      <c r="AA78" s="9"/>
      <c r="AB78" s="9">
        <v>306</v>
      </c>
      <c r="AC78" s="9">
        <v>120</v>
      </c>
      <c r="AD78" s="9"/>
      <c r="AE78" s="9"/>
      <c r="AF78" s="9"/>
      <c r="AG78" s="9"/>
      <c r="AH78" s="9">
        <v>308</v>
      </c>
      <c r="AI78" s="9"/>
      <c r="AJ78" s="9"/>
      <c r="AK78" s="9"/>
      <c r="AL78" s="9"/>
      <c r="AM78" s="9"/>
      <c r="AN78" s="9"/>
      <c r="AO78" s="9"/>
      <c r="AP78" s="9">
        <f t="shared" si="26"/>
        <v>3</v>
      </c>
      <c r="AQ78" s="62">
        <f t="shared" si="27"/>
        <v>244.66666666666666</v>
      </c>
      <c r="AR78" s="11" t="str">
        <f>IF(AQ78&gt;=$AR$1,"APROVADO","REPROVADO")</f>
        <v>APROVADO</v>
      </c>
      <c r="AS78" s="65"/>
      <c r="AT78" s="65"/>
      <c r="AU78" s="151"/>
      <c r="AV78" s="65"/>
      <c r="AW78" s="65"/>
      <c r="AX78" s="65"/>
      <c r="AY78" s="65"/>
      <c r="AZ78" s="65"/>
      <c r="BA78" s="65"/>
      <c r="BB78" s="65"/>
      <c r="BC78" s="34"/>
      <c r="BD78" s="65"/>
    </row>
    <row r="79" spans="2:56" s="64" customFormat="1" ht="39.950000000000003" hidden="1" customHeight="1" x14ac:dyDescent="0.25">
      <c r="B79" s="5">
        <v>109</v>
      </c>
      <c r="C79" s="6" t="s">
        <v>613</v>
      </c>
      <c r="D79" s="100" t="s">
        <v>4027</v>
      </c>
      <c r="E79" s="5" t="s">
        <v>33</v>
      </c>
      <c r="F79" s="7" t="s">
        <v>614</v>
      </c>
      <c r="G79" s="7" t="s">
        <v>615</v>
      </c>
      <c r="H79" s="7" t="s">
        <v>300</v>
      </c>
      <c r="I79" s="8">
        <v>1074000</v>
      </c>
      <c r="J79" s="8"/>
      <c r="K79" s="8"/>
      <c r="L79" s="8">
        <f t="shared" ref="L79:L92" si="31">I79*1.2</f>
        <v>1288800</v>
      </c>
      <c r="M79" s="8"/>
      <c r="N79" s="8"/>
      <c r="O79" s="15">
        <f t="shared" ref="O79:O92" si="32">M79*0.83333332117758</f>
        <v>0</v>
      </c>
      <c r="P79" s="15">
        <f t="shared" ref="P79:P92" si="33">M79*0.16666667882242</f>
        <v>0</v>
      </c>
      <c r="Q79" s="8"/>
      <c r="R79" s="159"/>
      <c r="S79" s="7" t="s">
        <v>596</v>
      </c>
      <c r="T79" s="7" t="s">
        <v>597</v>
      </c>
      <c r="U79" s="7" t="s">
        <v>616</v>
      </c>
      <c r="V79" s="7">
        <v>1</v>
      </c>
      <c r="W79" s="9" t="s">
        <v>617</v>
      </c>
      <c r="X79" s="10">
        <v>45307</v>
      </c>
      <c r="Y79" s="7" t="s">
        <v>67</v>
      </c>
      <c r="Z79" s="7" t="s">
        <v>98</v>
      </c>
      <c r="AA79" s="7"/>
      <c r="AB79" s="9">
        <v>247</v>
      </c>
      <c r="AC79" s="9">
        <v>266</v>
      </c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>
        <v>340</v>
      </c>
      <c r="AP79" s="9">
        <f t="shared" si="26"/>
        <v>3</v>
      </c>
      <c r="AQ79" s="62">
        <f t="shared" si="27"/>
        <v>284.33333333333331</v>
      </c>
      <c r="AR79" s="11" t="str">
        <f>IF(AQ79&gt;='Aprovados Recursos do Fundo'!$AQ$1,"APROVADO","REPROVADO")</f>
        <v>APROVADO</v>
      </c>
      <c r="AS79" s="65"/>
      <c r="AT79" s="65"/>
      <c r="AU79" s="151"/>
      <c r="AV79" s="65"/>
      <c r="AW79" s="65"/>
      <c r="AX79" s="65"/>
      <c r="AY79" s="65"/>
      <c r="AZ79" s="65"/>
      <c r="BA79" s="65"/>
      <c r="BB79" s="65"/>
      <c r="BC79" s="34"/>
      <c r="BD79" s="65"/>
    </row>
    <row r="80" spans="2:56" s="64" customFormat="1" ht="39.950000000000003" hidden="1" customHeight="1" x14ac:dyDescent="0.25">
      <c r="B80" s="5">
        <v>111</v>
      </c>
      <c r="C80" s="6" t="s">
        <v>620</v>
      </c>
      <c r="D80" s="100" t="s">
        <v>4028</v>
      </c>
      <c r="E80" s="5" t="s">
        <v>33</v>
      </c>
      <c r="F80" s="58" t="s">
        <v>614</v>
      </c>
      <c r="G80" s="7" t="s">
        <v>621</v>
      </c>
      <c r="H80" s="7" t="s">
        <v>36</v>
      </c>
      <c r="I80" s="8">
        <v>1919116.46</v>
      </c>
      <c r="J80" s="8"/>
      <c r="K80" s="8"/>
      <c r="L80" s="8">
        <f t="shared" si="31"/>
        <v>2302939.7519999999</v>
      </c>
      <c r="M80" s="8"/>
      <c r="N80" s="8"/>
      <c r="O80" s="15">
        <f t="shared" si="32"/>
        <v>0</v>
      </c>
      <c r="P80" s="15">
        <f t="shared" si="33"/>
        <v>0</v>
      </c>
      <c r="Q80" s="8"/>
      <c r="R80" s="159"/>
      <c r="S80" s="7" t="s">
        <v>596</v>
      </c>
      <c r="T80" s="7" t="s">
        <v>597</v>
      </c>
      <c r="U80" s="7" t="s">
        <v>616</v>
      </c>
      <c r="V80" s="7">
        <v>1</v>
      </c>
      <c r="W80" s="9" t="s">
        <v>617</v>
      </c>
      <c r="X80" s="10">
        <v>45307</v>
      </c>
      <c r="Y80" s="7" t="s">
        <v>67</v>
      </c>
      <c r="Z80" s="7" t="s">
        <v>98</v>
      </c>
      <c r="AA80" s="7"/>
      <c r="AB80" s="9"/>
      <c r="AC80" s="9">
        <v>120</v>
      </c>
      <c r="AD80" s="9"/>
      <c r="AE80" s="9"/>
      <c r="AF80" s="9"/>
      <c r="AG80" s="9"/>
      <c r="AH80" s="9"/>
      <c r="AI80" s="9">
        <v>340</v>
      </c>
      <c r="AJ80" s="9">
        <v>340</v>
      </c>
      <c r="AK80" s="9"/>
      <c r="AL80" s="9"/>
      <c r="AM80" s="9"/>
      <c r="AN80" s="9"/>
      <c r="AO80" s="9"/>
      <c r="AP80" s="9">
        <f t="shared" si="26"/>
        <v>3</v>
      </c>
      <c r="AQ80" s="62">
        <f t="shared" si="27"/>
        <v>266.66666666666669</v>
      </c>
      <c r="AR80" s="11" t="str">
        <f>IF(AQ80&gt;=$AR$1,"APROVADO","REPROVADO")</f>
        <v>APROVADO</v>
      </c>
      <c r="AS80" s="65"/>
      <c r="AT80" s="65"/>
      <c r="AU80" s="151"/>
      <c r="AV80" s="65"/>
      <c r="AW80" s="65"/>
      <c r="AX80" s="65"/>
      <c r="AY80" s="65"/>
      <c r="AZ80" s="65"/>
      <c r="BA80" s="65"/>
      <c r="BB80" s="65"/>
      <c r="BC80" s="34"/>
      <c r="BD80" s="65"/>
    </row>
    <row r="81" spans="2:57" s="64" customFormat="1" ht="39.950000000000003" hidden="1" customHeight="1" x14ac:dyDescent="0.25">
      <c r="B81" s="5">
        <v>112</v>
      </c>
      <c r="C81" s="6" t="s">
        <v>622</v>
      </c>
      <c r="D81" s="101" t="s">
        <v>4029</v>
      </c>
      <c r="E81" s="5" t="s">
        <v>33</v>
      </c>
      <c r="F81" s="5" t="s">
        <v>623</v>
      </c>
      <c r="G81" s="7" t="s">
        <v>624</v>
      </c>
      <c r="H81" s="7" t="s">
        <v>36</v>
      </c>
      <c r="I81" s="8">
        <v>0</v>
      </c>
      <c r="J81" s="8"/>
      <c r="K81" s="8"/>
      <c r="L81" s="8">
        <f t="shared" si="31"/>
        <v>0</v>
      </c>
      <c r="M81" s="8"/>
      <c r="N81" s="8"/>
      <c r="O81" s="15">
        <f t="shared" si="32"/>
        <v>0</v>
      </c>
      <c r="P81" s="15">
        <f t="shared" si="33"/>
        <v>0</v>
      </c>
      <c r="Q81" s="8"/>
      <c r="R81" s="159"/>
      <c r="S81" s="7" t="s">
        <v>596</v>
      </c>
      <c r="T81" s="7" t="s">
        <v>597</v>
      </c>
      <c r="U81" s="7" t="s">
        <v>598</v>
      </c>
      <c r="V81" s="7"/>
      <c r="W81" s="9" t="s">
        <v>625</v>
      </c>
      <c r="X81" s="10">
        <v>45307</v>
      </c>
      <c r="Y81" s="7" t="s">
        <v>67</v>
      </c>
      <c r="Z81" s="7" t="s">
        <v>98</v>
      </c>
      <c r="AA81" s="7" t="s">
        <v>626</v>
      </c>
      <c r="AB81" s="9"/>
      <c r="AC81" s="9">
        <v>69</v>
      </c>
      <c r="AD81" s="9"/>
      <c r="AE81" s="9"/>
      <c r="AF81" s="9"/>
      <c r="AG81" s="9">
        <v>340</v>
      </c>
      <c r="AH81" s="9">
        <v>340</v>
      </c>
      <c r="AI81" s="9"/>
      <c r="AJ81" s="9"/>
      <c r="AK81" s="9"/>
      <c r="AL81" s="9"/>
      <c r="AM81" s="9"/>
      <c r="AN81" s="9"/>
      <c r="AO81" s="9"/>
      <c r="AP81" s="9">
        <f t="shared" si="26"/>
        <v>3</v>
      </c>
      <c r="AQ81" s="62">
        <f t="shared" si="27"/>
        <v>249.66666666666666</v>
      </c>
      <c r="AR81" s="11" t="str">
        <f>IF(AQ81&gt;='Aprovados Recursos do Fundo'!$AQ$1,"APROVADO","REPROVADO")</f>
        <v>APROVADO</v>
      </c>
      <c r="AS81" s="65"/>
      <c r="AT81" s="65"/>
      <c r="AU81" s="151"/>
      <c r="AV81" s="65"/>
      <c r="AW81" s="65"/>
      <c r="AX81" s="65"/>
      <c r="AY81" s="65"/>
      <c r="AZ81" s="65"/>
      <c r="BA81" s="65"/>
      <c r="BB81" s="65"/>
      <c r="BC81" s="34"/>
      <c r="BD81" s="65"/>
    </row>
    <row r="82" spans="2:57" s="64" customFormat="1" ht="39.950000000000003" hidden="1" customHeight="1" x14ac:dyDescent="0.25">
      <c r="B82" s="5">
        <v>113</v>
      </c>
      <c r="C82" s="6" t="s">
        <v>627</v>
      </c>
      <c r="D82" s="101" t="s">
        <v>4030</v>
      </c>
      <c r="E82" s="5" t="s">
        <v>33</v>
      </c>
      <c r="F82" s="58" t="s">
        <v>628</v>
      </c>
      <c r="G82" s="5" t="s">
        <v>629</v>
      </c>
      <c r="H82" s="7" t="s">
        <v>36</v>
      </c>
      <c r="I82" s="8">
        <v>532258</v>
      </c>
      <c r="J82" s="8"/>
      <c r="K82" s="8"/>
      <c r="L82" s="8">
        <f t="shared" si="31"/>
        <v>638709.6</v>
      </c>
      <c r="M82" s="8"/>
      <c r="N82" s="8"/>
      <c r="O82" s="15">
        <f t="shared" si="32"/>
        <v>0</v>
      </c>
      <c r="P82" s="15">
        <f t="shared" si="33"/>
        <v>0</v>
      </c>
      <c r="Q82" s="8"/>
      <c r="R82" s="159"/>
      <c r="S82" s="7" t="s">
        <v>630</v>
      </c>
      <c r="T82" s="7" t="s">
        <v>453</v>
      </c>
      <c r="U82" s="7" t="s">
        <v>631</v>
      </c>
      <c r="V82" s="7"/>
      <c r="W82" s="9" t="s">
        <v>632</v>
      </c>
      <c r="X82" s="10">
        <v>45307</v>
      </c>
      <c r="Y82" s="5" t="s">
        <v>67</v>
      </c>
      <c r="Z82" s="7" t="s">
        <v>375</v>
      </c>
      <c r="AA82" s="7"/>
      <c r="AB82" s="9">
        <v>244</v>
      </c>
      <c r="AC82" s="9">
        <v>252</v>
      </c>
      <c r="AD82" s="9">
        <v>241</v>
      </c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>
        <f t="shared" si="26"/>
        <v>3</v>
      </c>
      <c r="AQ82" s="62">
        <f t="shared" si="27"/>
        <v>245.66666666666666</v>
      </c>
      <c r="AR82" s="11" t="str">
        <f>IF(AQ82&gt;=$AR$1,"APROVADO","REPROVADO")</f>
        <v>APROVADO</v>
      </c>
      <c r="AS82" s="65"/>
      <c r="AT82" s="65"/>
      <c r="AU82" s="151"/>
      <c r="AV82" s="65"/>
      <c r="AW82" s="65"/>
      <c r="AX82" s="65"/>
      <c r="AY82" s="65"/>
      <c r="AZ82" s="65"/>
      <c r="BA82" s="65"/>
      <c r="BB82" s="65"/>
      <c r="BC82" s="34"/>
      <c r="BD82" s="65"/>
    </row>
    <row r="83" spans="2:57" s="64" customFormat="1" ht="39.950000000000003" hidden="1" customHeight="1" x14ac:dyDescent="0.25">
      <c r="B83" s="5">
        <v>114</v>
      </c>
      <c r="C83" s="6" t="s">
        <v>633</v>
      </c>
      <c r="D83" s="101" t="s">
        <v>4031</v>
      </c>
      <c r="E83" s="5" t="s">
        <v>33</v>
      </c>
      <c r="F83" s="5" t="s">
        <v>628</v>
      </c>
      <c r="G83" s="5" t="s">
        <v>634</v>
      </c>
      <c r="H83" s="7" t="s">
        <v>36</v>
      </c>
      <c r="I83" s="8">
        <v>200000</v>
      </c>
      <c r="J83" s="8"/>
      <c r="K83" s="8"/>
      <c r="L83" s="8">
        <f t="shared" si="31"/>
        <v>240000</v>
      </c>
      <c r="M83" s="8"/>
      <c r="N83" s="8"/>
      <c r="O83" s="15">
        <f t="shared" si="32"/>
        <v>0</v>
      </c>
      <c r="P83" s="15">
        <f t="shared" si="33"/>
        <v>0</v>
      </c>
      <c r="Q83" s="8"/>
      <c r="R83" s="159"/>
      <c r="S83" s="7" t="s">
        <v>630</v>
      </c>
      <c r="T83" s="7" t="s">
        <v>453</v>
      </c>
      <c r="U83" s="7" t="s">
        <v>635</v>
      </c>
      <c r="V83" s="7"/>
      <c r="W83" s="9" t="s">
        <v>632</v>
      </c>
      <c r="X83" s="10">
        <v>45307</v>
      </c>
      <c r="Y83" s="5" t="s">
        <v>67</v>
      </c>
      <c r="Z83" s="7" t="s">
        <v>375</v>
      </c>
      <c r="AA83" s="7"/>
      <c r="AB83" s="9">
        <v>298</v>
      </c>
      <c r="AC83" s="9">
        <v>265</v>
      </c>
      <c r="AD83" s="9">
        <v>239</v>
      </c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>
        <f t="shared" si="26"/>
        <v>3</v>
      </c>
      <c r="AQ83" s="62">
        <f t="shared" si="27"/>
        <v>267.33333333333331</v>
      </c>
      <c r="AR83" s="11" t="str">
        <f>IF(AQ83&gt;='Aprovados Recursos do Fundo'!$AQ$1,"APROVADO","REPROVADO")</f>
        <v>APROVADO</v>
      </c>
      <c r="AS83" s="65"/>
      <c r="AT83" s="65"/>
      <c r="AU83" s="151"/>
      <c r="AV83" s="65"/>
      <c r="AW83" s="65"/>
      <c r="AX83" s="65"/>
      <c r="AY83" s="65"/>
      <c r="AZ83" s="65"/>
      <c r="BA83" s="65"/>
      <c r="BB83" s="65"/>
      <c r="BC83" s="34"/>
      <c r="BD83" s="65"/>
    </row>
    <row r="84" spans="2:57" s="64" customFormat="1" ht="39.950000000000003" customHeight="1" x14ac:dyDescent="0.25">
      <c r="B84" s="5">
        <v>115</v>
      </c>
      <c r="C84" s="6" t="s">
        <v>636</v>
      </c>
      <c r="D84" s="100" t="s">
        <v>4032</v>
      </c>
      <c r="E84" s="5" t="s">
        <v>33</v>
      </c>
      <c r="F84" s="5" t="s">
        <v>637</v>
      </c>
      <c r="G84" s="5" t="s">
        <v>638</v>
      </c>
      <c r="H84" s="7" t="s">
        <v>107</v>
      </c>
      <c r="I84" s="163">
        <v>627681.1</v>
      </c>
      <c r="J84" s="17">
        <v>627681.1</v>
      </c>
      <c r="K84" s="17">
        <v>0</v>
      </c>
      <c r="L84" s="8">
        <f t="shared" si="31"/>
        <v>753217.32</v>
      </c>
      <c r="M84" s="8">
        <f>100000+230000+113000+104000+120015.11+114984.89+140398</f>
        <v>922398</v>
      </c>
      <c r="N84" s="124">
        <f>L84-M84</f>
        <v>-169180.68000000005</v>
      </c>
      <c r="O84" s="15">
        <f t="shared" si="32"/>
        <v>768664.98878755746</v>
      </c>
      <c r="P84" s="15">
        <f t="shared" si="33"/>
        <v>153733.01121244257</v>
      </c>
      <c r="Q84" s="143">
        <f t="shared" ref="Q84:Q86" si="34">M84/L84</f>
        <v>1.2246107139437528</v>
      </c>
      <c r="R84" s="159">
        <v>120</v>
      </c>
      <c r="S84" s="7" t="s">
        <v>73</v>
      </c>
      <c r="T84" s="7" t="s">
        <v>74</v>
      </c>
      <c r="U84" s="7" t="s">
        <v>639</v>
      </c>
      <c r="V84" s="7">
        <v>1</v>
      </c>
      <c r="W84" s="9" t="s">
        <v>640</v>
      </c>
      <c r="X84" s="10">
        <v>45307</v>
      </c>
      <c r="Y84" s="7" t="s">
        <v>67</v>
      </c>
      <c r="Z84" s="7" t="s">
        <v>68</v>
      </c>
      <c r="AA84" s="7"/>
      <c r="AB84" s="9">
        <v>306</v>
      </c>
      <c r="AC84" s="9"/>
      <c r="AD84" s="9"/>
      <c r="AE84" s="9"/>
      <c r="AF84" s="9"/>
      <c r="AG84" s="9"/>
      <c r="AH84" s="9"/>
      <c r="AI84" s="9"/>
      <c r="AJ84" s="9"/>
      <c r="AK84" s="9">
        <v>257</v>
      </c>
      <c r="AL84" s="9">
        <v>257</v>
      </c>
      <c r="AM84" s="9"/>
      <c r="AN84" s="9"/>
      <c r="AO84" s="9"/>
      <c r="AP84" s="9">
        <f t="shared" si="26"/>
        <v>3</v>
      </c>
      <c r="AQ84" s="62">
        <f t="shared" si="27"/>
        <v>273.33333333333331</v>
      </c>
      <c r="AR84" s="11" t="str">
        <f>IF(AQ84&gt;=$AR$1,"APROVADO","REPROVADO")</f>
        <v>APROVADO</v>
      </c>
      <c r="AS84" s="5" t="s">
        <v>4033</v>
      </c>
      <c r="AT84" s="7" t="s">
        <v>2986</v>
      </c>
      <c r="AU84" s="151" t="s">
        <v>4034</v>
      </c>
      <c r="AV84" s="148">
        <v>45783</v>
      </c>
      <c r="AW84" s="10">
        <f t="shared" ref="AW84:AW86" si="35">EDATE(AV84,12)</f>
        <v>46148</v>
      </c>
      <c r="AX84" s="148">
        <v>45790</v>
      </c>
      <c r="AY84" s="148">
        <v>45800</v>
      </c>
      <c r="AZ84" s="148">
        <v>46045</v>
      </c>
      <c r="BA84" s="5" t="s">
        <v>3119</v>
      </c>
      <c r="BB84" s="7" t="s">
        <v>4035</v>
      </c>
      <c r="BC84" s="34">
        <v>46056</v>
      </c>
      <c r="BD84" s="140">
        <f t="shared" ref="BD84" si="36">_xlfn.DAYS($BD$2,BC84)</f>
        <v>45</v>
      </c>
      <c r="BE84" s="146" t="s">
        <v>4036</v>
      </c>
    </row>
    <row r="85" spans="2:57" s="64" customFormat="1" ht="39.950000000000003" customHeight="1" x14ac:dyDescent="0.25">
      <c r="B85" s="5">
        <v>116</v>
      </c>
      <c r="C85" s="6" t="s">
        <v>641</v>
      </c>
      <c r="D85" s="100" t="s">
        <v>4037</v>
      </c>
      <c r="E85" s="5" t="s">
        <v>33</v>
      </c>
      <c r="F85" s="5" t="s">
        <v>637</v>
      </c>
      <c r="G85" s="5" t="s">
        <v>642</v>
      </c>
      <c r="H85" s="7" t="s">
        <v>107</v>
      </c>
      <c r="I85" s="163">
        <v>565125</v>
      </c>
      <c r="J85" s="17">
        <v>565125</v>
      </c>
      <c r="K85" s="17">
        <v>0</v>
      </c>
      <c r="L85" s="8">
        <f t="shared" si="31"/>
        <v>678150</v>
      </c>
      <c r="M85" s="8">
        <f>100000+50000+320000+58640+28537+30000+116876.8</f>
        <v>704053.8</v>
      </c>
      <c r="N85" s="124">
        <f>L85-M85</f>
        <v>-25903.800000000047</v>
      </c>
      <c r="O85" s="15">
        <f t="shared" si="32"/>
        <v>586711.49144169572</v>
      </c>
      <c r="P85" s="15">
        <f t="shared" si="33"/>
        <v>117342.30855830434</v>
      </c>
      <c r="Q85" s="143">
        <f t="shared" si="34"/>
        <v>1.0381977438619776</v>
      </c>
      <c r="R85" s="159">
        <v>120</v>
      </c>
      <c r="S85" s="7" t="s">
        <v>73</v>
      </c>
      <c r="T85" s="7" t="s">
        <v>74</v>
      </c>
      <c r="U85" s="7" t="s">
        <v>639</v>
      </c>
      <c r="V85" s="7"/>
      <c r="W85" s="9" t="s">
        <v>640</v>
      </c>
      <c r="X85" s="10">
        <v>45307</v>
      </c>
      <c r="Y85" s="7" t="s">
        <v>67</v>
      </c>
      <c r="Z85" s="7" t="s">
        <v>68</v>
      </c>
      <c r="AA85" s="7"/>
      <c r="AB85" s="9">
        <v>286</v>
      </c>
      <c r="AC85" s="9"/>
      <c r="AD85" s="9"/>
      <c r="AE85" s="9"/>
      <c r="AF85" s="9"/>
      <c r="AG85" s="9"/>
      <c r="AH85" s="9"/>
      <c r="AI85" s="9"/>
      <c r="AJ85" s="9">
        <v>249</v>
      </c>
      <c r="AK85" s="9"/>
      <c r="AL85" s="9">
        <v>249</v>
      </c>
      <c r="AM85" s="9"/>
      <c r="AN85" s="9"/>
      <c r="AO85" s="9"/>
      <c r="AP85" s="9">
        <f t="shared" si="26"/>
        <v>3</v>
      </c>
      <c r="AQ85" s="62">
        <f t="shared" si="27"/>
        <v>261.33333333333331</v>
      </c>
      <c r="AR85" s="11" t="str">
        <f>IF(AQ85&gt;=$AR$1,"APROVADO","REPROVADO")</f>
        <v>APROVADO</v>
      </c>
      <c r="AS85" s="5" t="s">
        <v>4038</v>
      </c>
      <c r="AT85" s="7" t="s">
        <v>2986</v>
      </c>
      <c r="AU85" s="151" t="s">
        <v>4034</v>
      </c>
      <c r="AV85" s="148">
        <v>45776</v>
      </c>
      <c r="AW85" s="10">
        <f t="shared" si="35"/>
        <v>46141</v>
      </c>
      <c r="AX85" s="148">
        <v>45785</v>
      </c>
      <c r="AY85" s="148">
        <v>45800</v>
      </c>
      <c r="AZ85" s="148">
        <v>46045</v>
      </c>
      <c r="BA85" s="5" t="s">
        <v>3119</v>
      </c>
      <c r="BB85" s="7" t="s">
        <v>4039</v>
      </c>
      <c r="BC85" s="34">
        <v>46055</v>
      </c>
      <c r="BD85" s="140">
        <f>_xlfn.DAYS($BD$2,BC85)</f>
        <v>46</v>
      </c>
      <c r="BE85" s="146" t="s">
        <v>4040</v>
      </c>
    </row>
    <row r="86" spans="2:57" s="64" customFormat="1" ht="39.950000000000003" customHeight="1" x14ac:dyDescent="0.25">
      <c r="B86" s="5">
        <v>117</v>
      </c>
      <c r="C86" s="27" t="s">
        <v>643</v>
      </c>
      <c r="D86" s="100" t="s">
        <v>4041</v>
      </c>
      <c r="E86" s="5" t="s">
        <v>33</v>
      </c>
      <c r="F86" s="5" t="s">
        <v>637</v>
      </c>
      <c r="G86" s="7" t="s">
        <v>644</v>
      </c>
      <c r="H86" s="7" t="s">
        <v>107</v>
      </c>
      <c r="I86" s="163">
        <v>428436</v>
      </c>
      <c r="J86" s="8">
        <v>428436</v>
      </c>
      <c r="K86" s="8">
        <v>0</v>
      </c>
      <c r="L86" s="8">
        <f t="shared" si="31"/>
        <v>514123.19999999995</v>
      </c>
      <c r="M86" s="8">
        <f>50000+80981.55+76573.64+42444.81+264123.2</f>
        <v>514123.2</v>
      </c>
      <c r="N86" s="8">
        <f>L86-M86</f>
        <v>0</v>
      </c>
      <c r="O86" s="15">
        <f t="shared" si="32"/>
        <v>428435.9937504452</v>
      </c>
      <c r="P86" s="15">
        <f t="shared" si="33"/>
        <v>85687.206249554802</v>
      </c>
      <c r="Q86" s="143">
        <f t="shared" si="34"/>
        <v>1.0000000000000002</v>
      </c>
      <c r="R86" s="159">
        <v>120</v>
      </c>
      <c r="S86" s="7" t="s">
        <v>73</v>
      </c>
      <c r="T86" s="7" t="s">
        <v>74</v>
      </c>
      <c r="U86" s="7" t="s">
        <v>639</v>
      </c>
      <c r="V86" s="7"/>
      <c r="W86" s="9" t="s">
        <v>640</v>
      </c>
      <c r="X86" s="10">
        <v>45307</v>
      </c>
      <c r="Y86" s="7" t="s">
        <v>41</v>
      </c>
      <c r="Z86" s="7"/>
      <c r="AA86" s="7"/>
      <c r="AB86" s="9">
        <v>313</v>
      </c>
      <c r="AC86" s="9">
        <v>267</v>
      </c>
      <c r="AD86" s="9">
        <v>273</v>
      </c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>
        <f t="shared" si="26"/>
        <v>3</v>
      </c>
      <c r="AQ86" s="62">
        <f t="shared" si="27"/>
        <v>284.33333333333331</v>
      </c>
      <c r="AR86" s="11" t="str">
        <f>IF(AQ86&gt;='Aprovados Recursos do Fundo'!$AQ$1,"APROVADO","REPROVADO")</f>
        <v>APROVADO</v>
      </c>
      <c r="AS86" s="5" t="s">
        <v>4042</v>
      </c>
      <c r="AT86" s="7" t="s">
        <v>2986</v>
      </c>
      <c r="AU86" s="151" t="s">
        <v>4034</v>
      </c>
      <c r="AV86" s="148">
        <v>45841</v>
      </c>
      <c r="AW86" s="10">
        <f t="shared" si="35"/>
        <v>46206</v>
      </c>
      <c r="AX86" s="148">
        <v>45846</v>
      </c>
      <c r="AY86" s="148">
        <v>45849</v>
      </c>
      <c r="AZ86" s="148">
        <v>46057</v>
      </c>
      <c r="BA86" s="5" t="s">
        <v>3119</v>
      </c>
      <c r="BB86" s="7" t="s">
        <v>4035</v>
      </c>
      <c r="BC86" s="34">
        <v>46058</v>
      </c>
      <c r="BD86" s="140">
        <f t="shared" ref="BD86" si="37">_xlfn.DAYS($BD$2,BC86)</f>
        <v>43</v>
      </c>
      <c r="BE86" s="7" t="s">
        <v>1694</v>
      </c>
    </row>
    <row r="87" spans="2:57" s="64" customFormat="1" ht="39.950000000000003" hidden="1" customHeight="1" x14ac:dyDescent="0.25">
      <c r="B87" s="5">
        <v>118</v>
      </c>
      <c r="C87" s="6" t="s">
        <v>645</v>
      </c>
      <c r="D87" s="100" t="s">
        <v>4043</v>
      </c>
      <c r="E87" s="5" t="s">
        <v>33</v>
      </c>
      <c r="F87" s="5" t="s">
        <v>646</v>
      </c>
      <c r="G87" s="7" t="s">
        <v>647</v>
      </c>
      <c r="H87" s="7" t="s">
        <v>36</v>
      </c>
      <c r="I87" s="17">
        <v>1704249.92</v>
      </c>
      <c r="J87" s="17"/>
      <c r="K87" s="17"/>
      <c r="L87" s="8">
        <f t="shared" si="31"/>
        <v>2045099.9039999999</v>
      </c>
      <c r="M87" s="17"/>
      <c r="N87" s="17"/>
      <c r="O87" s="15">
        <f t="shared" si="32"/>
        <v>0</v>
      </c>
      <c r="P87" s="15">
        <f t="shared" si="33"/>
        <v>0</v>
      </c>
      <c r="Q87" s="17"/>
      <c r="R87" s="159"/>
      <c r="S87" s="7" t="s">
        <v>648</v>
      </c>
      <c r="T87" s="7" t="s">
        <v>254</v>
      </c>
      <c r="U87" s="7" t="s">
        <v>649</v>
      </c>
      <c r="V87" s="7">
        <v>1</v>
      </c>
      <c r="W87" s="23" t="s">
        <v>650</v>
      </c>
      <c r="X87" s="10">
        <v>45308</v>
      </c>
      <c r="Y87" s="7" t="s">
        <v>67</v>
      </c>
      <c r="Z87" s="7" t="s">
        <v>375</v>
      </c>
      <c r="AA87" s="65"/>
      <c r="AB87" s="9">
        <v>205</v>
      </c>
      <c r="AC87" s="9"/>
      <c r="AD87" s="9"/>
      <c r="AE87" s="9"/>
      <c r="AF87" s="9"/>
      <c r="AG87" s="9">
        <v>225</v>
      </c>
      <c r="AH87" s="9">
        <v>234</v>
      </c>
      <c r="AI87" s="9"/>
      <c r="AJ87" s="9"/>
      <c r="AK87" s="9"/>
      <c r="AL87" s="9"/>
      <c r="AM87" s="9"/>
      <c r="AN87" s="9"/>
      <c r="AO87" s="9"/>
      <c r="AP87" s="9">
        <f t="shared" si="26"/>
        <v>3</v>
      </c>
      <c r="AQ87" s="62">
        <f t="shared" si="27"/>
        <v>221.33333333333334</v>
      </c>
      <c r="AR87" s="11" t="str">
        <f>IF(AQ87&gt;='Aprovados Recursos do Fundo'!$AQ$1,"APROVADO","REPROVADO")</f>
        <v>APROVADO</v>
      </c>
      <c r="AS87" s="65"/>
      <c r="AT87" s="65"/>
      <c r="AU87" s="151"/>
      <c r="AV87" s="65"/>
      <c r="AW87" s="65"/>
      <c r="AX87" s="65"/>
      <c r="AY87" s="65"/>
      <c r="AZ87" s="65"/>
      <c r="BA87" s="65"/>
      <c r="BB87" s="65"/>
      <c r="BC87" s="34"/>
      <c r="BD87" s="65"/>
    </row>
    <row r="88" spans="2:57" s="64" customFormat="1" ht="39.950000000000003" hidden="1" customHeight="1" x14ac:dyDescent="0.25">
      <c r="B88" s="5">
        <v>120</v>
      </c>
      <c r="C88" s="27" t="s">
        <v>657</v>
      </c>
      <c r="D88" s="100" t="s">
        <v>4044</v>
      </c>
      <c r="E88" s="5" t="s">
        <v>33</v>
      </c>
      <c r="F88" s="58" t="s">
        <v>658</v>
      </c>
      <c r="G88" s="7" t="s">
        <v>659</v>
      </c>
      <c r="H88" s="7" t="s">
        <v>36</v>
      </c>
      <c r="I88" s="8">
        <v>821650</v>
      </c>
      <c r="J88" s="8"/>
      <c r="K88" s="8"/>
      <c r="L88" s="8">
        <f t="shared" si="31"/>
        <v>985980</v>
      </c>
      <c r="M88" s="8"/>
      <c r="N88" s="8"/>
      <c r="O88" s="15">
        <f t="shared" si="32"/>
        <v>0</v>
      </c>
      <c r="P88" s="15">
        <f t="shared" si="33"/>
        <v>0</v>
      </c>
      <c r="Q88" s="8"/>
      <c r="R88" s="159"/>
      <c r="S88" s="7" t="s">
        <v>73</v>
      </c>
      <c r="T88" s="7" t="s">
        <v>74</v>
      </c>
      <c r="U88" s="7" t="s">
        <v>660</v>
      </c>
      <c r="V88" s="7">
        <v>1</v>
      </c>
      <c r="W88" s="9" t="s">
        <v>661</v>
      </c>
      <c r="X88" s="10">
        <v>45308</v>
      </c>
      <c r="Y88" s="7" t="s">
        <v>41</v>
      </c>
      <c r="Z88" s="7"/>
      <c r="AA88" s="7"/>
      <c r="AB88" s="9">
        <v>335</v>
      </c>
      <c r="AC88" s="9">
        <v>112</v>
      </c>
      <c r="AD88" s="9"/>
      <c r="AE88" s="9"/>
      <c r="AF88" s="9">
        <v>193</v>
      </c>
      <c r="AG88" s="9"/>
      <c r="AH88" s="9"/>
      <c r="AI88" s="9"/>
      <c r="AJ88" s="9"/>
      <c r="AK88" s="9"/>
      <c r="AL88" s="9"/>
      <c r="AM88" s="9"/>
      <c r="AN88" s="9"/>
      <c r="AO88" s="9"/>
      <c r="AP88" s="9">
        <f t="shared" si="26"/>
        <v>3</v>
      </c>
      <c r="AQ88" s="62">
        <f t="shared" si="27"/>
        <v>213.33333333333334</v>
      </c>
      <c r="AR88" s="11" t="str">
        <f>IF(AQ88&gt;=$AR$1,"APROVADO","REPROVADO")</f>
        <v>APROVADO</v>
      </c>
      <c r="AS88" s="65"/>
      <c r="AT88" s="65"/>
      <c r="AU88" s="151"/>
      <c r="AV88" s="65"/>
      <c r="AW88" s="65"/>
      <c r="AX88" s="65"/>
      <c r="AY88" s="65"/>
      <c r="AZ88" s="65"/>
      <c r="BA88" s="65"/>
      <c r="BB88" s="65"/>
      <c r="BC88" s="34"/>
      <c r="BD88" s="65"/>
    </row>
    <row r="89" spans="2:57" s="64" customFormat="1" ht="39.950000000000003" hidden="1" customHeight="1" x14ac:dyDescent="0.25">
      <c r="B89" s="5">
        <v>121</v>
      </c>
      <c r="C89" s="27" t="s">
        <v>662</v>
      </c>
      <c r="D89" s="100" t="s">
        <v>4045</v>
      </c>
      <c r="E89" s="5" t="s">
        <v>33</v>
      </c>
      <c r="F89" s="7" t="s">
        <v>658</v>
      </c>
      <c r="G89" s="7" t="s">
        <v>663</v>
      </c>
      <c r="H89" s="7" t="s">
        <v>107</v>
      </c>
      <c r="I89" s="8">
        <v>368150</v>
      </c>
      <c r="J89" s="8"/>
      <c r="K89" s="8"/>
      <c r="L89" s="8">
        <f t="shared" si="31"/>
        <v>441780</v>
      </c>
      <c r="M89" s="8"/>
      <c r="N89" s="8"/>
      <c r="O89" s="15">
        <f t="shared" si="32"/>
        <v>0</v>
      </c>
      <c r="P89" s="15">
        <f t="shared" si="33"/>
        <v>0</v>
      </c>
      <c r="Q89" s="8"/>
      <c r="R89" s="159"/>
      <c r="S89" s="7" t="s">
        <v>73</v>
      </c>
      <c r="T89" s="7" t="s">
        <v>74</v>
      </c>
      <c r="U89" s="7" t="s">
        <v>660</v>
      </c>
      <c r="V89" s="7">
        <v>1</v>
      </c>
      <c r="W89" s="9" t="s">
        <v>661</v>
      </c>
      <c r="X89" s="10">
        <v>45308</v>
      </c>
      <c r="Y89" s="7" t="s">
        <v>41</v>
      </c>
      <c r="Z89" s="7"/>
      <c r="AA89" s="7"/>
      <c r="AB89" s="9">
        <v>327</v>
      </c>
      <c r="AC89" s="9">
        <v>187</v>
      </c>
      <c r="AD89" s="9"/>
      <c r="AE89" s="9"/>
      <c r="AF89" s="9">
        <v>193</v>
      </c>
      <c r="AG89" s="9"/>
      <c r="AH89" s="9"/>
      <c r="AI89" s="9"/>
      <c r="AJ89" s="9"/>
      <c r="AK89" s="9"/>
      <c r="AL89" s="9"/>
      <c r="AM89" s="9"/>
      <c r="AN89" s="9"/>
      <c r="AO89" s="9"/>
      <c r="AP89" s="9">
        <f t="shared" si="26"/>
        <v>3</v>
      </c>
      <c r="AQ89" s="62">
        <f t="shared" si="27"/>
        <v>235.66666666666666</v>
      </c>
      <c r="AR89" s="11" t="str">
        <f>IF(AQ89&gt;='Aprovados Recursos do Fundo'!$AQ$1,"APROVADO","REPROVADO")</f>
        <v>APROVADO</v>
      </c>
      <c r="AS89" s="65"/>
      <c r="AT89" s="65"/>
      <c r="AU89" s="151"/>
      <c r="AV89" s="65"/>
      <c r="AW89" s="65"/>
      <c r="AX89" s="65"/>
      <c r="AY89" s="65"/>
      <c r="AZ89" s="65"/>
      <c r="BA89" s="65"/>
      <c r="BB89" s="65"/>
      <c r="BC89" s="34"/>
      <c r="BD89" s="65"/>
    </row>
    <row r="90" spans="2:57" s="64" customFormat="1" ht="39.950000000000003" hidden="1" customHeight="1" x14ac:dyDescent="0.25">
      <c r="B90" s="5">
        <v>128</v>
      </c>
      <c r="C90" s="27" t="s">
        <v>696</v>
      </c>
      <c r="D90" s="101" t="s">
        <v>4046</v>
      </c>
      <c r="E90" s="5" t="s">
        <v>33</v>
      </c>
      <c r="F90" s="5" t="s">
        <v>692</v>
      </c>
      <c r="G90" s="7" t="s">
        <v>697</v>
      </c>
      <c r="H90" s="7" t="s">
        <v>36</v>
      </c>
      <c r="I90" s="8">
        <v>738607</v>
      </c>
      <c r="J90" s="8"/>
      <c r="K90" s="8"/>
      <c r="L90" s="8">
        <f t="shared" si="31"/>
        <v>886328.4</v>
      </c>
      <c r="M90" s="8"/>
      <c r="N90" s="8"/>
      <c r="O90" s="15">
        <f t="shared" si="32"/>
        <v>0</v>
      </c>
      <c r="P90" s="15">
        <f t="shared" si="33"/>
        <v>0</v>
      </c>
      <c r="Q90" s="8"/>
      <c r="R90" s="159"/>
      <c r="S90" s="7" t="s">
        <v>73</v>
      </c>
      <c r="T90" s="7" t="s">
        <v>74</v>
      </c>
      <c r="U90" s="7" t="s">
        <v>694</v>
      </c>
      <c r="V90" s="7"/>
      <c r="W90" s="9" t="s">
        <v>695</v>
      </c>
      <c r="X90" s="10">
        <v>45308</v>
      </c>
      <c r="Y90" s="7" t="s">
        <v>41</v>
      </c>
      <c r="Z90" s="7"/>
      <c r="AA90" s="7"/>
      <c r="AB90" s="9">
        <v>314</v>
      </c>
      <c r="AC90" s="9">
        <v>164</v>
      </c>
      <c r="AD90" s="9"/>
      <c r="AE90" s="9"/>
      <c r="AF90" s="9">
        <v>187</v>
      </c>
      <c r="AG90" s="9"/>
      <c r="AH90" s="9"/>
      <c r="AI90" s="9"/>
      <c r="AJ90" s="9"/>
      <c r="AK90" s="9"/>
      <c r="AL90" s="9"/>
      <c r="AM90" s="9"/>
      <c r="AN90" s="9"/>
      <c r="AO90" s="9"/>
      <c r="AP90" s="9">
        <f t="shared" si="26"/>
        <v>3</v>
      </c>
      <c r="AQ90" s="62">
        <f t="shared" si="27"/>
        <v>221.66666666666666</v>
      </c>
      <c r="AR90" s="11" t="str">
        <f>IF(AQ90&gt;='Aprovados Recursos do Fundo'!$AQ$1,"APROVADO","REPROVADO")</f>
        <v>APROVADO</v>
      </c>
      <c r="AS90" s="65"/>
      <c r="AT90" s="65"/>
      <c r="AU90" s="151"/>
      <c r="AV90" s="65"/>
      <c r="AW90" s="65"/>
      <c r="AX90" s="65"/>
      <c r="AY90" s="65"/>
      <c r="AZ90" s="65"/>
      <c r="BA90" s="65"/>
      <c r="BB90" s="65"/>
      <c r="BC90" s="34"/>
      <c r="BD90" s="65"/>
    </row>
    <row r="91" spans="2:57" s="64" customFormat="1" ht="39.950000000000003" hidden="1" customHeight="1" x14ac:dyDescent="0.25">
      <c r="B91" s="5">
        <v>130</v>
      </c>
      <c r="C91" s="27" t="s">
        <v>704</v>
      </c>
      <c r="D91" s="101" t="s">
        <v>4047</v>
      </c>
      <c r="E91" s="5" t="s">
        <v>33</v>
      </c>
      <c r="F91" s="5" t="s">
        <v>699</v>
      </c>
      <c r="G91" s="7" t="s">
        <v>705</v>
      </c>
      <c r="H91" s="7" t="s">
        <v>36</v>
      </c>
      <c r="I91" s="8">
        <v>91188.36</v>
      </c>
      <c r="J91" s="8"/>
      <c r="K91" s="8"/>
      <c r="L91" s="8">
        <f t="shared" si="31"/>
        <v>109426.03199999999</v>
      </c>
      <c r="M91" s="8"/>
      <c r="N91" s="8"/>
      <c r="O91" s="15">
        <f t="shared" si="32"/>
        <v>0</v>
      </c>
      <c r="P91" s="15">
        <f t="shared" si="33"/>
        <v>0</v>
      </c>
      <c r="Q91" s="8"/>
      <c r="R91" s="159"/>
      <c r="S91" s="7" t="s">
        <v>701</v>
      </c>
      <c r="T91" s="7" t="s">
        <v>95</v>
      </c>
      <c r="U91" s="7" t="s">
        <v>702</v>
      </c>
      <c r="V91" s="7"/>
      <c r="W91" s="9" t="s">
        <v>703</v>
      </c>
      <c r="X91" s="10">
        <v>45308</v>
      </c>
      <c r="Y91" s="7" t="s">
        <v>41</v>
      </c>
      <c r="Z91" s="7"/>
      <c r="AA91" s="7"/>
      <c r="AB91" s="9">
        <v>340</v>
      </c>
      <c r="AC91" s="9">
        <v>240</v>
      </c>
      <c r="AD91" s="9"/>
      <c r="AE91" s="9"/>
      <c r="AF91" s="9">
        <v>249</v>
      </c>
      <c r="AG91" s="9"/>
      <c r="AH91" s="9"/>
      <c r="AI91" s="9"/>
      <c r="AJ91" s="9"/>
      <c r="AK91" s="9"/>
      <c r="AL91" s="9"/>
      <c r="AM91" s="9"/>
      <c r="AN91" s="9"/>
      <c r="AO91" s="9"/>
      <c r="AP91" s="9">
        <f t="shared" si="26"/>
        <v>3</v>
      </c>
      <c r="AQ91" s="62">
        <f t="shared" si="27"/>
        <v>276.33333333333331</v>
      </c>
      <c r="AR91" s="11" t="str">
        <f>IF(AQ91&gt;='Aprovados Recursos do Fundo'!$AQ$1,"APROVADO","REPROVADO")</f>
        <v>APROVADO</v>
      </c>
      <c r="AS91" s="65"/>
      <c r="AT91" s="65"/>
      <c r="AU91" s="151"/>
      <c r="AV91" s="65"/>
      <c r="AW91" s="65"/>
      <c r="AX91" s="65"/>
      <c r="AY91" s="65"/>
      <c r="AZ91" s="65"/>
      <c r="BA91" s="65"/>
      <c r="BB91" s="65"/>
      <c r="BC91" s="34"/>
      <c r="BD91" s="65"/>
    </row>
    <row r="92" spans="2:57" s="64" customFormat="1" ht="39.950000000000003" hidden="1" customHeight="1" x14ac:dyDescent="0.25">
      <c r="B92" s="5">
        <v>131</v>
      </c>
      <c r="C92" s="27" t="s">
        <v>706</v>
      </c>
      <c r="D92" s="101" t="s">
        <v>4048</v>
      </c>
      <c r="E92" s="5" t="s">
        <v>33</v>
      </c>
      <c r="F92" s="5" t="s">
        <v>707</v>
      </c>
      <c r="G92" s="7" t="s">
        <v>708</v>
      </c>
      <c r="H92" s="7" t="s">
        <v>36</v>
      </c>
      <c r="I92" s="8">
        <v>711386.16</v>
      </c>
      <c r="J92" s="8"/>
      <c r="K92" s="8"/>
      <c r="L92" s="8">
        <f t="shared" si="31"/>
        <v>853663.39199999999</v>
      </c>
      <c r="M92" s="8"/>
      <c r="N92" s="8"/>
      <c r="O92" s="15">
        <f t="shared" si="32"/>
        <v>0</v>
      </c>
      <c r="P92" s="15">
        <f t="shared" si="33"/>
        <v>0</v>
      </c>
      <c r="Q92" s="8"/>
      <c r="R92" s="159"/>
      <c r="S92" s="7" t="s">
        <v>701</v>
      </c>
      <c r="T92" s="7" t="s">
        <v>95</v>
      </c>
      <c r="U92" s="7" t="s">
        <v>709</v>
      </c>
      <c r="V92" s="7"/>
      <c r="W92" s="9" t="s">
        <v>710</v>
      </c>
      <c r="X92" s="10">
        <v>45308</v>
      </c>
      <c r="Y92" s="7" t="s">
        <v>41</v>
      </c>
      <c r="Z92" s="7"/>
      <c r="AA92" s="7"/>
      <c r="AB92" s="9">
        <v>316</v>
      </c>
      <c r="AC92" s="9">
        <v>227</v>
      </c>
      <c r="AD92" s="9"/>
      <c r="AE92" s="9"/>
      <c r="AF92" s="9">
        <v>232</v>
      </c>
      <c r="AG92" s="9"/>
      <c r="AH92" s="9"/>
      <c r="AI92" s="9"/>
      <c r="AJ92" s="9"/>
      <c r="AK92" s="9"/>
      <c r="AL92" s="9"/>
      <c r="AM92" s="9"/>
      <c r="AN92" s="9"/>
      <c r="AO92" s="9"/>
      <c r="AP92" s="9">
        <f t="shared" si="26"/>
        <v>3</v>
      </c>
      <c r="AQ92" s="62">
        <f t="shared" si="27"/>
        <v>258.33333333333331</v>
      </c>
      <c r="AR92" s="11" t="str">
        <f>IF(AQ92&gt;='Aprovados Recursos do Fundo'!$AQ$1,"APROVADO","REPROVADO")</f>
        <v>APROVADO</v>
      </c>
      <c r="AS92" s="65"/>
      <c r="AT92" s="65"/>
      <c r="AU92" s="151"/>
      <c r="AV92" s="65"/>
      <c r="AW92" s="65"/>
      <c r="AX92" s="65"/>
      <c r="AY92" s="65"/>
      <c r="AZ92" s="65"/>
      <c r="BA92" s="65"/>
      <c r="BB92" s="65"/>
      <c r="BC92" s="34"/>
      <c r="BD92" s="65"/>
    </row>
    <row r="93" spans="2:57" s="64" customFormat="1" ht="39.950000000000003" hidden="1" customHeight="1" x14ac:dyDescent="0.25">
      <c r="B93" s="5">
        <v>132</v>
      </c>
      <c r="C93" s="22" t="s">
        <v>711</v>
      </c>
      <c r="D93" s="99"/>
      <c r="E93" s="5" t="s">
        <v>51</v>
      </c>
      <c r="F93" s="59" t="s">
        <v>712</v>
      </c>
      <c r="G93" s="9" t="s">
        <v>713</v>
      </c>
      <c r="H93" s="11" t="s">
        <v>107</v>
      </c>
      <c r="I93" s="41">
        <v>174295.5</v>
      </c>
      <c r="J93" s="41"/>
      <c r="K93" s="41"/>
      <c r="L93" s="8">
        <v>209154.6</v>
      </c>
      <c r="M93" s="41"/>
      <c r="N93" s="41"/>
      <c r="O93" s="41"/>
      <c r="P93" s="41"/>
      <c r="Q93" s="41"/>
      <c r="R93" s="159"/>
      <c r="S93" s="9" t="s">
        <v>701</v>
      </c>
      <c r="T93" s="11" t="s">
        <v>95</v>
      </c>
      <c r="U93" s="9" t="s">
        <v>714</v>
      </c>
      <c r="V93" s="9"/>
      <c r="W93" s="9" t="s">
        <v>715</v>
      </c>
      <c r="X93" s="34">
        <v>45308</v>
      </c>
      <c r="Y93" s="9" t="s">
        <v>41</v>
      </c>
      <c r="Z93" s="11"/>
      <c r="AA93" s="9"/>
      <c r="AB93" s="9">
        <v>339</v>
      </c>
      <c r="AC93" s="9">
        <v>271</v>
      </c>
      <c r="AD93" s="9"/>
      <c r="AE93" s="9"/>
      <c r="AF93" s="9">
        <v>261</v>
      </c>
      <c r="AG93" s="9"/>
      <c r="AH93" s="9"/>
      <c r="AI93" s="9"/>
      <c r="AJ93" s="9"/>
      <c r="AK93" s="9"/>
      <c r="AL93" s="9"/>
      <c r="AM93" s="9"/>
      <c r="AN93" s="9"/>
      <c r="AO93" s="9"/>
      <c r="AP93" s="9">
        <f t="shared" si="26"/>
        <v>3</v>
      </c>
      <c r="AQ93" s="62">
        <f t="shared" si="27"/>
        <v>290.33333333333331</v>
      </c>
      <c r="AR93" s="11" t="str">
        <f>IF(AQ93&gt;=$AR$1,"APROVADO","REPROVADO")</f>
        <v>APROVADO</v>
      </c>
      <c r="AS93" s="65"/>
      <c r="AT93" s="65"/>
      <c r="AU93" s="151"/>
      <c r="AV93" s="65"/>
      <c r="AW93" s="65"/>
      <c r="AX93" s="65"/>
      <c r="AY93" s="65"/>
      <c r="AZ93" s="65"/>
      <c r="BA93" s="65"/>
      <c r="BB93" s="65"/>
      <c r="BC93" s="34"/>
      <c r="BD93" s="65"/>
    </row>
    <row r="94" spans="2:57" s="64" customFormat="1" ht="39.950000000000003" hidden="1" customHeight="1" x14ac:dyDescent="0.25">
      <c r="B94" s="5">
        <v>133</v>
      </c>
      <c r="C94" s="22" t="s">
        <v>716</v>
      </c>
      <c r="D94" s="99"/>
      <c r="E94" s="5" t="s">
        <v>51</v>
      </c>
      <c r="F94" s="59" t="s">
        <v>712</v>
      </c>
      <c r="G94" s="9" t="s">
        <v>717</v>
      </c>
      <c r="H94" s="11" t="s">
        <v>72</v>
      </c>
      <c r="I94" s="41">
        <v>324000</v>
      </c>
      <c r="J94" s="41"/>
      <c r="K94" s="41"/>
      <c r="L94" s="8">
        <v>388800</v>
      </c>
      <c r="M94" s="41"/>
      <c r="N94" s="41"/>
      <c r="O94" s="41"/>
      <c r="P94" s="41"/>
      <c r="Q94" s="41"/>
      <c r="R94" s="159"/>
      <c r="S94" s="9" t="s">
        <v>701</v>
      </c>
      <c r="T94" s="11" t="s">
        <v>95</v>
      </c>
      <c r="U94" s="9" t="s">
        <v>718</v>
      </c>
      <c r="V94" s="9"/>
      <c r="W94" s="9" t="s">
        <v>719</v>
      </c>
      <c r="X94" s="34">
        <v>45308</v>
      </c>
      <c r="Y94" s="9" t="s">
        <v>41</v>
      </c>
      <c r="Z94" s="9"/>
      <c r="AA94" s="9"/>
      <c r="AB94" s="9">
        <v>285</v>
      </c>
      <c r="AC94" s="9">
        <v>268</v>
      </c>
      <c r="AD94" s="9"/>
      <c r="AE94" s="9"/>
      <c r="AF94" s="9">
        <v>260</v>
      </c>
      <c r="AG94" s="9"/>
      <c r="AH94" s="9"/>
      <c r="AI94" s="9"/>
      <c r="AJ94" s="9"/>
      <c r="AK94" s="9"/>
      <c r="AL94" s="9"/>
      <c r="AM94" s="9"/>
      <c r="AN94" s="9"/>
      <c r="AO94" s="9"/>
      <c r="AP94" s="9">
        <f t="shared" si="26"/>
        <v>3</v>
      </c>
      <c r="AQ94" s="62">
        <f t="shared" si="27"/>
        <v>271</v>
      </c>
      <c r="AR94" s="11" t="str">
        <f>IF(AQ94&gt;=$AR$1,"APROVADO","REPROVADO")</f>
        <v>APROVADO</v>
      </c>
      <c r="AS94" s="65"/>
      <c r="AT94" s="65"/>
      <c r="AU94" s="151"/>
      <c r="AV94" s="65"/>
      <c r="AW94" s="65"/>
      <c r="AX94" s="65"/>
      <c r="AY94" s="65"/>
      <c r="AZ94" s="65"/>
      <c r="BA94" s="65"/>
      <c r="BB94" s="65"/>
      <c r="BC94" s="34"/>
      <c r="BD94" s="65"/>
    </row>
    <row r="95" spans="2:57" s="64" customFormat="1" ht="39.950000000000003" hidden="1" customHeight="1" x14ac:dyDescent="0.25">
      <c r="B95" s="5">
        <v>134</v>
      </c>
      <c r="C95" s="22" t="s">
        <v>720</v>
      </c>
      <c r="D95" s="99"/>
      <c r="E95" s="5" t="s">
        <v>51</v>
      </c>
      <c r="F95" s="9" t="s">
        <v>712</v>
      </c>
      <c r="G95" s="11" t="s">
        <v>721</v>
      </c>
      <c r="H95" s="11" t="s">
        <v>62</v>
      </c>
      <c r="I95" s="41">
        <v>600000</v>
      </c>
      <c r="J95" s="41"/>
      <c r="K95" s="41"/>
      <c r="L95" s="8">
        <v>720000</v>
      </c>
      <c r="M95" s="41"/>
      <c r="N95" s="41"/>
      <c r="O95" s="41"/>
      <c r="P95" s="41"/>
      <c r="Q95" s="41"/>
      <c r="R95" s="159"/>
      <c r="S95" s="9" t="s">
        <v>701</v>
      </c>
      <c r="T95" s="11" t="s">
        <v>95</v>
      </c>
      <c r="U95" s="9" t="s">
        <v>722</v>
      </c>
      <c r="V95" s="9"/>
      <c r="W95" s="9" t="s">
        <v>723</v>
      </c>
      <c r="X95" s="34">
        <v>45308</v>
      </c>
      <c r="Y95" s="9" t="s">
        <v>57</v>
      </c>
      <c r="Z95" s="11" t="s">
        <v>724</v>
      </c>
      <c r="AA95" s="9"/>
      <c r="AB95" s="9">
        <v>305</v>
      </c>
      <c r="AC95" s="9">
        <v>249</v>
      </c>
      <c r="AD95" s="9"/>
      <c r="AE95" s="9"/>
      <c r="AF95" s="9"/>
      <c r="AG95" s="9"/>
      <c r="AH95" s="9"/>
      <c r="AI95" s="9"/>
      <c r="AJ95" s="9">
        <v>340</v>
      </c>
      <c r="AK95" s="9"/>
      <c r="AL95" s="9"/>
      <c r="AM95" s="9"/>
      <c r="AN95" s="9"/>
      <c r="AO95" s="9"/>
      <c r="AP95" s="9">
        <f t="shared" si="26"/>
        <v>3</v>
      </c>
      <c r="AQ95" s="62">
        <f t="shared" si="27"/>
        <v>298</v>
      </c>
      <c r="AR95" s="11" t="str">
        <f>IF(AQ95&gt;='Aprovados Recursos do Fundo'!$AQ$1,"APROVADO","REPROVADO")</f>
        <v>APROVADO</v>
      </c>
      <c r="AS95" s="65"/>
      <c r="AT95" s="65"/>
      <c r="AU95" s="151"/>
      <c r="AV95" s="65"/>
      <c r="AW95" s="65"/>
      <c r="AX95" s="65"/>
      <c r="AY95" s="65"/>
      <c r="AZ95" s="65"/>
      <c r="BA95" s="65"/>
      <c r="BB95" s="65"/>
      <c r="BC95" s="34"/>
      <c r="BD95" s="65"/>
    </row>
    <row r="96" spans="2:57" s="64" customFormat="1" ht="39.950000000000003" hidden="1" customHeight="1" x14ac:dyDescent="0.25">
      <c r="B96" s="5">
        <v>136</v>
      </c>
      <c r="C96" s="6" t="s">
        <v>731</v>
      </c>
      <c r="D96" s="99"/>
      <c r="E96" s="5" t="s">
        <v>51</v>
      </c>
      <c r="F96" s="58" t="s">
        <v>726</v>
      </c>
      <c r="G96" s="7" t="s">
        <v>732</v>
      </c>
      <c r="H96" s="7" t="s">
        <v>107</v>
      </c>
      <c r="I96" s="41">
        <v>3287929.33</v>
      </c>
      <c r="J96" s="41"/>
      <c r="K96" s="41"/>
      <c r="L96" s="8">
        <v>3945515.196</v>
      </c>
      <c r="M96" s="41"/>
      <c r="N96" s="41"/>
      <c r="O96" s="41"/>
      <c r="P96" s="41"/>
      <c r="Q96" s="41"/>
      <c r="R96" s="159"/>
      <c r="S96" s="9" t="s">
        <v>728</v>
      </c>
      <c r="T96" s="11" t="s">
        <v>123</v>
      </c>
      <c r="U96" s="7" t="s">
        <v>729</v>
      </c>
      <c r="V96" s="7"/>
      <c r="W96" s="7" t="s">
        <v>730</v>
      </c>
      <c r="X96" s="34">
        <v>45308</v>
      </c>
      <c r="Y96" s="7" t="s">
        <v>57</v>
      </c>
      <c r="Z96" s="7" t="s">
        <v>518</v>
      </c>
      <c r="AA96" s="9"/>
      <c r="AB96" s="9">
        <v>285</v>
      </c>
      <c r="AC96" s="9"/>
      <c r="AD96" s="9"/>
      <c r="AE96" s="9"/>
      <c r="AF96" s="9"/>
      <c r="AG96" s="9">
        <v>305</v>
      </c>
      <c r="AH96" s="9">
        <v>295</v>
      </c>
      <c r="AI96" s="9"/>
      <c r="AJ96" s="9"/>
      <c r="AK96" s="9"/>
      <c r="AL96" s="9"/>
      <c r="AM96" s="9"/>
      <c r="AN96" s="9"/>
      <c r="AO96" s="9"/>
      <c r="AP96" s="9">
        <f t="shared" si="26"/>
        <v>3</v>
      </c>
      <c r="AQ96" s="62">
        <f t="shared" si="27"/>
        <v>295</v>
      </c>
      <c r="AR96" s="11" t="str">
        <f>IF(AQ96&gt;=$AR$1,"APROVADO","REPROVADO")</f>
        <v>APROVADO</v>
      </c>
      <c r="AS96" s="65"/>
      <c r="AT96" s="65"/>
      <c r="AU96" s="151"/>
      <c r="AV96" s="65"/>
      <c r="AW96" s="65"/>
      <c r="AX96" s="65"/>
      <c r="AY96" s="65"/>
      <c r="AZ96" s="65"/>
      <c r="BA96" s="65"/>
      <c r="BB96" s="65"/>
      <c r="BC96" s="34"/>
      <c r="BD96" s="65"/>
    </row>
    <row r="97" spans="2:57" s="64" customFormat="1" ht="39.950000000000003" hidden="1" customHeight="1" x14ac:dyDescent="0.25">
      <c r="B97" s="5">
        <v>137</v>
      </c>
      <c r="C97" s="6" t="s">
        <v>733</v>
      </c>
      <c r="D97" s="99"/>
      <c r="E97" s="5" t="s">
        <v>51</v>
      </c>
      <c r="F97" s="58" t="s">
        <v>726</v>
      </c>
      <c r="G97" s="7" t="s">
        <v>734</v>
      </c>
      <c r="H97" s="7" t="s">
        <v>107</v>
      </c>
      <c r="I97" s="41">
        <v>348245</v>
      </c>
      <c r="J97" s="41"/>
      <c r="K97" s="41"/>
      <c r="L97" s="8">
        <v>417894</v>
      </c>
      <c r="M97" s="41"/>
      <c r="N97" s="41"/>
      <c r="O97" s="41"/>
      <c r="P97" s="41"/>
      <c r="Q97" s="41"/>
      <c r="R97" s="159"/>
      <c r="S97" s="9" t="s">
        <v>728</v>
      </c>
      <c r="T97" s="11" t="s">
        <v>123</v>
      </c>
      <c r="U97" s="7" t="s">
        <v>729</v>
      </c>
      <c r="V97" s="7"/>
      <c r="W97" s="7" t="s">
        <v>730</v>
      </c>
      <c r="X97" s="34">
        <v>45308</v>
      </c>
      <c r="Y97" s="9" t="s">
        <v>57</v>
      </c>
      <c r="Z97" s="11" t="s">
        <v>735</v>
      </c>
      <c r="AA97" s="9"/>
      <c r="AB97" s="9">
        <v>308</v>
      </c>
      <c r="AC97" s="9"/>
      <c r="AD97" s="9"/>
      <c r="AE97" s="9"/>
      <c r="AF97" s="9"/>
      <c r="AG97" s="9"/>
      <c r="AH97" s="9"/>
      <c r="AI97" s="9"/>
      <c r="AJ97" s="9"/>
      <c r="AK97" s="9">
        <v>303</v>
      </c>
      <c r="AL97" s="9"/>
      <c r="AM97" s="9"/>
      <c r="AN97" s="9">
        <v>336</v>
      </c>
      <c r="AO97" s="9"/>
      <c r="AP97" s="9">
        <f t="shared" si="26"/>
        <v>3</v>
      </c>
      <c r="AQ97" s="62">
        <f t="shared" si="27"/>
        <v>315.66666666666669</v>
      </c>
      <c r="AR97" s="11" t="str">
        <f>IF(AQ97&gt;=$AR$1,"APROVADO","REPROVADO")</f>
        <v>APROVADO</v>
      </c>
      <c r="AS97" s="65"/>
      <c r="AT97" s="65"/>
      <c r="AU97" s="151"/>
      <c r="AV97" s="65"/>
      <c r="AW97" s="65"/>
      <c r="AX97" s="65"/>
      <c r="AY97" s="65"/>
      <c r="AZ97" s="65"/>
      <c r="BA97" s="65"/>
      <c r="BB97" s="65"/>
      <c r="BC97" s="34"/>
      <c r="BD97" s="65"/>
    </row>
    <row r="98" spans="2:57" s="64" customFormat="1" ht="39.950000000000003" hidden="1" customHeight="1" x14ac:dyDescent="0.25">
      <c r="B98" s="5">
        <v>139</v>
      </c>
      <c r="C98" s="6" t="s">
        <v>741</v>
      </c>
      <c r="D98" s="101" t="s">
        <v>4049</v>
      </c>
      <c r="E98" s="5" t="s">
        <v>33</v>
      </c>
      <c r="F98" s="5" t="s">
        <v>742</v>
      </c>
      <c r="G98" s="5" t="s">
        <v>743</v>
      </c>
      <c r="H98" s="7" t="s">
        <v>107</v>
      </c>
      <c r="I98" s="8">
        <v>195000</v>
      </c>
      <c r="J98" s="8"/>
      <c r="K98" s="8"/>
      <c r="L98" s="8">
        <f t="shared" ref="L98:L99" si="38">I98*1.2</f>
        <v>234000</v>
      </c>
      <c r="M98" s="8"/>
      <c r="N98" s="8"/>
      <c r="O98" s="15">
        <f t="shared" ref="O98:O99" si="39">M98*0.83333332117758</f>
        <v>0</v>
      </c>
      <c r="P98" s="15">
        <f t="shared" ref="P98:P99" si="40">M98*0.16666667882242</f>
        <v>0</v>
      </c>
      <c r="Q98" s="8"/>
      <c r="R98" s="159"/>
      <c r="S98" s="7" t="s">
        <v>73</v>
      </c>
      <c r="T98" s="7" t="s">
        <v>74</v>
      </c>
      <c r="U98" s="7" t="s">
        <v>744</v>
      </c>
      <c r="V98" s="7"/>
      <c r="W98" s="9" t="s">
        <v>745</v>
      </c>
      <c r="X98" s="10">
        <v>45308</v>
      </c>
      <c r="Y98" s="5" t="s">
        <v>67</v>
      </c>
      <c r="Z98" s="7" t="s">
        <v>746</v>
      </c>
      <c r="AA98" s="7"/>
      <c r="AB98" s="9">
        <v>223</v>
      </c>
      <c r="AC98" s="9">
        <v>242</v>
      </c>
      <c r="AD98" s="9">
        <v>170</v>
      </c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>
        <f t="shared" si="26"/>
        <v>3</v>
      </c>
      <c r="AQ98" s="62">
        <f t="shared" si="27"/>
        <v>211.66666666666666</v>
      </c>
      <c r="AR98" s="11" t="str">
        <f>IF(AQ98&gt;='Aprovados Recursos do Fundo'!$AQ$1,"APROVADO","REPROVADO")</f>
        <v>APROVADO</v>
      </c>
      <c r="AS98" s="65"/>
      <c r="AT98" s="65"/>
      <c r="AU98" s="151"/>
      <c r="AV98" s="65"/>
      <c r="AW98" s="65"/>
      <c r="AX98" s="65"/>
      <c r="AY98" s="65"/>
      <c r="AZ98" s="65"/>
      <c r="BA98" s="65"/>
      <c r="BB98" s="65"/>
      <c r="BC98" s="34"/>
      <c r="BD98" s="65"/>
    </row>
    <row r="99" spans="2:57" s="64" customFormat="1" ht="39.950000000000003" hidden="1" customHeight="1" x14ac:dyDescent="0.25">
      <c r="B99" s="5">
        <v>140</v>
      </c>
      <c r="C99" s="6" t="s">
        <v>747</v>
      </c>
      <c r="D99" s="101" t="s">
        <v>4050</v>
      </c>
      <c r="E99" s="5" t="s">
        <v>33</v>
      </c>
      <c r="F99" s="5" t="s">
        <v>748</v>
      </c>
      <c r="G99" s="7" t="s">
        <v>749</v>
      </c>
      <c r="H99" s="7" t="s">
        <v>36</v>
      </c>
      <c r="I99" s="8">
        <v>181500</v>
      </c>
      <c r="J99" s="8"/>
      <c r="K99" s="8"/>
      <c r="L99" s="8">
        <f t="shared" si="38"/>
        <v>217800</v>
      </c>
      <c r="M99" s="8"/>
      <c r="N99" s="8"/>
      <c r="O99" s="15">
        <f t="shared" si="39"/>
        <v>0</v>
      </c>
      <c r="P99" s="15">
        <f t="shared" si="40"/>
        <v>0</v>
      </c>
      <c r="Q99" s="8"/>
      <c r="R99" s="159"/>
      <c r="S99" s="7" t="s">
        <v>750</v>
      </c>
      <c r="T99" s="7" t="s">
        <v>223</v>
      </c>
      <c r="U99" s="7" t="s">
        <v>751</v>
      </c>
      <c r="V99" s="7"/>
      <c r="W99" s="9" t="s">
        <v>752</v>
      </c>
      <c r="X99" s="10">
        <v>45308</v>
      </c>
      <c r="Y99" s="7" t="s">
        <v>67</v>
      </c>
      <c r="Z99" s="7" t="s">
        <v>98</v>
      </c>
      <c r="AA99" s="7"/>
      <c r="AB99" s="9"/>
      <c r="AC99" s="9">
        <v>224</v>
      </c>
      <c r="AD99" s="9"/>
      <c r="AE99" s="9"/>
      <c r="AF99" s="9"/>
      <c r="AG99" s="9"/>
      <c r="AH99" s="9"/>
      <c r="AI99" s="9">
        <v>310</v>
      </c>
      <c r="AJ99" s="9">
        <v>334</v>
      </c>
      <c r="AK99" s="9"/>
      <c r="AL99" s="9"/>
      <c r="AM99" s="9"/>
      <c r="AN99" s="9"/>
      <c r="AO99" s="9"/>
      <c r="AP99" s="9">
        <f t="shared" si="26"/>
        <v>3</v>
      </c>
      <c r="AQ99" s="62">
        <f t="shared" si="27"/>
        <v>289.33333333333331</v>
      </c>
      <c r="AR99" s="11" t="str">
        <f>IF(AQ99&gt;='Aprovados Recursos do Fundo'!$AQ$1,"APROVADO","REPROVADO")</f>
        <v>APROVADO</v>
      </c>
      <c r="AS99" s="65"/>
      <c r="AT99" s="65"/>
      <c r="AU99" s="151"/>
      <c r="AV99" s="65"/>
      <c r="AW99" s="65"/>
      <c r="AX99" s="65"/>
      <c r="AY99" s="65"/>
      <c r="AZ99" s="65"/>
      <c r="BA99" s="65"/>
      <c r="BB99" s="65"/>
      <c r="BC99" s="34"/>
      <c r="BD99" s="65"/>
    </row>
    <row r="100" spans="2:57" s="64" customFormat="1" ht="39.950000000000003" hidden="1" customHeight="1" x14ac:dyDescent="0.25">
      <c r="B100" s="5">
        <v>141</v>
      </c>
      <c r="C100" s="22" t="s">
        <v>753</v>
      </c>
      <c r="D100" s="9"/>
      <c r="E100" s="5" t="s">
        <v>51</v>
      </c>
      <c r="F100" s="9" t="s">
        <v>754</v>
      </c>
      <c r="G100" s="11" t="s">
        <v>755</v>
      </c>
      <c r="H100" s="11" t="s">
        <v>36</v>
      </c>
      <c r="I100" s="41">
        <v>50000</v>
      </c>
      <c r="J100" s="41"/>
      <c r="K100" s="41"/>
      <c r="L100" s="8">
        <v>60000</v>
      </c>
      <c r="M100" s="41"/>
      <c r="N100" s="41"/>
      <c r="O100" s="41"/>
      <c r="P100" s="41"/>
      <c r="Q100" s="41"/>
      <c r="R100" s="159"/>
      <c r="S100" s="9" t="s">
        <v>756</v>
      </c>
      <c r="T100" s="11" t="s">
        <v>47</v>
      </c>
      <c r="U100" s="9" t="s">
        <v>757</v>
      </c>
      <c r="V100" s="9"/>
      <c r="W100" s="9" t="s">
        <v>719</v>
      </c>
      <c r="X100" s="34">
        <v>45308</v>
      </c>
      <c r="Y100" s="9" t="s">
        <v>41</v>
      </c>
      <c r="Z100" s="11"/>
      <c r="AA100" s="9"/>
      <c r="AB100" s="9">
        <v>323</v>
      </c>
      <c r="AC100" s="9">
        <v>248</v>
      </c>
      <c r="AD100" s="9"/>
      <c r="AE100" s="9"/>
      <c r="AF100" s="9">
        <v>239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>
        <f t="shared" si="26"/>
        <v>3</v>
      </c>
      <c r="AQ100" s="62">
        <f t="shared" si="27"/>
        <v>270</v>
      </c>
      <c r="AR100" s="11" t="str">
        <f>IF(AQ100&gt;='Aprovados Recursos do Fundo'!$AQ$1,"APROVADO","REPROVADO")</f>
        <v>APROVADO</v>
      </c>
      <c r="AS100" s="65"/>
      <c r="AT100" s="65"/>
      <c r="AU100" s="151"/>
      <c r="AV100" s="65"/>
      <c r="AW100" s="65"/>
      <c r="AX100" s="65"/>
      <c r="AY100" s="65"/>
      <c r="AZ100" s="65"/>
      <c r="BA100" s="65"/>
      <c r="BB100" s="65"/>
      <c r="BC100" s="34"/>
      <c r="BD100" s="65"/>
    </row>
    <row r="101" spans="2:57" s="64" customFormat="1" ht="39.950000000000003" hidden="1" customHeight="1" x14ac:dyDescent="0.25">
      <c r="B101" s="5">
        <v>143</v>
      </c>
      <c r="C101" s="27" t="s">
        <v>763</v>
      </c>
      <c r="D101" s="104" t="s">
        <v>4051</v>
      </c>
      <c r="E101" s="5" t="s">
        <v>33</v>
      </c>
      <c r="F101" s="5" t="s">
        <v>764</v>
      </c>
      <c r="G101" s="7" t="s">
        <v>765</v>
      </c>
      <c r="H101" s="7" t="s">
        <v>107</v>
      </c>
      <c r="I101" s="8">
        <v>290550.48</v>
      </c>
      <c r="J101" s="8"/>
      <c r="K101" s="8"/>
      <c r="L101" s="8">
        <f>I101*1.2</f>
        <v>348660.57599999994</v>
      </c>
      <c r="M101" s="8"/>
      <c r="N101" s="8"/>
      <c r="O101" s="15">
        <f>M101*0.83333332117758</f>
        <v>0</v>
      </c>
      <c r="P101" s="15">
        <f>M101*0.16666667882242</f>
        <v>0</v>
      </c>
      <c r="Q101" s="8"/>
      <c r="R101" s="159"/>
      <c r="S101" s="7" t="s">
        <v>73</v>
      </c>
      <c r="T101" s="7" t="s">
        <v>74</v>
      </c>
      <c r="U101" s="7" t="s">
        <v>766</v>
      </c>
      <c r="V101" s="7"/>
      <c r="W101" s="9" t="s">
        <v>767</v>
      </c>
      <c r="X101" s="10">
        <v>45308</v>
      </c>
      <c r="Y101" s="7" t="s">
        <v>41</v>
      </c>
      <c r="Z101" s="7"/>
      <c r="AA101" s="7"/>
      <c r="AB101" s="9">
        <v>324</v>
      </c>
      <c r="AC101" s="9">
        <v>179</v>
      </c>
      <c r="AD101" s="9"/>
      <c r="AE101" s="9"/>
      <c r="AF101" s="9">
        <v>177</v>
      </c>
      <c r="AG101" s="9"/>
      <c r="AH101" s="9"/>
      <c r="AI101" s="9"/>
      <c r="AJ101" s="9"/>
      <c r="AK101" s="9"/>
      <c r="AL101" s="9"/>
      <c r="AM101" s="9"/>
      <c r="AN101" s="9"/>
      <c r="AO101" s="9"/>
      <c r="AP101" s="9">
        <f t="shared" si="26"/>
        <v>3</v>
      </c>
      <c r="AQ101" s="62">
        <f t="shared" si="27"/>
        <v>226.66666666666666</v>
      </c>
      <c r="AR101" s="11" t="str">
        <f>IF(AQ101&gt;='Aprovados Recursos do Fundo'!$AQ$1,"APROVADO","REPROVADO")</f>
        <v>APROVADO</v>
      </c>
      <c r="AS101" s="65"/>
      <c r="AT101" s="65"/>
      <c r="AU101" s="151"/>
      <c r="AV101" s="65"/>
      <c r="AW101" s="65"/>
      <c r="AX101" s="65"/>
      <c r="AY101" s="65"/>
      <c r="AZ101" s="65"/>
      <c r="BA101" s="65"/>
      <c r="BB101" s="65"/>
      <c r="BC101" s="34"/>
      <c r="BD101" s="65"/>
    </row>
    <row r="102" spans="2:57" s="64" customFormat="1" ht="39.950000000000003" hidden="1" customHeight="1" x14ac:dyDescent="0.25">
      <c r="B102" s="5">
        <v>145</v>
      </c>
      <c r="C102" s="22" t="s">
        <v>774</v>
      </c>
      <c r="D102" s="9"/>
      <c r="E102" s="5" t="s">
        <v>51</v>
      </c>
      <c r="F102" s="9" t="s">
        <v>769</v>
      </c>
      <c r="G102" s="9" t="s">
        <v>775</v>
      </c>
      <c r="H102" s="11" t="s">
        <v>776</v>
      </c>
      <c r="I102" s="38">
        <v>212700.49</v>
      </c>
      <c r="J102" s="38"/>
      <c r="K102" s="38"/>
      <c r="L102" s="8">
        <v>255240.58799999999</v>
      </c>
      <c r="M102" s="38"/>
      <c r="N102" s="38"/>
      <c r="O102" s="38"/>
      <c r="P102" s="38"/>
      <c r="Q102" s="38"/>
      <c r="R102" s="159"/>
      <c r="S102" s="9" t="s">
        <v>771</v>
      </c>
      <c r="T102" s="11" t="s">
        <v>202</v>
      </c>
      <c r="U102" s="9" t="s">
        <v>772</v>
      </c>
      <c r="V102" s="9"/>
      <c r="W102" s="9" t="s">
        <v>777</v>
      </c>
      <c r="X102" s="34">
        <v>45308</v>
      </c>
      <c r="Y102" s="9" t="s">
        <v>41</v>
      </c>
      <c r="Z102" s="11"/>
      <c r="AA102" s="9" t="s">
        <v>778</v>
      </c>
      <c r="AB102" s="9">
        <v>253</v>
      </c>
      <c r="AC102" s="9">
        <v>268</v>
      </c>
      <c r="AD102" s="9"/>
      <c r="AE102" s="9"/>
      <c r="AF102" s="9">
        <v>177</v>
      </c>
      <c r="AG102" s="9"/>
      <c r="AH102" s="9"/>
      <c r="AI102" s="9"/>
      <c r="AJ102" s="9"/>
      <c r="AK102" s="9"/>
      <c r="AL102" s="9"/>
      <c r="AM102" s="9"/>
      <c r="AN102" s="9"/>
      <c r="AO102" s="9"/>
      <c r="AP102" s="9">
        <f t="shared" si="26"/>
        <v>3</v>
      </c>
      <c r="AQ102" s="62">
        <f t="shared" si="27"/>
        <v>232.66666666666666</v>
      </c>
      <c r="AR102" s="11" t="str">
        <f>IF(AQ102&gt;='Aprovados Recursos do Fundo'!$AQ$1,"APROVADO","REPROVADO")</f>
        <v>APROVADO</v>
      </c>
      <c r="AS102" s="65"/>
      <c r="AT102" s="65"/>
      <c r="AU102" s="151"/>
      <c r="AV102" s="65"/>
      <c r="AW102" s="65"/>
      <c r="AX102" s="65"/>
      <c r="AY102" s="65"/>
      <c r="AZ102" s="65"/>
      <c r="BA102" s="65"/>
      <c r="BB102" s="65"/>
      <c r="BC102" s="34"/>
      <c r="BD102" s="65"/>
    </row>
    <row r="103" spans="2:57" s="64" customFormat="1" ht="39.950000000000003" hidden="1" customHeight="1" x14ac:dyDescent="0.25">
      <c r="B103" s="5">
        <v>146</v>
      </c>
      <c r="C103" s="6" t="s">
        <v>779</v>
      </c>
      <c r="D103" s="99" t="s">
        <v>4052</v>
      </c>
      <c r="E103" s="5" t="s">
        <v>33</v>
      </c>
      <c r="F103" s="5" t="s">
        <v>780</v>
      </c>
      <c r="G103" s="7" t="s">
        <v>781</v>
      </c>
      <c r="H103" s="7" t="s">
        <v>107</v>
      </c>
      <c r="I103" s="8">
        <v>0</v>
      </c>
      <c r="J103" s="8"/>
      <c r="K103" s="8"/>
      <c r="L103" s="8">
        <f t="shared" ref="L103:L107" si="41">I103*1.2</f>
        <v>0</v>
      </c>
      <c r="M103" s="8"/>
      <c r="N103" s="8"/>
      <c r="O103" s="15">
        <f t="shared" ref="O103:O107" si="42">M103*0.83333332117758</f>
        <v>0</v>
      </c>
      <c r="P103" s="15">
        <f t="shared" ref="P103:P107" si="43">M103*0.16666667882242</f>
        <v>0</v>
      </c>
      <c r="Q103" s="8"/>
      <c r="R103" s="159"/>
      <c r="S103" s="7" t="s">
        <v>73</v>
      </c>
      <c r="T103" s="7" t="s">
        <v>74</v>
      </c>
      <c r="U103" s="7" t="s">
        <v>782</v>
      </c>
      <c r="V103" s="7"/>
      <c r="W103" s="9" t="s">
        <v>783</v>
      </c>
      <c r="X103" s="10">
        <v>45308</v>
      </c>
      <c r="Y103" s="7" t="s">
        <v>67</v>
      </c>
      <c r="Z103" s="7" t="s">
        <v>375</v>
      </c>
      <c r="AA103" s="7" t="s">
        <v>784</v>
      </c>
      <c r="AB103" s="9">
        <v>269</v>
      </c>
      <c r="AC103" s="9">
        <v>86</v>
      </c>
      <c r="AD103" s="9"/>
      <c r="AE103" s="9"/>
      <c r="AF103" s="9"/>
      <c r="AG103" s="9"/>
      <c r="AH103" s="9"/>
      <c r="AI103" s="9"/>
      <c r="AJ103" s="9">
        <v>285</v>
      </c>
      <c r="AK103" s="9"/>
      <c r="AL103" s="9"/>
      <c r="AM103" s="9"/>
      <c r="AN103" s="9"/>
      <c r="AO103" s="9"/>
      <c r="AP103" s="9">
        <f t="shared" si="26"/>
        <v>3</v>
      </c>
      <c r="AQ103" s="62">
        <f t="shared" si="27"/>
        <v>213.33333333333334</v>
      </c>
      <c r="AR103" s="11" t="str">
        <f>IF(AQ103&gt;='Aprovados Recursos do Fundo'!$AQ$1,"APROVADO","REPROVADO")</f>
        <v>APROVADO</v>
      </c>
      <c r="AS103" s="65"/>
      <c r="AT103" s="65"/>
      <c r="AU103" s="151"/>
      <c r="AV103" s="65"/>
      <c r="AW103" s="65"/>
      <c r="AX103" s="65"/>
      <c r="AY103" s="65"/>
      <c r="AZ103" s="65"/>
      <c r="BA103" s="65"/>
      <c r="BB103" s="65"/>
      <c r="BC103" s="34"/>
      <c r="BD103" s="65"/>
    </row>
    <row r="104" spans="2:57" s="64" customFormat="1" ht="39.950000000000003" hidden="1" customHeight="1" x14ac:dyDescent="0.25">
      <c r="B104" s="5">
        <v>147</v>
      </c>
      <c r="C104" s="6" t="s">
        <v>785</v>
      </c>
      <c r="D104" s="101" t="s">
        <v>4053</v>
      </c>
      <c r="E104" s="5" t="s">
        <v>33</v>
      </c>
      <c r="F104" s="5" t="s">
        <v>786</v>
      </c>
      <c r="G104" s="7" t="s">
        <v>787</v>
      </c>
      <c r="H104" s="7" t="s">
        <v>107</v>
      </c>
      <c r="I104" s="8">
        <v>698651</v>
      </c>
      <c r="J104" s="8"/>
      <c r="K104" s="8"/>
      <c r="L104" s="8">
        <f t="shared" si="41"/>
        <v>838381.2</v>
      </c>
      <c r="M104" s="8"/>
      <c r="N104" s="8"/>
      <c r="O104" s="15">
        <f t="shared" si="42"/>
        <v>0</v>
      </c>
      <c r="P104" s="15">
        <f t="shared" si="43"/>
        <v>0</v>
      </c>
      <c r="Q104" s="8"/>
      <c r="R104" s="159"/>
      <c r="S104" s="7" t="s">
        <v>73</v>
      </c>
      <c r="T104" s="7" t="s">
        <v>74</v>
      </c>
      <c r="U104" s="7" t="s">
        <v>788</v>
      </c>
      <c r="V104" s="7"/>
      <c r="W104" s="9" t="s">
        <v>789</v>
      </c>
      <c r="X104" s="10">
        <v>45308</v>
      </c>
      <c r="Y104" s="7" t="s">
        <v>67</v>
      </c>
      <c r="Z104" s="7" t="s">
        <v>68</v>
      </c>
      <c r="AA104" s="7"/>
      <c r="AB104" s="9"/>
      <c r="AC104" s="9">
        <v>82</v>
      </c>
      <c r="AD104" s="9"/>
      <c r="AE104" s="9"/>
      <c r="AF104" s="9"/>
      <c r="AG104" s="9">
        <v>296</v>
      </c>
      <c r="AH104" s="9">
        <v>237</v>
      </c>
      <c r="AI104" s="9"/>
      <c r="AJ104" s="9"/>
      <c r="AK104" s="9"/>
      <c r="AL104" s="9"/>
      <c r="AM104" s="9"/>
      <c r="AN104" s="9"/>
      <c r="AO104" s="9"/>
      <c r="AP104" s="9">
        <f t="shared" si="26"/>
        <v>3</v>
      </c>
      <c r="AQ104" s="62">
        <f t="shared" si="27"/>
        <v>205</v>
      </c>
      <c r="AR104" s="11" t="str">
        <f>IF(AQ104&gt;='Aprovados Recursos do Fundo'!$AQ$1,"APROVADO","REPROVADO")</f>
        <v>APROVADO</v>
      </c>
      <c r="AS104" s="65"/>
      <c r="AT104" s="65"/>
      <c r="AU104" s="151"/>
      <c r="AV104" s="65"/>
      <c r="AW104" s="65"/>
      <c r="AX104" s="65"/>
      <c r="AY104" s="65"/>
      <c r="AZ104" s="65"/>
      <c r="BA104" s="65"/>
      <c r="BB104" s="65"/>
      <c r="BC104" s="34"/>
      <c r="BD104" s="65"/>
    </row>
    <row r="105" spans="2:57" s="64" customFormat="1" ht="39.950000000000003" hidden="1" customHeight="1" x14ac:dyDescent="0.25">
      <c r="B105" s="5">
        <v>149</v>
      </c>
      <c r="C105" s="27" t="s">
        <v>798</v>
      </c>
      <c r="D105" s="101" t="s">
        <v>4054</v>
      </c>
      <c r="E105" s="5" t="s">
        <v>33</v>
      </c>
      <c r="F105" s="5" t="s">
        <v>799</v>
      </c>
      <c r="G105" s="7" t="s">
        <v>800</v>
      </c>
      <c r="H105" s="7" t="s">
        <v>36</v>
      </c>
      <c r="I105" s="8">
        <v>212001.12</v>
      </c>
      <c r="J105" s="8"/>
      <c r="K105" s="8"/>
      <c r="L105" s="8">
        <f t="shared" si="41"/>
        <v>254401.34399999998</v>
      </c>
      <c r="M105" s="8">
        <f>166073+22922.7</f>
        <v>188995.7</v>
      </c>
      <c r="N105" s="8">
        <f>L105-M105</f>
        <v>65405.643999999971</v>
      </c>
      <c r="O105" s="15">
        <f t="shared" si="42"/>
        <v>157496.41436928156</v>
      </c>
      <c r="P105" s="15">
        <f t="shared" si="43"/>
        <v>31499.285630718448</v>
      </c>
      <c r="Q105" s="144">
        <f>M105/L105</f>
        <v>0.74290370101189407</v>
      </c>
      <c r="R105" s="159"/>
      <c r="S105" s="7" t="s">
        <v>73</v>
      </c>
      <c r="T105" s="7" t="s">
        <v>74</v>
      </c>
      <c r="U105" s="7" t="s">
        <v>801</v>
      </c>
      <c r="V105" s="7"/>
      <c r="W105" s="9" t="s">
        <v>802</v>
      </c>
      <c r="X105" s="10">
        <v>45308</v>
      </c>
      <c r="Y105" s="7" t="s">
        <v>41</v>
      </c>
      <c r="Z105" s="7"/>
      <c r="AA105" s="7"/>
      <c r="AB105" s="9">
        <v>322</v>
      </c>
      <c r="AC105" s="9">
        <v>174</v>
      </c>
      <c r="AD105" s="9"/>
      <c r="AE105" s="9"/>
      <c r="AF105" s="9">
        <v>164</v>
      </c>
      <c r="AG105" s="9"/>
      <c r="AH105" s="9"/>
      <c r="AI105" s="9"/>
      <c r="AJ105" s="9"/>
      <c r="AK105" s="9"/>
      <c r="AL105" s="9"/>
      <c r="AM105" s="9"/>
      <c r="AN105" s="9"/>
      <c r="AO105" s="9"/>
      <c r="AP105" s="9">
        <f t="shared" si="26"/>
        <v>3</v>
      </c>
      <c r="AQ105" s="62">
        <f t="shared" si="27"/>
        <v>220</v>
      </c>
      <c r="AR105" s="11" t="str">
        <f>IF(AQ105&gt;=$AR$1,"APROVADO","REPROVADO")</f>
        <v>APROVADO</v>
      </c>
      <c r="AS105" s="7"/>
      <c r="AT105" s="65"/>
      <c r="AU105" s="151"/>
      <c r="AV105" s="65"/>
      <c r="AW105" s="65"/>
      <c r="AX105" s="65"/>
      <c r="AY105" s="65"/>
      <c r="AZ105" s="65"/>
      <c r="BA105" s="65"/>
      <c r="BB105" s="65"/>
      <c r="BC105" s="34"/>
      <c r="BD105" s="65"/>
    </row>
    <row r="106" spans="2:57" s="64" customFormat="1" ht="39.950000000000003" customHeight="1" x14ac:dyDescent="0.25">
      <c r="B106" s="5">
        <v>150</v>
      </c>
      <c r="C106" s="27" t="s">
        <v>803</v>
      </c>
      <c r="D106" s="100" t="s">
        <v>4055</v>
      </c>
      <c r="E106" s="5" t="s">
        <v>33</v>
      </c>
      <c r="F106" s="7" t="s">
        <v>799</v>
      </c>
      <c r="G106" s="7" t="s">
        <v>804</v>
      </c>
      <c r="H106" s="7" t="s">
        <v>300</v>
      </c>
      <c r="I106" s="163">
        <v>997772.88</v>
      </c>
      <c r="J106" s="8">
        <f>I106-K106</f>
        <v>982577.88</v>
      </c>
      <c r="K106" s="8">
        <v>15195</v>
      </c>
      <c r="L106" s="8">
        <f t="shared" si="41"/>
        <v>1197327.456</v>
      </c>
      <c r="M106" s="8">
        <f>5000+800000+20389+179611+145000+47322.46</f>
        <v>1197322.46</v>
      </c>
      <c r="N106" s="8">
        <f>L106-M106</f>
        <v>4.9960000000428408</v>
      </c>
      <c r="O106" s="15">
        <f t="shared" si="42"/>
        <v>997768.7021123101</v>
      </c>
      <c r="P106" s="15">
        <f t="shared" si="43"/>
        <v>199553.7578876898</v>
      </c>
      <c r="Q106" s="143">
        <f t="shared" ref="Q106:Q107" si="44">M106/L106</f>
        <v>0.99999582737372716</v>
      </c>
      <c r="R106" s="159"/>
      <c r="S106" s="7" t="s">
        <v>73</v>
      </c>
      <c r="T106" s="7" t="s">
        <v>74</v>
      </c>
      <c r="U106" s="7" t="s">
        <v>801</v>
      </c>
      <c r="V106" s="7"/>
      <c r="W106" s="9" t="s">
        <v>802</v>
      </c>
      <c r="X106" s="10">
        <v>45308</v>
      </c>
      <c r="Y106" s="7" t="s">
        <v>41</v>
      </c>
      <c r="Z106" s="7"/>
      <c r="AA106" s="7"/>
      <c r="AB106" s="9">
        <v>286</v>
      </c>
      <c r="AC106" s="9">
        <v>255</v>
      </c>
      <c r="AD106" s="9"/>
      <c r="AE106" s="9"/>
      <c r="AF106" s="9">
        <v>231</v>
      </c>
      <c r="AG106" s="9"/>
      <c r="AH106" s="9"/>
      <c r="AI106" s="9"/>
      <c r="AJ106" s="9"/>
      <c r="AK106" s="9"/>
      <c r="AL106" s="9"/>
      <c r="AM106" s="9"/>
      <c r="AN106" s="9"/>
      <c r="AO106" s="9"/>
      <c r="AP106" s="9">
        <f t="shared" si="26"/>
        <v>3</v>
      </c>
      <c r="AQ106" s="62">
        <f t="shared" si="27"/>
        <v>257.33333333333331</v>
      </c>
      <c r="AR106" s="11" t="str">
        <f>IF(AQ106&gt;='Aprovados Recursos do Fundo'!$AQ$1,"APROVADO","REPROVADO")</f>
        <v>APROVADO</v>
      </c>
      <c r="AS106" s="7" t="s">
        <v>4056</v>
      </c>
      <c r="AT106" s="151" t="s">
        <v>4057</v>
      </c>
      <c r="AU106" s="151" t="s">
        <v>2973</v>
      </c>
      <c r="AV106" s="65"/>
      <c r="AW106" s="65"/>
      <c r="AX106" s="65"/>
      <c r="AY106" s="65"/>
      <c r="AZ106" s="65"/>
      <c r="BA106" s="5"/>
      <c r="BB106" s="65"/>
      <c r="BC106" s="34">
        <v>46073</v>
      </c>
      <c r="BD106" s="140">
        <f t="shared" ref="BD106" si="45">_xlfn.DAYS($BD$2,BC106)</f>
        <v>28</v>
      </c>
      <c r="BE106" s="7"/>
    </row>
    <row r="107" spans="2:57" s="64" customFormat="1" ht="39.950000000000003" hidden="1" customHeight="1" x14ac:dyDescent="0.25">
      <c r="B107" s="5">
        <v>151</v>
      </c>
      <c r="C107" s="27" t="s">
        <v>805</v>
      </c>
      <c r="D107" s="101" t="s">
        <v>4058</v>
      </c>
      <c r="E107" s="5" t="s">
        <v>33</v>
      </c>
      <c r="F107" s="5" t="s">
        <v>799</v>
      </c>
      <c r="G107" s="7" t="s">
        <v>806</v>
      </c>
      <c r="H107" s="7" t="s">
        <v>36</v>
      </c>
      <c r="I107" s="8">
        <v>482556.27</v>
      </c>
      <c r="J107" s="8"/>
      <c r="K107" s="8"/>
      <c r="L107" s="8">
        <f t="shared" si="41"/>
        <v>579067.52399999998</v>
      </c>
      <c r="M107" s="8">
        <f>23873.63+86400+5100+1297.3+200000+1234.32+1194.54+15000+15000+1000+4000+131000+73673.59+14000+12905.64+27500+25000+14000</f>
        <v>652179.02</v>
      </c>
      <c r="N107" s="8">
        <f>L107-M107</f>
        <v>-73111.496000000043</v>
      </c>
      <c r="O107" s="15">
        <f t="shared" si="42"/>
        <v>543482.50873893942</v>
      </c>
      <c r="P107" s="15">
        <f t="shared" si="43"/>
        <v>108696.51126106063</v>
      </c>
      <c r="Q107" s="136">
        <f t="shared" si="44"/>
        <v>1.1262572894694056</v>
      </c>
      <c r="R107" s="159"/>
      <c r="S107" s="7" t="s">
        <v>73</v>
      </c>
      <c r="T107" s="7" t="s">
        <v>74</v>
      </c>
      <c r="U107" s="7" t="s">
        <v>801</v>
      </c>
      <c r="V107" s="7"/>
      <c r="W107" s="9" t="s">
        <v>802</v>
      </c>
      <c r="X107" s="10">
        <v>45308</v>
      </c>
      <c r="Y107" s="7" t="s">
        <v>41</v>
      </c>
      <c r="Z107" s="7"/>
      <c r="AA107" s="7"/>
      <c r="AB107" s="9">
        <v>327</v>
      </c>
      <c r="AC107" s="9">
        <v>152</v>
      </c>
      <c r="AD107" s="9"/>
      <c r="AE107" s="9"/>
      <c r="AF107" s="9"/>
      <c r="AG107" s="9"/>
      <c r="AH107" s="9"/>
      <c r="AI107" s="9"/>
      <c r="AJ107" s="9"/>
      <c r="AK107" s="9">
        <v>173</v>
      </c>
      <c r="AL107" s="9"/>
      <c r="AM107" s="9"/>
      <c r="AN107" s="9"/>
      <c r="AO107" s="9"/>
      <c r="AP107" s="9">
        <f t="shared" si="26"/>
        <v>3</v>
      </c>
      <c r="AQ107" s="62">
        <f t="shared" si="27"/>
        <v>217.33333333333334</v>
      </c>
      <c r="AR107" s="11" t="str">
        <f>IF(AQ107&gt;=$AR$1,"APROVADO","REPROVADO")</f>
        <v>APROVADO</v>
      </c>
      <c r="AS107" s="65"/>
      <c r="AT107" s="65"/>
      <c r="AU107" s="151"/>
      <c r="AV107" s="65"/>
      <c r="AW107" s="65"/>
      <c r="AX107" s="65"/>
      <c r="AY107" s="65"/>
      <c r="AZ107" s="65"/>
      <c r="BA107" s="65"/>
      <c r="BB107" s="65"/>
      <c r="BC107" s="34"/>
      <c r="BD107" s="65"/>
    </row>
    <row r="108" spans="2:57" s="64" customFormat="1" ht="39.950000000000003" hidden="1" customHeight="1" x14ac:dyDescent="0.25">
      <c r="B108" s="5">
        <v>152</v>
      </c>
      <c r="C108" s="22" t="s">
        <v>807</v>
      </c>
      <c r="D108" s="9"/>
      <c r="E108" s="5" t="s">
        <v>51</v>
      </c>
      <c r="F108" s="9" t="s">
        <v>808</v>
      </c>
      <c r="G108" s="9" t="s">
        <v>809</v>
      </c>
      <c r="H108" s="11" t="s">
        <v>36</v>
      </c>
      <c r="I108" s="41">
        <v>72659.16</v>
      </c>
      <c r="J108" s="41"/>
      <c r="K108" s="41"/>
      <c r="L108" s="8">
        <v>87190.991999999998</v>
      </c>
      <c r="M108" s="41"/>
      <c r="N108" s="41"/>
      <c r="O108" s="41"/>
      <c r="P108" s="41"/>
      <c r="Q108" s="41"/>
      <c r="R108" s="159"/>
      <c r="S108" s="9" t="s">
        <v>810</v>
      </c>
      <c r="T108" s="11" t="s">
        <v>95</v>
      </c>
      <c r="U108" s="9" t="s">
        <v>811</v>
      </c>
      <c r="V108" s="9"/>
      <c r="W108" s="9" t="s">
        <v>812</v>
      </c>
      <c r="X108" s="34">
        <v>45308</v>
      </c>
      <c r="Y108" s="7" t="s">
        <v>41</v>
      </c>
      <c r="Z108" s="11" t="s">
        <v>813</v>
      </c>
      <c r="AA108" s="9" t="s">
        <v>814</v>
      </c>
      <c r="AB108" s="9">
        <v>322</v>
      </c>
      <c r="AC108" s="9"/>
      <c r="AD108" s="9">
        <v>216</v>
      </c>
      <c r="AE108" s="9"/>
      <c r="AF108" s="9"/>
      <c r="AG108" s="9"/>
      <c r="AH108" s="9"/>
      <c r="AI108" s="9"/>
      <c r="AJ108" s="9"/>
      <c r="AK108" s="9"/>
      <c r="AL108" s="9"/>
      <c r="AM108" s="9">
        <v>222</v>
      </c>
      <c r="AN108" s="9"/>
      <c r="AO108" s="9"/>
      <c r="AP108" s="9">
        <f t="shared" si="26"/>
        <v>3</v>
      </c>
      <c r="AQ108" s="62">
        <f t="shared" si="27"/>
        <v>253.33333333333334</v>
      </c>
      <c r="AR108" s="11" t="str">
        <f>IF(AQ108&gt;='Aprovados Recursos do Fundo'!$AQ$1,"APROVADO","REPROVADO")</f>
        <v>APROVADO</v>
      </c>
      <c r="AS108" s="65"/>
      <c r="AT108" s="65"/>
      <c r="AU108" s="151"/>
      <c r="AV108" s="65"/>
      <c r="AW108" s="65"/>
      <c r="AX108" s="65"/>
      <c r="AY108" s="65"/>
      <c r="AZ108" s="65"/>
      <c r="BA108" s="65"/>
      <c r="BB108" s="65"/>
      <c r="BC108" s="34"/>
      <c r="BD108" s="65"/>
    </row>
    <row r="109" spans="2:57" s="64" customFormat="1" ht="39.950000000000003" hidden="1" customHeight="1" x14ac:dyDescent="0.25">
      <c r="B109" s="5">
        <v>153</v>
      </c>
      <c r="C109" s="22" t="s">
        <v>815</v>
      </c>
      <c r="D109" s="99"/>
      <c r="E109" s="5" t="s">
        <v>51</v>
      </c>
      <c r="F109" s="59" t="s">
        <v>808</v>
      </c>
      <c r="G109" s="11" t="s">
        <v>816</v>
      </c>
      <c r="H109" s="11" t="s">
        <v>36</v>
      </c>
      <c r="I109" s="41">
        <v>360000</v>
      </c>
      <c r="J109" s="41"/>
      <c r="K109" s="41"/>
      <c r="L109" s="8">
        <v>432000</v>
      </c>
      <c r="M109" s="41"/>
      <c r="N109" s="41"/>
      <c r="O109" s="41"/>
      <c r="P109" s="41"/>
      <c r="Q109" s="41"/>
      <c r="R109" s="159"/>
      <c r="S109" s="9" t="s">
        <v>810</v>
      </c>
      <c r="T109" s="11" t="s">
        <v>95</v>
      </c>
      <c r="U109" s="9" t="s">
        <v>811</v>
      </c>
      <c r="V109" s="9"/>
      <c r="W109" s="9" t="s">
        <v>777</v>
      </c>
      <c r="X109" s="34">
        <v>45308</v>
      </c>
      <c r="Y109" s="7" t="s">
        <v>41</v>
      </c>
      <c r="Z109" s="11" t="s">
        <v>813</v>
      </c>
      <c r="AA109" s="9" t="s">
        <v>817</v>
      </c>
      <c r="AB109" s="9">
        <v>224</v>
      </c>
      <c r="AC109" s="9"/>
      <c r="AD109" s="9">
        <v>223</v>
      </c>
      <c r="AE109" s="9"/>
      <c r="AF109" s="9"/>
      <c r="AG109" s="9"/>
      <c r="AH109" s="9"/>
      <c r="AI109" s="9"/>
      <c r="AJ109" s="9"/>
      <c r="AK109" s="9"/>
      <c r="AL109" s="9"/>
      <c r="AM109" s="9">
        <v>217</v>
      </c>
      <c r="AN109" s="9"/>
      <c r="AO109" s="9"/>
      <c r="AP109" s="9">
        <f t="shared" si="26"/>
        <v>3</v>
      </c>
      <c r="AQ109" s="62">
        <f t="shared" si="27"/>
        <v>221.33333333333334</v>
      </c>
      <c r="AR109" s="11" t="str">
        <f>IF(AQ109&gt;=$AR$1,"APROVADO","REPROVADO")</f>
        <v>APROVADO</v>
      </c>
      <c r="AS109" s="65"/>
      <c r="AT109" s="65"/>
      <c r="AU109" s="151"/>
      <c r="AV109" s="65"/>
      <c r="AW109" s="65"/>
      <c r="AX109" s="65"/>
      <c r="AY109" s="65"/>
      <c r="AZ109" s="65"/>
      <c r="BA109" s="65"/>
      <c r="BB109" s="65"/>
      <c r="BC109" s="34"/>
      <c r="BD109" s="65"/>
    </row>
    <row r="110" spans="2:57" s="64" customFormat="1" ht="39.950000000000003" hidden="1" customHeight="1" x14ac:dyDescent="0.25">
      <c r="B110" s="5">
        <v>155</v>
      </c>
      <c r="C110" s="6" t="s">
        <v>823</v>
      </c>
      <c r="D110" s="101" t="s">
        <v>4059</v>
      </c>
      <c r="E110" s="5" t="s">
        <v>33</v>
      </c>
      <c r="F110" s="7" t="s">
        <v>824</v>
      </c>
      <c r="G110" s="7" t="s">
        <v>825</v>
      </c>
      <c r="H110" s="7" t="s">
        <v>36</v>
      </c>
      <c r="I110" s="8">
        <v>54100</v>
      </c>
      <c r="J110" s="8"/>
      <c r="K110" s="8"/>
      <c r="L110" s="8">
        <f t="shared" ref="L110:L117" si="46">I110*1.2</f>
        <v>64920</v>
      </c>
      <c r="M110" s="8"/>
      <c r="N110" s="8"/>
      <c r="O110" s="15">
        <f t="shared" ref="O110:O117" si="47">M110*0.83333332117758</f>
        <v>0</v>
      </c>
      <c r="P110" s="15">
        <f t="shared" ref="P110:P117" si="48">M110*0.16666667882242</f>
        <v>0</v>
      </c>
      <c r="Q110" s="8"/>
      <c r="R110" s="159"/>
      <c r="S110" s="7" t="s">
        <v>469</v>
      </c>
      <c r="T110" s="7" t="s">
        <v>95</v>
      </c>
      <c r="U110" s="7" t="s">
        <v>826</v>
      </c>
      <c r="V110" s="7"/>
      <c r="W110" s="9" t="s">
        <v>827</v>
      </c>
      <c r="X110" s="10">
        <v>45308</v>
      </c>
      <c r="Y110" s="7" t="s">
        <v>67</v>
      </c>
      <c r="Z110" s="7" t="s">
        <v>68</v>
      </c>
      <c r="AA110" s="7"/>
      <c r="AB110" s="9"/>
      <c r="AC110" s="9">
        <v>155</v>
      </c>
      <c r="AD110" s="9"/>
      <c r="AE110" s="9"/>
      <c r="AF110" s="9"/>
      <c r="AG110" s="9"/>
      <c r="AH110" s="9"/>
      <c r="AI110" s="9">
        <v>299</v>
      </c>
      <c r="AJ110" s="9">
        <v>272</v>
      </c>
      <c r="AK110" s="9"/>
      <c r="AL110" s="9"/>
      <c r="AM110" s="9"/>
      <c r="AN110" s="9"/>
      <c r="AO110" s="9"/>
      <c r="AP110" s="9">
        <f t="shared" si="26"/>
        <v>3</v>
      </c>
      <c r="AQ110" s="62">
        <f t="shared" si="27"/>
        <v>242</v>
      </c>
      <c r="AR110" s="11" t="str">
        <f>IF(AQ110&gt;='Aprovados Recursos do Fundo'!$AQ$1,"APROVADO","REPROVADO")</f>
        <v>APROVADO</v>
      </c>
      <c r="AS110" s="65"/>
      <c r="AT110" s="65"/>
      <c r="AU110" s="151"/>
      <c r="AV110" s="65"/>
      <c r="AW110" s="65"/>
      <c r="AX110" s="65"/>
      <c r="AY110" s="65"/>
      <c r="AZ110" s="65"/>
      <c r="BA110" s="65"/>
      <c r="BB110" s="65"/>
      <c r="BC110" s="34"/>
      <c r="BD110" s="65"/>
    </row>
    <row r="111" spans="2:57" s="64" customFormat="1" ht="39.950000000000003" hidden="1" customHeight="1" x14ac:dyDescent="0.25">
      <c r="B111" s="5">
        <v>156</v>
      </c>
      <c r="C111" s="6" t="s">
        <v>828</v>
      </c>
      <c r="D111" s="101" t="s">
        <v>4060</v>
      </c>
      <c r="E111" s="5" t="s">
        <v>33</v>
      </c>
      <c r="F111" s="58" t="s">
        <v>824</v>
      </c>
      <c r="G111" s="7" t="s">
        <v>829</v>
      </c>
      <c r="H111" s="7" t="s">
        <v>36</v>
      </c>
      <c r="I111" s="8">
        <v>105800</v>
      </c>
      <c r="J111" s="8"/>
      <c r="K111" s="8"/>
      <c r="L111" s="8">
        <f t="shared" si="46"/>
        <v>126960</v>
      </c>
      <c r="M111" s="8"/>
      <c r="N111" s="8"/>
      <c r="O111" s="15">
        <f t="shared" si="47"/>
        <v>0</v>
      </c>
      <c r="P111" s="15">
        <f t="shared" si="48"/>
        <v>0</v>
      </c>
      <c r="Q111" s="8"/>
      <c r="R111" s="159"/>
      <c r="S111" s="7" t="s">
        <v>469</v>
      </c>
      <c r="T111" s="7" t="s">
        <v>95</v>
      </c>
      <c r="U111" s="7" t="s">
        <v>826</v>
      </c>
      <c r="V111" s="7"/>
      <c r="W111" s="9" t="s">
        <v>827</v>
      </c>
      <c r="X111" s="10">
        <v>45308</v>
      </c>
      <c r="Y111" s="7" t="s">
        <v>67</v>
      </c>
      <c r="Z111" s="7" t="s">
        <v>68</v>
      </c>
      <c r="AA111" s="7"/>
      <c r="AB111" s="9">
        <v>314</v>
      </c>
      <c r="AC111" s="9">
        <v>159</v>
      </c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>
        <v>238</v>
      </c>
      <c r="AP111" s="9">
        <f t="shared" si="26"/>
        <v>3</v>
      </c>
      <c r="AQ111" s="62">
        <f t="shared" si="27"/>
        <v>237</v>
      </c>
      <c r="AR111" s="11" t="str">
        <f>IF(AQ111&gt;=$AR$1,"APROVADO","REPROVADO")</f>
        <v>APROVADO</v>
      </c>
      <c r="AS111" s="65"/>
      <c r="AT111" s="65"/>
      <c r="AU111" s="151"/>
      <c r="AV111" s="65"/>
      <c r="AW111" s="65"/>
      <c r="AX111" s="65"/>
      <c r="AY111" s="65"/>
      <c r="AZ111" s="65"/>
      <c r="BA111" s="65"/>
      <c r="BB111" s="65"/>
      <c r="BC111" s="34"/>
      <c r="BD111" s="65"/>
    </row>
    <row r="112" spans="2:57" s="64" customFormat="1" ht="39.950000000000003" hidden="1" customHeight="1" x14ac:dyDescent="0.25">
      <c r="B112" s="5">
        <v>157</v>
      </c>
      <c r="C112" s="6" t="s">
        <v>830</v>
      </c>
      <c r="D112" s="101" t="s">
        <v>4061</v>
      </c>
      <c r="E112" s="5" t="s">
        <v>33</v>
      </c>
      <c r="F112" s="5" t="s">
        <v>831</v>
      </c>
      <c r="G112" s="5" t="s">
        <v>832</v>
      </c>
      <c r="H112" s="7" t="s">
        <v>36</v>
      </c>
      <c r="I112" s="8">
        <v>293034.33</v>
      </c>
      <c r="J112" s="8"/>
      <c r="K112" s="8"/>
      <c r="L112" s="8">
        <f t="shared" si="46"/>
        <v>351641.196</v>
      </c>
      <c r="M112" s="8"/>
      <c r="N112" s="8"/>
      <c r="O112" s="15">
        <f t="shared" si="47"/>
        <v>0</v>
      </c>
      <c r="P112" s="15">
        <f t="shared" si="48"/>
        <v>0</v>
      </c>
      <c r="Q112" s="8"/>
      <c r="R112" s="159"/>
      <c r="S112" s="7" t="s">
        <v>833</v>
      </c>
      <c r="T112" s="7" t="s">
        <v>254</v>
      </c>
      <c r="U112" s="7" t="s">
        <v>834</v>
      </c>
      <c r="V112" s="7"/>
      <c r="W112" s="9" t="s">
        <v>835</v>
      </c>
      <c r="X112" s="10">
        <v>45308</v>
      </c>
      <c r="Y112" s="5" t="s">
        <v>67</v>
      </c>
      <c r="Z112" s="7" t="s">
        <v>157</v>
      </c>
      <c r="AA112" s="7" t="s">
        <v>836</v>
      </c>
      <c r="AB112" s="9">
        <v>270</v>
      </c>
      <c r="AC112" s="9">
        <v>222</v>
      </c>
      <c r="AD112" s="9">
        <v>234</v>
      </c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>
        <f t="shared" si="26"/>
        <v>3</v>
      </c>
      <c r="AQ112" s="62">
        <f t="shared" si="27"/>
        <v>242</v>
      </c>
      <c r="AR112" s="11" t="str">
        <f>IF(AQ112&gt;='Aprovados Recursos do Fundo'!$AQ$1,"APROVADO","REPROVADO")</f>
        <v>APROVADO</v>
      </c>
      <c r="AS112" s="65"/>
      <c r="AT112" s="65"/>
      <c r="AU112" s="151"/>
      <c r="AV112" s="65"/>
      <c r="AW112" s="65"/>
      <c r="AX112" s="65"/>
      <c r="AY112" s="65"/>
      <c r="AZ112" s="65"/>
      <c r="BA112" s="65"/>
      <c r="BB112" s="65"/>
      <c r="BC112" s="34"/>
      <c r="BD112" s="65"/>
    </row>
    <row r="113" spans="2:56" s="64" customFormat="1" ht="39.950000000000003" hidden="1" customHeight="1" x14ac:dyDescent="0.25">
      <c r="B113" s="5">
        <v>158</v>
      </c>
      <c r="C113" s="6" t="s">
        <v>837</v>
      </c>
      <c r="D113" s="101" t="s">
        <v>4062</v>
      </c>
      <c r="E113" s="5" t="s">
        <v>33</v>
      </c>
      <c r="F113" s="58" t="s">
        <v>831</v>
      </c>
      <c r="G113" s="7" t="s">
        <v>838</v>
      </c>
      <c r="H113" s="7" t="s">
        <v>36</v>
      </c>
      <c r="I113" s="8">
        <v>455848.37</v>
      </c>
      <c r="J113" s="8"/>
      <c r="K113" s="8"/>
      <c r="L113" s="8">
        <f t="shared" si="46"/>
        <v>547018.04399999999</v>
      </c>
      <c r="M113" s="8"/>
      <c r="N113" s="8"/>
      <c r="O113" s="15">
        <f t="shared" si="47"/>
        <v>0</v>
      </c>
      <c r="P113" s="15">
        <f t="shared" si="48"/>
        <v>0</v>
      </c>
      <c r="Q113" s="8"/>
      <c r="R113" s="159"/>
      <c r="S113" s="7" t="s">
        <v>833</v>
      </c>
      <c r="T113" s="7" t="s">
        <v>254</v>
      </c>
      <c r="U113" s="7" t="s">
        <v>839</v>
      </c>
      <c r="V113" s="7"/>
      <c r="W113" s="9" t="s">
        <v>840</v>
      </c>
      <c r="X113" s="10">
        <v>45308</v>
      </c>
      <c r="Y113" s="7" t="s">
        <v>67</v>
      </c>
      <c r="Z113" s="7" t="s">
        <v>157</v>
      </c>
      <c r="AA113" s="7"/>
      <c r="AB113" s="9"/>
      <c r="AC113" s="9">
        <v>174</v>
      </c>
      <c r="AD113" s="9"/>
      <c r="AE113" s="9"/>
      <c r="AF113" s="9"/>
      <c r="AG113" s="9">
        <v>275</v>
      </c>
      <c r="AH113" s="9">
        <v>250</v>
      </c>
      <c r="AI113" s="9"/>
      <c r="AJ113" s="9"/>
      <c r="AK113" s="9"/>
      <c r="AL113" s="9"/>
      <c r="AM113" s="9"/>
      <c r="AN113" s="9"/>
      <c r="AO113" s="9"/>
      <c r="AP113" s="9">
        <f t="shared" si="26"/>
        <v>3</v>
      </c>
      <c r="AQ113" s="62">
        <f t="shared" si="27"/>
        <v>233</v>
      </c>
      <c r="AR113" s="11" t="str">
        <f>IF(AQ113&gt;=$AR$1,"APROVADO","REPROVADO")</f>
        <v>APROVADO</v>
      </c>
      <c r="AS113" s="65"/>
      <c r="AT113" s="65"/>
      <c r="AU113" s="151"/>
      <c r="AV113" s="65"/>
      <c r="AW113" s="65"/>
      <c r="AX113" s="65"/>
      <c r="AY113" s="65"/>
      <c r="AZ113" s="65"/>
      <c r="BA113" s="65"/>
      <c r="BB113" s="65"/>
      <c r="BC113" s="34"/>
      <c r="BD113" s="65"/>
    </row>
    <row r="114" spans="2:56" s="64" customFormat="1" ht="39.950000000000003" hidden="1" customHeight="1" x14ac:dyDescent="0.25">
      <c r="B114" s="5">
        <v>160</v>
      </c>
      <c r="C114" s="27" t="s">
        <v>846</v>
      </c>
      <c r="D114" s="100" t="s">
        <v>4063</v>
      </c>
      <c r="E114" s="5" t="s">
        <v>33</v>
      </c>
      <c r="F114" s="5" t="s">
        <v>847</v>
      </c>
      <c r="G114" s="7" t="s">
        <v>848</v>
      </c>
      <c r="H114" s="7" t="s">
        <v>107</v>
      </c>
      <c r="I114" s="8">
        <v>745455.43</v>
      </c>
      <c r="J114" s="8"/>
      <c r="K114" s="8"/>
      <c r="L114" s="8">
        <f t="shared" si="46"/>
        <v>894546.51600000006</v>
      </c>
      <c r="M114" s="8">
        <f>4066+193290.88+1165.46+1348.14+3860.84+1677.43+4535.88+1130.84+835.21+321+2537.17+3563.61+526.8+623.75+707.53+1362.03+3317.57+1644.9+882.57+785.98+969.71+1345.79+922.14+1268.64+196.53+430.52+1386.84+369.46+2112.71+732.69+1982+987.66+48.5+1191.03+1619.73+40000+40000+20000+440500</f>
        <v>784247.54</v>
      </c>
      <c r="N114" s="8">
        <f>L114-M114</f>
        <v>110298.97600000002</v>
      </c>
      <c r="O114" s="15">
        <f t="shared" si="47"/>
        <v>653539.60713354708</v>
      </c>
      <c r="P114" s="15">
        <f t="shared" si="48"/>
        <v>130707.93286645299</v>
      </c>
      <c r="Q114" s="136">
        <f t="shared" ref="Q114" si="49">M114/L114</f>
        <v>0.87669844549481202</v>
      </c>
      <c r="R114" s="159"/>
      <c r="S114" s="7" t="s">
        <v>73</v>
      </c>
      <c r="T114" s="7" t="s">
        <v>74</v>
      </c>
      <c r="U114" s="7" t="s">
        <v>849</v>
      </c>
      <c r="V114" s="7">
        <v>1</v>
      </c>
      <c r="W114" s="31" t="s">
        <v>850</v>
      </c>
      <c r="X114" s="10">
        <v>45308</v>
      </c>
      <c r="Y114" s="7" t="s">
        <v>41</v>
      </c>
      <c r="Z114" s="7"/>
      <c r="AA114" s="7"/>
      <c r="AB114" s="9">
        <v>331</v>
      </c>
      <c r="AC114" s="9">
        <v>257</v>
      </c>
      <c r="AD114" s="9"/>
      <c r="AE114" s="9"/>
      <c r="AF114" s="9"/>
      <c r="AG114" s="9"/>
      <c r="AH114" s="9"/>
      <c r="AI114" s="9"/>
      <c r="AJ114" s="9"/>
      <c r="AK114" s="9"/>
      <c r="AL114" s="9">
        <v>281</v>
      </c>
      <c r="AM114" s="9"/>
      <c r="AN114" s="9"/>
      <c r="AO114" s="9"/>
      <c r="AP114" s="9">
        <f t="shared" si="26"/>
        <v>3</v>
      </c>
      <c r="AQ114" s="62">
        <f t="shared" si="27"/>
        <v>289.66666666666669</v>
      </c>
      <c r="AR114" s="11" t="str">
        <f>IF(AQ114&gt;='Aprovados Recursos do Fundo'!$AQ$1,"APROVADO","REPROVADO")</f>
        <v>APROVADO</v>
      </c>
      <c r="AS114" s="65"/>
      <c r="AT114" s="65"/>
      <c r="AU114" s="151"/>
      <c r="AV114" s="65"/>
      <c r="AW114" s="65"/>
      <c r="AX114" s="65"/>
      <c r="AY114" s="65"/>
      <c r="AZ114" s="65"/>
      <c r="BA114" s="65"/>
      <c r="BB114" s="65"/>
      <c r="BC114" s="34"/>
      <c r="BD114" s="65"/>
    </row>
    <row r="115" spans="2:56" s="64" customFormat="1" ht="39.950000000000003" hidden="1" customHeight="1" x14ac:dyDescent="0.25">
      <c r="B115" s="5">
        <v>161</v>
      </c>
      <c r="C115" s="27" t="s">
        <v>851</v>
      </c>
      <c r="D115" s="100" t="s">
        <v>4064</v>
      </c>
      <c r="E115" s="5" t="s">
        <v>33</v>
      </c>
      <c r="F115" s="5" t="s">
        <v>852</v>
      </c>
      <c r="G115" s="7" t="s">
        <v>4065</v>
      </c>
      <c r="H115" s="7" t="s">
        <v>300</v>
      </c>
      <c r="I115" s="8">
        <v>197375.06</v>
      </c>
      <c r="J115" s="8"/>
      <c r="K115" s="8"/>
      <c r="L115" s="8">
        <f t="shared" si="46"/>
        <v>236850.07199999999</v>
      </c>
      <c r="M115" s="8"/>
      <c r="N115" s="8"/>
      <c r="O115" s="15">
        <f t="shared" si="47"/>
        <v>0</v>
      </c>
      <c r="P115" s="15">
        <f t="shared" si="48"/>
        <v>0</v>
      </c>
      <c r="Q115" s="8"/>
      <c r="R115" s="159"/>
      <c r="S115" s="7" t="s">
        <v>73</v>
      </c>
      <c r="T115" s="7" t="s">
        <v>74</v>
      </c>
      <c r="U115" s="7" t="s">
        <v>854</v>
      </c>
      <c r="V115" s="7">
        <v>1</v>
      </c>
      <c r="W115" s="9" t="s">
        <v>855</v>
      </c>
      <c r="X115" s="10">
        <v>45308</v>
      </c>
      <c r="Y115" s="7" t="s">
        <v>41</v>
      </c>
      <c r="Z115" s="7"/>
      <c r="AA115" s="7"/>
      <c r="AB115" s="9">
        <v>283</v>
      </c>
      <c r="AC115" s="9">
        <v>236</v>
      </c>
      <c r="AD115" s="9"/>
      <c r="AE115" s="9"/>
      <c r="AF115" s="9"/>
      <c r="AG115" s="9"/>
      <c r="AH115" s="9"/>
      <c r="AI115" s="9"/>
      <c r="AJ115" s="9"/>
      <c r="AK115" s="9">
        <v>267</v>
      </c>
      <c r="AL115" s="9"/>
      <c r="AM115" s="9"/>
      <c r="AN115" s="9"/>
      <c r="AO115" s="9"/>
      <c r="AP115" s="9">
        <f t="shared" si="26"/>
        <v>3</v>
      </c>
      <c r="AQ115" s="62">
        <f t="shared" si="27"/>
        <v>262</v>
      </c>
      <c r="AR115" s="11" t="str">
        <f>IF(AQ115&gt;='Aprovados Recursos do Fundo'!$AQ$1,"APROVADO","REPROVADO")</f>
        <v>APROVADO</v>
      </c>
      <c r="AS115" s="65"/>
      <c r="AT115" s="65"/>
      <c r="AU115" s="151"/>
      <c r="AV115" s="65"/>
      <c r="AW115" s="65"/>
      <c r="AX115" s="65"/>
      <c r="AY115" s="65"/>
      <c r="AZ115" s="65"/>
      <c r="BA115" s="65"/>
      <c r="BB115" s="65"/>
      <c r="BC115" s="34"/>
      <c r="BD115" s="65"/>
    </row>
    <row r="116" spans="2:56" s="64" customFormat="1" ht="39.950000000000003" hidden="1" customHeight="1" x14ac:dyDescent="0.25">
      <c r="B116" s="5">
        <v>163</v>
      </c>
      <c r="C116" s="6" t="s">
        <v>862</v>
      </c>
      <c r="D116" s="100" t="s">
        <v>4066</v>
      </c>
      <c r="E116" s="5" t="s">
        <v>33</v>
      </c>
      <c r="F116" s="5" t="s">
        <v>857</v>
      </c>
      <c r="G116" s="7" t="s">
        <v>863</v>
      </c>
      <c r="H116" s="7" t="s">
        <v>36</v>
      </c>
      <c r="I116" s="8">
        <v>309808.38</v>
      </c>
      <c r="J116" s="8"/>
      <c r="K116" s="8"/>
      <c r="L116" s="8">
        <f t="shared" si="46"/>
        <v>371770.05599999998</v>
      </c>
      <c r="M116" s="8"/>
      <c r="N116" s="8"/>
      <c r="O116" s="15">
        <f t="shared" si="47"/>
        <v>0</v>
      </c>
      <c r="P116" s="15">
        <f t="shared" si="48"/>
        <v>0</v>
      </c>
      <c r="Q116" s="8"/>
      <c r="R116" s="159"/>
      <c r="S116" s="7" t="s">
        <v>859</v>
      </c>
      <c r="T116" s="7" t="s">
        <v>181</v>
      </c>
      <c r="U116" s="7" t="s">
        <v>860</v>
      </c>
      <c r="V116" s="7">
        <v>1</v>
      </c>
      <c r="W116" s="9" t="s">
        <v>861</v>
      </c>
      <c r="X116" s="10">
        <v>45309</v>
      </c>
      <c r="Y116" s="7" t="s">
        <v>67</v>
      </c>
      <c r="Z116" s="7" t="s">
        <v>157</v>
      </c>
      <c r="AA116" s="7"/>
      <c r="AB116" s="9"/>
      <c r="AC116" s="9">
        <v>105</v>
      </c>
      <c r="AD116" s="9"/>
      <c r="AE116" s="9"/>
      <c r="AF116" s="9"/>
      <c r="AG116" s="9"/>
      <c r="AH116" s="9"/>
      <c r="AI116" s="9">
        <v>335</v>
      </c>
      <c r="AJ116" s="9">
        <v>318</v>
      </c>
      <c r="AK116" s="9"/>
      <c r="AL116" s="9"/>
      <c r="AM116" s="9"/>
      <c r="AN116" s="9"/>
      <c r="AO116" s="9"/>
      <c r="AP116" s="9">
        <f t="shared" si="26"/>
        <v>3</v>
      </c>
      <c r="AQ116" s="62">
        <f t="shared" si="27"/>
        <v>252.66666666666666</v>
      </c>
      <c r="AR116" s="11" t="str">
        <f>IF(AQ116&gt;='Aprovados Recursos do Fundo'!$AQ$1,"APROVADO","REPROVADO")</f>
        <v>APROVADO</v>
      </c>
      <c r="AS116" s="65"/>
      <c r="AT116" s="65"/>
      <c r="AU116" s="151"/>
      <c r="AV116" s="65"/>
      <c r="AW116" s="65"/>
      <c r="AX116" s="65"/>
      <c r="AY116" s="65"/>
      <c r="AZ116" s="65"/>
      <c r="BA116" s="65"/>
      <c r="BB116" s="65"/>
      <c r="BC116" s="34"/>
      <c r="BD116" s="65"/>
    </row>
    <row r="117" spans="2:56" s="64" customFormat="1" ht="39.950000000000003" hidden="1" customHeight="1" x14ac:dyDescent="0.25">
      <c r="B117" s="5">
        <v>167</v>
      </c>
      <c r="C117" s="6" t="s">
        <v>881</v>
      </c>
      <c r="D117" s="101" t="s">
        <v>4067</v>
      </c>
      <c r="E117" s="5" t="s">
        <v>33</v>
      </c>
      <c r="F117" s="5" t="s">
        <v>882</v>
      </c>
      <c r="G117" s="5" t="s">
        <v>883</v>
      </c>
      <c r="H117" s="7" t="s">
        <v>107</v>
      </c>
      <c r="I117" s="8">
        <v>234836</v>
      </c>
      <c r="J117" s="8"/>
      <c r="K117" s="8"/>
      <c r="L117" s="8">
        <f t="shared" si="46"/>
        <v>281803.2</v>
      </c>
      <c r="M117" s="8"/>
      <c r="N117" s="8"/>
      <c r="O117" s="15">
        <f t="shared" si="47"/>
        <v>0</v>
      </c>
      <c r="P117" s="15">
        <f t="shared" si="48"/>
        <v>0</v>
      </c>
      <c r="Q117" s="8"/>
      <c r="R117" s="159"/>
      <c r="S117" s="7" t="s">
        <v>884</v>
      </c>
      <c r="T117" s="7" t="s">
        <v>254</v>
      </c>
      <c r="U117" s="7" t="s">
        <v>885</v>
      </c>
      <c r="V117" s="7"/>
      <c r="W117" s="7" t="s">
        <v>886</v>
      </c>
      <c r="X117" s="10">
        <v>45310</v>
      </c>
      <c r="Y117" s="5" t="s">
        <v>67</v>
      </c>
      <c r="Z117" s="7" t="s">
        <v>89</v>
      </c>
      <c r="AA117" s="7" t="s">
        <v>90</v>
      </c>
      <c r="AB117" s="9">
        <v>302</v>
      </c>
      <c r="AC117" s="9">
        <v>181</v>
      </c>
      <c r="AD117" s="9">
        <v>232</v>
      </c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>
        <f t="shared" si="26"/>
        <v>3</v>
      </c>
      <c r="AQ117" s="62">
        <f t="shared" si="27"/>
        <v>238.33333333333334</v>
      </c>
      <c r="AR117" s="11" t="str">
        <f>IF(AQ117&gt;='Aprovados Recursos do Fundo'!$AQ$1,"APROVADO","REPROVADO")</f>
        <v>APROVADO</v>
      </c>
      <c r="AS117" s="65"/>
      <c r="AT117" s="65"/>
      <c r="AU117" s="151"/>
      <c r="AV117" s="65"/>
      <c r="AW117" s="65"/>
      <c r="AX117" s="65"/>
      <c r="AY117" s="65"/>
      <c r="AZ117" s="65"/>
      <c r="BA117" s="65"/>
      <c r="BB117" s="65"/>
      <c r="BC117" s="34"/>
      <c r="BD117" s="65"/>
    </row>
    <row r="118" spans="2:56" s="64" customFormat="1" ht="39.950000000000003" hidden="1" customHeight="1" x14ac:dyDescent="0.25">
      <c r="B118" s="5">
        <v>170</v>
      </c>
      <c r="C118" s="22" t="s">
        <v>899</v>
      </c>
      <c r="D118" s="99"/>
      <c r="E118" s="5" t="s">
        <v>51</v>
      </c>
      <c r="F118" s="59" t="s">
        <v>894</v>
      </c>
      <c r="G118" s="11" t="s">
        <v>900</v>
      </c>
      <c r="H118" s="11" t="s">
        <v>107</v>
      </c>
      <c r="I118" s="41">
        <v>200000</v>
      </c>
      <c r="J118" s="41"/>
      <c r="K118" s="41"/>
      <c r="L118" s="8">
        <v>240000</v>
      </c>
      <c r="M118" s="41"/>
      <c r="N118" s="41"/>
      <c r="O118" s="41"/>
      <c r="P118" s="41"/>
      <c r="Q118" s="41"/>
      <c r="R118" s="159"/>
      <c r="S118" s="7" t="s">
        <v>896</v>
      </c>
      <c r="T118" s="7" t="s">
        <v>123</v>
      </c>
      <c r="U118" s="9" t="s">
        <v>901</v>
      </c>
      <c r="V118" s="9"/>
      <c r="W118" s="9" t="s">
        <v>902</v>
      </c>
      <c r="X118" s="34">
        <v>45310</v>
      </c>
      <c r="Y118" s="9" t="s">
        <v>41</v>
      </c>
      <c r="Z118" s="9"/>
      <c r="AA118" s="65"/>
      <c r="AB118" s="9">
        <v>330</v>
      </c>
      <c r="AC118" s="9">
        <v>232</v>
      </c>
      <c r="AD118" s="9"/>
      <c r="AE118" s="9"/>
      <c r="AF118" s="9"/>
      <c r="AG118" s="9"/>
      <c r="AH118" s="9"/>
      <c r="AI118" s="9"/>
      <c r="AJ118" s="9"/>
      <c r="AK118" s="9">
        <v>305</v>
      </c>
      <c r="AL118" s="9"/>
      <c r="AM118" s="9"/>
      <c r="AN118" s="9"/>
      <c r="AO118" s="9"/>
      <c r="AP118" s="9">
        <f t="shared" si="26"/>
        <v>3</v>
      </c>
      <c r="AQ118" s="62">
        <f t="shared" si="27"/>
        <v>289</v>
      </c>
      <c r="AR118" s="11" t="str">
        <f>IF(AQ118&gt;=$AR$1,"APROVADO","REPROVADO")</f>
        <v>APROVADO</v>
      </c>
      <c r="AS118" s="65"/>
      <c r="AT118" s="65"/>
      <c r="AU118" s="151"/>
      <c r="AV118" s="65"/>
      <c r="AW118" s="65"/>
      <c r="AX118" s="65"/>
      <c r="AY118" s="65"/>
      <c r="AZ118" s="65"/>
      <c r="BA118" s="65"/>
      <c r="BB118" s="65"/>
      <c r="BC118" s="34"/>
      <c r="BD118" s="65"/>
    </row>
    <row r="119" spans="2:56" s="64" customFormat="1" ht="39.950000000000003" hidden="1" customHeight="1" x14ac:dyDescent="0.25">
      <c r="B119" s="5">
        <v>171</v>
      </c>
      <c r="C119" s="6" t="s">
        <v>903</v>
      </c>
      <c r="D119" s="101" t="s">
        <v>4068</v>
      </c>
      <c r="E119" s="5" t="s">
        <v>33</v>
      </c>
      <c r="F119" s="7" t="s">
        <v>904</v>
      </c>
      <c r="G119" s="7" t="s">
        <v>905</v>
      </c>
      <c r="H119" s="7" t="s">
        <v>36</v>
      </c>
      <c r="I119" s="8">
        <v>11850.05</v>
      </c>
      <c r="J119" s="8"/>
      <c r="K119" s="8"/>
      <c r="L119" s="8">
        <f t="shared" ref="L119:L122" si="50">I119*1.2</f>
        <v>14220.06</v>
      </c>
      <c r="M119" s="8"/>
      <c r="N119" s="8"/>
      <c r="O119" s="15">
        <f t="shared" ref="O119:O122" si="51">M119*0.83333332117758</f>
        <v>0</v>
      </c>
      <c r="P119" s="15">
        <f t="shared" ref="P119:P122" si="52">M119*0.16666667882242</f>
        <v>0</v>
      </c>
      <c r="Q119" s="8"/>
      <c r="R119" s="159"/>
      <c r="S119" s="7" t="s">
        <v>896</v>
      </c>
      <c r="T119" s="7" t="s">
        <v>123</v>
      </c>
      <c r="U119" s="7" t="s">
        <v>906</v>
      </c>
      <c r="V119" s="7"/>
      <c r="W119" s="9" t="s">
        <v>907</v>
      </c>
      <c r="X119" s="10">
        <v>45554</v>
      </c>
      <c r="Y119" s="7" t="s">
        <v>67</v>
      </c>
      <c r="Z119" s="7"/>
      <c r="AA119" s="65"/>
      <c r="AB119" s="9"/>
      <c r="AC119" s="9">
        <v>229</v>
      </c>
      <c r="AD119" s="9"/>
      <c r="AE119" s="9"/>
      <c r="AF119" s="9"/>
      <c r="AG119" s="9">
        <v>340</v>
      </c>
      <c r="AH119" s="9">
        <v>316</v>
      </c>
      <c r="AI119" s="9"/>
      <c r="AJ119" s="9"/>
      <c r="AK119" s="9"/>
      <c r="AL119" s="9"/>
      <c r="AM119" s="9"/>
      <c r="AN119" s="9"/>
      <c r="AO119" s="9"/>
      <c r="AP119" s="9">
        <f t="shared" si="26"/>
        <v>3</v>
      </c>
      <c r="AQ119" s="62">
        <f t="shared" si="27"/>
        <v>295</v>
      </c>
      <c r="AR119" s="11" t="str">
        <f>IF(AQ119&gt;='Aprovados Recursos do Fundo'!$AQ$1,"APROVADO","REPROVADO")</f>
        <v>APROVADO</v>
      </c>
      <c r="AS119" s="65"/>
      <c r="AT119" s="65"/>
      <c r="AU119" s="151"/>
      <c r="AV119" s="65"/>
      <c r="AW119" s="65"/>
      <c r="AX119" s="65"/>
      <c r="AY119" s="65"/>
      <c r="AZ119" s="65"/>
      <c r="BA119" s="65"/>
      <c r="BB119" s="65"/>
      <c r="BC119" s="34"/>
      <c r="BD119" s="65"/>
    </row>
    <row r="120" spans="2:56" s="64" customFormat="1" ht="39.950000000000003" hidden="1" customHeight="1" x14ac:dyDescent="0.25">
      <c r="B120" s="5">
        <v>172</v>
      </c>
      <c r="C120" s="6" t="s">
        <v>908</v>
      </c>
      <c r="D120" s="101" t="s">
        <v>4069</v>
      </c>
      <c r="E120" s="5" t="s">
        <v>33</v>
      </c>
      <c r="F120" s="5" t="s">
        <v>909</v>
      </c>
      <c r="G120" s="7" t="s">
        <v>910</v>
      </c>
      <c r="H120" s="7" t="s">
        <v>36</v>
      </c>
      <c r="I120" s="8">
        <v>249590</v>
      </c>
      <c r="J120" s="8"/>
      <c r="K120" s="8"/>
      <c r="L120" s="8">
        <f t="shared" si="50"/>
        <v>299508</v>
      </c>
      <c r="M120" s="8"/>
      <c r="N120" s="8"/>
      <c r="O120" s="15">
        <f t="shared" si="51"/>
        <v>0</v>
      </c>
      <c r="P120" s="15">
        <f t="shared" si="52"/>
        <v>0</v>
      </c>
      <c r="Q120" s="8"/>
      <c r="R120" s="159"/>
      <c r="S120" s="7" t="s">
        <v>73</v>
      </c>
      <c r="T120" s="7" t="s">
        <v>74</v>
      </c>
      <c r="U120" s="7" t="s">
        <v>911</v>
      </c>
      <c r="V120" s="7"/>
      <c r="W120" s="9" t="s">
        <v>912</v>
      </c>
      <c r="X120" s="10">
        <v>45310</v>
      </c>
      <c r="Y120" s="7" t="s">
        <v>67</v>
      </c>
      <c r="Z120" s="7"/>
      <c r="AA120" s="65"/>
      <c r="AB120" s="9"/>
      <c r="AC120" s="9">
        <v>211</v>
      </c>
      <c r="AD120" s="9"/>
      <c r="AE120" s="9"/>
      <c r="AF120" s="9"/>
      <c r="AG120" s="9"/>
      <c r="AH120" s="9"/>
      <c r="AI120" s="9">
        <v>297</v>
      </c>
      <c r="AJ120" s="9">
        <v>297</v>
      </c>
      <c r="AK120" s="9"/>
      <c r="AL120" s="9"/>
      <c r="AM120" s="9"/>
      <c r="AN120" s="9"/>
      <c r="AO120" s="9"/>
      <c r="AP120" s="9">
        <f t="shared" si="26"/>
        <v>3</v>
      </c>
      <c r="AQ120" s="62">
        <f t="shared" si="27"/>
        <v>268.33333333333331</v>
      </c>
      <c r="AR120" s="11" t="str">
        <f>IF(AQ120&gt;='Aprovados Recursos do Fundo'!$AQ$1,"APROVADO","REPROVADO")</f>
        <v>APROVADO</v>
      </c>
      <c r="AS120" s="65"/>
      <c r="AT120" s="65"/>
      <c r="AU120" s="151"/>
      <c r="AV120" s="65"/>
      <c r="AW120" s="65"/>
      <c r="AX120" s="65"/>
      <c r="AY120" s="65"/>
      <c r="AZ120" s="65"/>
      <c r="BA120" s="65"/>
      <c r="BB120" s="65"/>
      <c r="BC120" s="34"/>
      <c r="BD120" s="65"/>
    </row>
    <row r="121" spans="2:56" s="64" customFormat="1" ht="39.950000000000003" hidden="1" customHeight="1" x14ac:dyDescent="0.25">
      <c r="B121" s="5">
        <v>174</v>
      </c>
      <c r="C121" s="6" t="s">
        <v>918</v>
      </c>
      <c r="D121" s="100" t="s">
        <v>4070</v>
      </c>
      <c r="E121" s="5" t="s">
        <v>33</v>
      </c>
      <c r="F121" s="5" t="s">
        <v>919</v>
      </c>
      <c r="G121" s="7" t="s">
        <v>920</v>
      </c>
      <c r="H121" s="7" t="s">
        <v>107</v>
      </c>
      <c r="I121" s="8">
        <v>200000</v>
      </c>
      <c r="J121" s="8"/>
      <c r="K121" s="8"/>
      <c r="L121" s="8">
        <f t="shared" si="50"/>
        <v>240000</v>
      </c>
      <c r="M121" s="8"/>
      <c r="N121" s="8"/>
      <c r="O121" s="15">
        <f t="shared" si="51"/>
        <v>0</v>
      </c>
      <c r="P121" s="15">
        <f t="shared" si="52"/>
        <v>0</v>
      </c>
      <c r="Q121" s="8"/>
      <c r="R121" s="159"/>
      <c r="S121" s="7" t="s">
        <v>921</v>
      </c>
      <c r="T121" s="7" t="s">
        <v>162</v>
      </c>
      <c r="U121" s="7" t="s">
        <v>922</v>
      </c>
      <c r="V121" s="7">
        <v>1</v>
      </c>
      <c r="W121" s="9" t="s">
        <v>923</v>
      </c>
      <c r="X121" s="10">
        <v>45554</v>
      </c>
      <c r="Y121" s="7" t="s">
        <v>67</v>
      </c>
      <c r="Z121" s="7"/>
      <c r="AA121" s="65"/>
      <c r="AB121" s="9"/>
      <c r="AC121" s="9">
        <v>228</v>
      </c>
      <c r="AD121" s="9"/>
      <c r="AE121" s="9"/>
      <c r="AF121" s="9"/>
      <c r="AG121" s="9"/>
      <c r="AH121" s="9"/>
      <c r="AI121" s="9">
        <v>297</v>
      </c>
      <c r="AJ121" s="9">
        <v>292</v>
      </c>
      <c r="AK121" s="9"/>
      <c r="AL121" s="9"/>
      <c r="AM121" s="9"/>
      <c r="AN121" s="9"/>
      <c r="AO121" s="9"/>
      <c r="AP121" s="9">
        <f t="shared" si="26"/>
        <v>3</v>
      </c>
      <c r="AQ121" s="62">
        <f t="shared" si="27"/>
        <v>272.33333333333331</v>
      </c>
      <c r="AR121" s="11" t="str">
        <f>IF(AQ121&gt;='Aprovados Recursos do Fundo'!$AQ$1,"APROVADO","REPROVADO")</f>
        <v>APROVADO</v>
      </c>
      <c r="AS121" s="65"/>
      <c r="AT121" s="65"/>
      <c r="AU121" s="151"/>
      <c r="AV121" s="65"/>
      <c r="AW121" s="65"/>
      <c r="AX121" s="65"/>
      <c r="AY121" s="65"/>
      <c r="AZ121" s="65"/>
      <c r="BA121" s="65"/>
      <c r="BB121" s="65"/>
      <c r="BC121" s="34"/>
      <c r="BD121" s="65"/>
    </row>
    <row r="122" spans="2:56" s="64" customFormat="1" ht="39.950000000000003" hidden="1" customHeight="1" x14ac:dyDescent="0.25">
      <c r="B122" s="5">
        <v>177</v>
      </c>
      <c r="C122" s="27" t="s">
        <v>935</v>
      </c>
      <c r="D122" s="100" t="s">
        <v>4071</v>
      </c>
      <c r="E122" s="5" t="s">
        <v>33</v>
      </c>
      <c r="F122" s="5" t="s">
        <v>936</v>
      </c>
      <c r="G122" s="7" t="s">
        <v>937</v>
      </c>
      <c r="H122" s="7" t="s">
        <v>36</v>
      </c>
      <c r="I122" s="8">
        <v>74967.12</v>
      </c>
      <c r="J122" s="8"/>
      <c r="K122" s="8"/>
      <c r="L122" s="8">
        <f t="shared" si="50"/>
        <v>89960.543999999994</v>
      </c>
      <c r="M122" s="8"/>
      <c r="N122" s="8"/>
      <c r="O122" s="15">
        <f t="shared" si="51"/>
        <v>0</v>
      </c>
      <c r="P122" s="15">
        <f t="shared" si="52"/>
        <v>0</v>
      </c>
      <c r="Q122" s="8"/>
      <c r="R122" s="159"/>
      <c r="S122" s="7" t="s">
        <v>938</v>
      </c>
      <c r="T122" s="7" t="s">
        <v>115</v>
      </c>
      <c r="U122" s="7" t="s">
        <v>939</v>
      </c>
      <c r="V122" s="7">
        <v>1</v>
      </c>
      <c r="W122" s="9" t="s">
        <v>940</v>
      </c>
      <c r="X122" s="10">
        <v>45314</v>
      </c>
      <c r="Y122" s="7" t="s">
        <v>41</v>
      </c>
      <c r="Z122" s="7"/>
      <c r="AA122" s="7"/>
      <c r="AB122" s="9">
        <v>332</v>
      </c>
      <c r="AC122" s="9">
        <v>153</v>
      </c>
      <c r="AD122" s="9"/>
      <c r="AE122" s="9"/>
      <c r="AF122" s="9"/>
      <c r="AG122" s="9"/>
      <c r="AH122" s="9"/>
      <c r="AI122" s="9"/>
      <c r="AJ122" s="9"/>
      <c r="AK122" s="9"/>
      <c r="AL122" s="9"/>
      <c r="AM122" s="9">
        <v>330</v>
      </c>
      <c r="AN122" s="9"/>
      <c r="AO122" s="9"/>
      <c r="AP122" s="9">
        <f t="shared" si="26"/>
        <v>3</v>
      </c>
      <c r="AQ122" s="62">
        <f t="shared" si="27"/>
        <v>271.66666666666669</v>
      </c>
      <c r="AR122" s="11" t="str">
        <f>IF(AQ122&gt;='Aprovados Recursos do Fundo'!$AQ$1,"APROVADO","REPROVADO")</f>
        <v>APROVADO</v>
      </c>
      <c r="AS122" s="65"/>
      <c r="AT122" s="65"/>
      <c r="AU122" s="151"/>
      <c r="AV122" s="65"/>
      <c r="AW122" s="65"/>
      <c r="AX122" s="65"/>
      <c r="AY122" s="65"/>
      <c r="AZ122" s="65"/>
      <c r="BA122" s="65"/>
      <c r="BB122" s="65"/>
      <c r="BC122" s="34"/>
      <c r="BD122" s="65"/>
    </row>
    <row r="123" spans="2:56" s="64" customFormat="1" ht="39.950000000000003" hidden="1" customHeight="1" x14ac:dyDescent="0.25">
      <c r="B123" s="5">
        <v>180</v>
      </c>
      <c r="C123" s="22" t="s">
        <v>954</v>
      </c>
      <c r="D123" s="9"/>
      <c r="E123" s="5" t="s">
        <v>51</v>
      </c>
      <c r="F123" s="9" t="s">
        <v>955</v>
      </c>
      <c r="G123" s="9" t="s">
        <v>956</v>
      </c>
      <c r="H123" s="11" t="s">
        <v>107</v>
      </c>
      <c r="I123" s="41">
        <v>60000</v>
      </c>
      <c r="J123" s="41"/>
      <c r="K123" s="41"/>
      <c r="L123" s="8">
        <v>72000</v>
      </c>
      <c r="M123" s="41"/>
      <c r="N123" s="41"/>
      <c r="O123" s="41"/>
      <c r="P123" s="41"/>
      <c r="Q123" s="41"/>
      <c r="R123" s="159"/>
      <c r="S123" s="9" t="s">
        <v>957</v>
      </c>
      <c r="T123" s="11" t="s">
        <v>189</v>
      </c>
      <c r="U123" s="9" t="s">
        <v>958</v>
      </c>
      <c r="V123" s="9"/>
      <c r="W123" s="9" t="s">
        <v>959</v>
      </c>
      <c r="X123" s="34">
        <v>45314</v>
      </c>
      <c r="Y123" s="9" t="s">
        <v>41</v>
      </c>
      <c r="Z123" s="9"/>
      <c r="AA123" s="9"/>
      <c r="AB123" s="9">
        <v>340</v>
      </c>
      <c r="AC123" s="9">
        <v>139</v>
      </c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>
        <v>291</v>
      </c>
      <c r="AO123" s="9"/>
      <c r="AP123" s="9">
        <f t="shared" si="26"/>
        <v>3</v>
      </c>
      <c r="AQ123" s="62">
        <f t="shared" si="27"/>
        <v>256.66666666666669</v>
      </c>
      <c r="AR123" s="11" t="str">
        <f>IF(AQ123&gt;='Aprovados Recursos do Fundo'!$AQ$1,"APROVADO","REPROVADO")</f>
        <v>APROVADO</v>
      </c>
      <c r="AS123" s="65"/>
      <c r="AT123" s="65"/>
      <c r="AU123" s="151"/>
      <c r="AV123" s="65"/>
      <c r="AW123" s="65"/>
      <c r="AX123" s="65"/>
      <c r="AY123" s="65"/>
      <c r="AZ123" s="65"/>
      <c r="BA123" s="65"/>
      <c r="BB123" s="65"/>
      <c r="BC123" s="34"/>
      <c r="BD123" s="65"/>
    </row>
    <row r="124" spans="2:56" s="64" customFormat="1" ht="39.950000000000003" hidden="1" customHeight="1" x14ac:dyDescent="0.25">
      <c r="B124" s="5">
        <v>182</v>
      </c>
      <c r="C124" s="6" t="s">
        <v>973</v>
      </c>
      <c r="D124" s="101" t="s">
        <v>4072</v>
      </c>
      <c r="E124" s="5" t="s">
        <v>33</v>
      </c>
      <c r="F124" s="5" t="s">
        <v>974</v>
      </c>
      <c r="G124" s="5" t="s">
        <v>975</v>
      </c>
      <c r="H124" s="7" t="s">
        <v>45</v>
      </c>
      <c r="I124" s="8">
        <v>117517.32</v>
      </c>
      <c r="J124" s="8"/>
      <c r="K124" s="8"/>
      <c r="L124" s="8">
        <f t="shared" ref="L124:L126" si="53">I124*1.2</f>
        <v>141020.78400000001</v>
      </c>
      <c r="M124" s="8"/>
      <c r="N124" s="8"/>
      <c r="O124" s="15">
        <f t="shared" ref="O124:O126" si="54">M124*0.83333332117758</f>
        <v>0</v>
      </c>
      <c r="P124" s="15">
        <f t="shared" ref="P124:P126" si="55">M124*0.16666667882242</f>
        <v>0</v>
      </c>
      <c r="Q124" s="8"/>
      <c r="R124" s="159"/>
      <c r="S124" s="7" t="s">
        <v>976</v>
      </c>
      <c r="T124" s="7" t="s">
        <v>445</v>
      </c>
      <c r="U124" s="7" t="s">
        <v>977</v>
      </c>
      <c r="V124" s="7"/>
      <c r="W124" s="37" t="s">
        <v>978</v>
      </c>
      <c r="X124" s="10">
        <v>45315</v>
      </c>
      <c r="Y124" s="5" t="s">
        <v>67</v>
      </c>
      <c r="Z124" s="7" t="s">
        <v>89</v>
      </c>
      <c r="AA124" s="7" t="s">
        <v>979</v>
      </c>
      <c r="AB124" s="5">
        <v>340</v>
      </c>
      <c r="AC124" s="9">
        <v>148</v>
      </c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>
        <v>338</v>
      </c>
      <c r="AO124" s="9"/>
      <c r="AP124" s="9">
        <f t="shared" si="26"/>
        <v>3</v>
      </c>
      <c r="AQ124" s="62">
        <f t="shared" si="27"/>
        <v>275.33333333333331</v>
      </c>
      <c r="AR124" s="11" t="str">
        <f>IF(AQ124&gt;='Aprovados Recursos do Fundo'!$AQ$1,"APROVADO","REPROVADO")</f>
        <v>APROVADO</v>
      </c>
      <c r="AS124" s="65"/>
      <c r="AT124" s="65"/>
      <c r="AU124" s="151"/>
      <c r="AV124" s="65"/>
      <c r="AW124" s="65"/>
      <c r="AX124" s="65"/>
      <c r="AY124" s="65"/>
      <c r="AZ124" s="65"/>
      <c r="BA124" s="65"/>
      <c r="BB124" s="65"/>
      <c r="BC124" s="34"/>
      <c r="BD124" s="65"/>
    </row>
    <row r="125" spans="2:56" s="64" customFormat="1" ht="39.950000000000003" hidden="1" customHeight="1" x14ac:dyDescent="0.25">
      <c r="B125" s="5">
        <v>183</v>
      </c>
      <c r="C125" s="6" t="s">
        <v>980</v>
      </c>
      <c r="D125" s="99" t="s">
        <v>4073</v>
      </c>
      <c r="E125" s="5" t="s">
        <v>33</v>
      </c>
      <c r="F125" s="5" t="s">
        <v>981</v>
      </c>
      <c r="G125" s="5" t="s">
        <v>45</v>
      </c>
      <c r="H125" s="7" t="s">
        <v>45</v>
      </c>
      <c r="I125" s="8">
        <v>130000</v>
      </c>
      <c r="J125" s="8"/>
      <c r="K125" s="8"/>
      <c r="L125" s="8">
        <f t="shared" si="53"/>
        <v>156000</v>
      </c>
      <c r="M125" s="8"/>
      <c r="N125" s="8"/>
      <c r="O125" s="15">
        <f t="shared" si="54"/>
        <v>0</v>
      </c>
      <c r="P125" s="15">
        <f t="shared" si="55"/>
        <v>0</v>
      </c>
      <c r="Q125" s="8"/>
      <c r="R125" s="159"/>
      <c r="S125" s="7" t="s">
        <v>976</v>
      </c>
      <c r="T125" s="7" t="s">
        <v>445</v>
      </c>
      <c r="U125" s="7" t="s">
        <v>982</v>
      </c>
      <c r="V125" s="7"/>
      <c r="W125" s="9" t="s">
        <v>983</v>
      </c>
      <c r="X125" s="10">
        <v>45315</v>
      </c>
      <c r="Y125" s="5" t="s">
        <v>67</v>
      </c>
      <c r="Z125" s="7" t="s">
        <v>89</v>
      </c>
      <c r="AA125" s="7" t="s">
        <v>984</v>
      </c>
      <c r="AB125" s="5">
        <v>340</v>
      </c>
      <c r="AC125" s="9">
        <v>160</v>
      </c>
      <c r="AD125" s="9">
        <v>234</v>
      </c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>
        <f t="shared" si="26"/>
        <v>3</v>
      </c>
      <c r="AQ125" s="62">
        <f t="shared" si="27"/>
        <v>244.66666666666666</v>
      </c>
      <c r="AR125" s="11" t="str">
        <f>IF(AQ125&gt;='Aprovados Recursos do Fundo'!$AQ$1,"APROVADO","REPROVADO")</f>
        <v>APROVADO</v>
      </c>
      <c r="AS125" s="65"/>
      <c r="AT125" s="65"/>
      <c r="AU125" s="151"/>
      <c r="AV125" s="65"/>
      <c r="AW125" s="65"/>
      <c r="AX125" s="65"/>
      <c r="AY125" s="65"/>
      <c r="AZ125" s="65"/>
      <c r="BA125" s="65"/>
      <c r="BB125" s="65"/>
      <c r="BC125" s="34"/>
      <c r="BD125" s="65"/>
    </row>
    <row r="126" spans="2:56" s="64" customFormat="1" ht="39.950000000000003" hidden="1" customHeight="1" x14ac:dyDescent="0.25">
      <c r="B126" s="5">
        <v>184</v>
      </c>
      <c r="C126" s="6" t="s">
        <v>985</v>
      </c>
      <c r="D126" s="100" t="s">
        <v>4074</v>
      </c>
      <c r="E126" s="5" t="s">
        <v>33</v>
      </c>
      <c r="F126" s="5" t="s">
        <v>986</v>
      </c>
      <c r="G126" s="5" t="s">
        <v>987</v>
      </c>
      <c r="H126" s="7" t="s">
        <v>107</v>
      </c>
      <c r="I126" s="8">
        <v>1347817.58</v>
      </c>
      <c r="J126" s="8"/>
      <c r="K126" s="8"/>
      <c r="L126" s="8">
        <f t="shared" si="53"/>
        <v>1617381.0960000001</v>
      </c>
      <c r="M126" s="8"/>
      <c r="N126" s="8"/>
      <c r="O126" s="15">
        <f t="shared" si="54"/>
        <v>0</v>
      </c>
      <c r="P126" s="15">
        <f t="shared" si="55"/>
        <v>0</v>
      </c>
      <c r="Q126" s="8"/>
      <c r="R126" s="159"/>
      <c r="S126" s="7" t="s">
        <v>73</v>
      </c>
      <c r="T126" s="5" t="s">
        <v>74</v>
      </c>
      <c r="U126" s="7" t="s">
        <v>4075</v>
      </c>
      <c r="V126" s="7">
        <v>1</v>
      </c>
      <c r="W126" s="31" t="s">
        <v>4076</v>
      </c>
      <c r="X126" s="10">
        <v>45315</v>
      </c>
      <c r="Y126" s="5" t="s">
        <v>67</v>
      </c>
      <c r="Z126" s="7" t="s">
        <v>375</v>
      </c>
      <c r="AA126" s="7"/>
      <c r="AB126" s="5">
        <v>322</v>
      </c>
      <c r="AC126" s="9">
        <v>157</v>
      </c>
      <c r="AD126" s="9">
        <v>249</v>
      </c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>
        <f t="shared" si="26"/>
        <v>3</v>
      </c>
      <c r="AQ126" s="62">
        <f t="shared" si="27"/>
        <v>242.66666666666666</v>
      </c>
      <c r="AR126" s="11" t="str">
        <f>IF(AQ126&gt;='Aprovados Recursos do Fundo'!$AQ$1,"APROVADO","REPROVADO")</f>
        <v>APROVADO</v>
      </c>
      <c r="AS126" s="65"/>
      <c r="AT126" s="65"/>
      <c r="AU126" s="151"/>
      <c r="AV126" s="65"/>
      <c r="AW126" s="65"/>
      <c r="AX126" s="65"/>
      <c r="AY126" s="65"/>
      <c r="AZ126" s="65"/>
      <c r="BA126" s="65"/>
      <c r="BB126" s="65"/>
      <c r="BC126" s="34"/>
      <c r="BD126" s="65"/>
    </row>
    <row r="127" spans="2:56" s="64" customFormat="1" ht="39.950000000000003" hidden="1" customHeight="1" x14ac:dyDescent="0.25">
      <c r="B127" s="5">
        <v>186</v>
      </c>
      <c r="C127" s="22" t="s">
        <v>996</v>
      </c>
      <c r="D127" s="9"/>
      <c r="E127" s="5" t="s">
        <v>51</v>
      </c>
      <c r="F127" s="9" t="s">
        <v>997</v>
      </c>
      <c r="G127" s="9" t="s">
        <v>998</v>
      </c>
      <c r="H127" s="11" t="s">
        <v>107</v>
      </c>
      <c r="I127" s="41">
        <v>270680</v>
      </c>
      <c r="J127" s="41"/>
      <c r="K127" s="41"/>
      <c r="L127" s="8">
        <v>324816</v>
      </c>
      <c r="M127" s="41"/>
      <c r="N127" s="41"/>
      <c r="O127" s="41"/>
      <c r="P127" s="41"/>
      <c r="Q127" s="41"/>
      <c r="R127" s="159"/>
      <c r="S127" s="9" t="s">
        <v>999</v>
      </c>
      <c r="T127" s="11" t="s">
        <v>189</v>
      </c>
      <c r="U127" s="9" t="s">
        <v>1000</v>
      </c>
      <c r="V127" s="9"/>
      <c r="W127" s="9" t="s">
        <v>1001</v>
      </c>
      <c r="X127" s="34">
        <v>45315</v>
      </c>
      <c r="Y127" s="9" t="s">
        <v>41</v>
      </c>
      <c r="Z127" s="11"/>
      <c r="AA127" s="9"/>
      <c r="AB127" s="9">
        <v>291</v>
      </c>
      <c r="AC127" s="9">
        <v>180</v>
      </c>
      <c r="AD127" s="9"/>
      <c r="AE127" s="9"/>
      <c r="AF127" s="9"/>
      <c r="AG127" s="9"/>
      <c r="AH127" s="9"/>
      <c r="AI127" s="9"/>
      <c r="AJ127" s="9"/>
      <c r="AK127" s="9">
        <v>242</v>
      </c>
      <c r="AL127" s="9"/>
      <c r="AM127" s="9"/>
      <c r="AN127" s="65"/>
      <c r="AO127" s="65"/>
      <c r="AP127" s="9">
        <f t="shared" si="26"/>
        <v>3</v>
      </c>
      <c r="AQ127" s="62">
        <f t="shared" si="27"/>
        <v>237.66666666666666</v>
      </c>
      <c r="AR127" s="11" t="str">
        <f>IF(AQ127&gt;='Aprovados Recursos do Fundo'!$AQ$1,"APROVADO","REPROVADO")</f>
        <v>APROVADO</v>
      </c>
      <c r="AS127" s="65"/>
      <c r="AT127" s="65"/>
      <c r="AU127" s="151"/>
      <c r="AV127" s="65"/>
      <c r="AW127" s="65"/>
      <c r="AX127" s="65"/>
      <c r="AY127" s="65"/>
      <c r="AZ127" s="65"/>
      <c r="BA127" s="65"/>
      <c r="BB127" s="65"/>
      <c r="BC127" s="34"/>
      <c r="BD127" s="65"/>
    </row>
    <row r="128" spans="2:56" s="64" customFormat="1" ht="39.950000000000003" hidden="1" customHeight="1" x14ac:dyDescent="0.25">
      <c r="B128" s="5">
        <v>187</v>
      </c>
      <c r="C128" s="6" t="s">
        <v>1002</v>
      </c>
      <c r="D128" s="100" t="s">
        <v>4077</v>
      </c>
      <c r="E128" s="5" t="s">
        <v>33</v>
      </c>
      <c r="F128" s="5" t="s">
        <v>1003</v>
      </c>
      <c r="G128" s="7" t="s">
        <v>1004</v>
      </c>
      <c r="H128" s="7" t="s">
        <v>36</v>
      </c>
      <c r="I128" s="8">
        <v>278842.44</v>
      </c>
      <c r="J128" s="8"/>
      <c r="K128" s="8"/>
      <c r="L128" s="8">
        <f t="shared" ref="L128:L137" si="56">I128*1.2</f>
        <v>334610.92800000001</v>
      </c>
      <c r="M128" s="8"/>
      <c r="N128" s="8"/>
      <c r="O128" s="15">
        <f t="shared" ref="O128:O137" si="57">M128*0.83333332117758</f>
        <v>0</v>
      </c>
      <c r="P128" s="15">
        <f t="shared" ref="P128:P137" si="58">M128*0.16666667882242</f>
        <v>0</v>
      </c>
      <c r="Q128" s="8"/>
      <c r="R128" s="159"/>
      <c r="S128" s="7" t="s">
        <v>1005</v>
      </c>
      <c r="T128" s="7" t="s">
        <v>391</v>
      </c>
      <c r="U128" s="7" t="s">
        <v>1006</v>
      </c>
      <c r="V128" s="7">
        <v>1</v>
      </c>
      <c r="W128" s="23" t="s">
        <v>1007</v>
      </c>
      <c r="X128" s="10">
        <v>45315</v>
      </c>
      <c r="Y128" s="7" t="s">
        <v>67</v>
      </c>
      <c r="Z128" s="7" t="s">
        <v>89</v>
      </c>
      <c r="AA128" s="7"/>
      <c r="AB128" s="7">
        <v>304</v>
      </c>
      <c r="AC128" s="9">
        <v>279</v>
      </c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>
        <v>306</v>
      </c>
      <c r="AP128" s="9">
        <f t="shared" si="26"/>
        <v>3</v>
      </c>
      <c r="AQ128" s="62">
        <f t="shared" si="27"/>
        <v>296.33333333333331</v>
      </c>
      <c r="AR128" s="11" t="str">
        <f>IF(AQ128&gt;='Aprovados Recursos do Fundo'!$AQ$1,"APROVADO","REPROVADO")</f>
        <v>APROVADO</v>
      </c>
      <c r="AS128" s="65"/>
      <c r="AT128" s="65"/>
      <c r="AU128" s="151"/>
      <c r="AV128" s="65"/>
      <c r="AW128" s="65"/>
      <c r="AX128" s="65"/>
      <c r="AY128" s="65"/>
      <c r="AZ128" s="65"/>
      <c r="BA128" s="65"/>
      <c r="BB128" s="65"/>
      <c r="BC128" s="34"/>
      <c r="BD128" s="65"/>
    </row>
    <row r="129" spans="2:56" s="64" customFormat="1" ht="39.950000000000003" hidden="1" customHeight="1" x14ac:dyDescent="0.25">
      <c r="B129" s="5">
        <v>188</v>
      </c>
      <c r="C129" s="6" t="s">
        <v>1008</v>
      </c>
      <c r="D129" s="101" t="s">
        <v>4078</v>
      </c>
      <c r="E129" s="5" t="s">
        <v>33</v>
      </c>
      <c r="F129" s="5" t="s">
        <v>1009</v>
      </c>
      <c r="G129" s="5" t="s">
        <v>1010</v>
      </c>
      <c r="H129" s="5" t="s">
        <v>62</v>
      </c>
      <c r="I129" s="8">
        <v>322800</v>
      </c>
      <c r="J129" s="8"/>
      <c r="K129" s="8"/>
      <c r="L129" s="8">
        <f t="shared" si="56"/>
        <v>387360</v>
      </c>
      <c r="M129" s="8"/>
      <c r="N129" s="8"/>
      <c r="O129" s="15">
        <f t="shared" si="57"/>
        <v>0</v>
      </c>
      <c r="P129" s="15">
        <f t="shared" si="58"/>
        <v>0</v>
      </c>
      <c r="Q129" s="8"/>
      <c r="R129" s="159"/>
      <c r="S129" s="7" t="s">
        <v>342</v>
      </c>
      <c r="T129" s="7" t="s">
        <v>235</v>
      </c>
      <c r="U129" s="7" t="s">
        <v>1011</v>
      </c>
      <c r="V129" s="7"/>
      <c r="W129" s="9" t="s">
        <v>1012</v>
      </c>
      <c r="X129" s="10">
        <v>45315</v>
      </c>
      <c r="Y129" s="5" t="s">
        <v>67</v>
      </c>
      <c r="Z129" s="7" t="s">
        <v>68</v>
      </c>
      <c r="AA129" s="9"/>
      <c r="AB129" s="5">
        <v>340</v>
      </c>
      <c r="AC129" s="9">
        <v>282</v>
      </c>
      <c r="AD129" s="9">
        <v>262</v>
      </c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>
        <f t="shared" si="26"/>
        <v>3</v>
      </c>
      <c r="AQ129" s="62">
        <f t="shared" si="27"/>
        <v>294.66666666666669</v>
      </c>
      <c r="AR129" s="11" t="str">
        <f>IF(AQ129&gt;='Aprovados Recursos do Fundo'!$AQ$1,"APROVADO","REPROVADO")</f>
        <v>APROVADO</v>
      </c>
      <c r="AS129" s="65"/>
      <c r="AT129" s="65"/>
      <c r="AU129" s="151"/>
      <c r="AV129" s="65"/>
      <c r="AW129" s="65"/>
      <c r="AX129" s="65"/>
      <c r="AY129" s="65"/>
      <c r="AZ129" s="65"/>
      <c r="BA129" s="65"/>
      <c r="BB129" s="65"/>
      <c r="BC129" s="34"/>
      <c r="BD129" s="65"/>
    </row>
    <row r="130" spans="2:56" s="64" customFormat="1" ht="39.950000000000003" hidden="1" customHeight="1" x14ac:dyDescent="0.25">
      <c r="B130" s="5">
        <v>189</v>
      </c>
      <c r="C130" s="27" t="s">
        <v>1013</v>
      </c>
      <c r="D130" s="100" t="s">
        <v>4079</v>
      </c>
      <c r="E130" s="5" t="s">
        <v>33</v>
      </c>
      <c r="F130" s="7" t="s">
        <v>1014</v>
      </c>
      <c r="G130" s="7" t="s">
        <v>1015</v>
      </c>
      <c r="H130" s="7" t="s">
        <v>36</v>
      </c>
      <c r="I130" s="8">
        <v>2389959.12</v>
      </c>
      <c r="J130" s="8"/>
      <c r="K130" s="8"/>
      <c r="L130" s="8">
        <f t="shared" si="56"/>
        <v>2867950.9440000001</v>
      </c>
      <c r="M130" s="8"/>
      <c r="N130" s="8"/>
      <c r="O130" s="15">
        <f t="shared" si="57"/>
        <v>0</v>
      </c>
      <c r="P130" s="15">
        <f t="shared" si="58"/>
        <v>0</v>
      </c>
      <c r="Q130" s="8"/>
      <c r="R130" s="159"/>
      <c r="S130" s="7" t="s">
        <v>108</v>
      </c>
      <c r="T130" s="7" t="s">
        <v>95</v>
      </c>
      <c r="U130" s="7" t="s">
        <v>1016</v>
      </c>
      <c r="V130" s="7">
        <v>1</v>
      </c>
      <c r="W130" s="9" t="s">
        <v>1017</v>
      </c>
      <c r="X130" s="10">
        <v>45315</v>
      </c>
      <c r="Y130" s="7" t="s">
        <v>41</v>
      </c>
      <c r="Z130" s="7"/>
      <c r="AA130" s="9"/>
      <c r="AB130" s="7">
        <v>246</v>
      </c>
      <c r="AC130" s="9"/>
      <c r="AD130" s="9"/>
      <c r="AE130" s="9"/>
      <c r="AF130" s="9"/>
      <c r="AG130" s="9"/>
      <c r="AH130" s="9"/>
      <c r="AI130" s="9"/>
      <c r="AJ130" s="9"/>
      <c r="AK130" s="9">
        <v>246</v>
      </c>
      <c r="AL130" s="9">
        <v>244</v>
      </c>
      <c r="AM130" s="9"/>
      <c r="AN130" s="9"/>
      <c r="AO130" s="9"/>
      <c r="AP130" s="9">
        <f t="shared" si="26"/>
        <v>3</v>
      </c>
      <c r="AQ130" s="62">
        <f t="shared" si="27"/>
        <v>245.33333333333334</v>
      </c>
      <c r="AR130" s="11" t="str">
        <f>IF(AQ130&gt;='Aprovados Recursos do Fundo'!$AQ$1,"APROVADO","REPROVADO")</f>
        <v>APROVADO</v>
      </c>
      <c r="AS130" s="65"/>
      <c r="AT130" s="65"/>
      <c r="AU130" s="151"/>
      <c r="AV130" s="65"/>
      <c r="AW130" s="65"/>
      <c r="AX130" s="65"/>
      <c r="AY130" s="65"/>
      <c r="AZ130" s="65"/>
      <c r="BA130" s="65"/>
      <c r="BB130" s="65"/>
      <c r="BC130" s="34"/>
      <c r="BD130" s="65"/>
    </row>
    <row r="131" spans="2:56" s="64" customFormat="1" ht="39.950000000000003" hidden="1" customHeight="1" x14ac:dyDescent="0.25">
      <c r="B131" s="5">
        <v>190</v>
      </c>
      <c r="C131" s="27" t="s">
        <v>1018</v>
      </c>
      <c r="D131" s="100" t="s">
        <v>4080</v>
      </c>
      <c r="E131" s="5" t="s">
        <v>33</v>
      </c>
      <c r="F131" s="58" t="s">
        <v>1014</v>
      </c>
      <c r="G131" s="7" t="s">
        <v>1019</v>
      </c>
      <c r="H131" s="7" t="s">
        <v>72</v>
      </c>
      <c r="I131" s="8">
        <v>1784430</v>
      </c>
      <c r="J131" s="8"/>
      <c r="K131" s="8"/>
      <c r="L131" s="8">
        <f t="shared" si="56"/>
        <v>2141316</v>
      </c>
      <c r="M131" s="8"/>
      <c r="N131" s="8"/>
      <c r="O131" s="15">
        <f t="shared" si="57"/>
        <v>0</v>
      </c>
      <c r="P131" s="15">
        <f t="shared" si="58"/>
        <v>0</v>
      </c>
      <c r="Q131" s="8"/>
      <c r="R131" s="159"/>
      <c r="S131" s="7" t="s">
        <v>108</v>
      </c>
      <c r="T131" s="7" t="s">
        <v>95</v>
      </c>
      <c r="U131" s="7" t="s">
        <v>1016</v>
      </c>
      <c r="V131" s="7">
        <v>1</v>
      </c>
      <c r="W131" s="31" t="s">
        <v>1017</v>
      </c>
      <c r="X131" s="10">
        <v>45315</v>
      </c>
      <c r="Y131" s="7" t="s">
        <v>41</v>
      </c>
      <c r="Z131" s="7"/>
      <c r="AA131" s="9"/>
      <c r="AB131" s="7">
        <v>267</v>
      </c>
      <c r="AC131" s="9">
        <v>169</v>
      </c>
      <c r="AD131" s="9"/>
      <c r="AE131" s="9"/>
      <c r="AF131" s="9"/>
      <c r="AG131" s="9"/>
      <c r="AH131" s="9"/>
      <c r="AI131" s="9"/>
      <c r="AJ131" s="9"/>
      <c r="AK131" s="9">
        <v>241</v>
      </c>
      <c r="AL131" s="9"/>
      <c r="AM131" s="9"/>
      <c r="AN131" s="9"/>
      <c r="AO131" s="9"/>
      <c r="AP131" s="9">
        <f t="shared" si="26"/>
        <v>3</v>
      </c>
      <c r="AQ131" s="62">
        <f t="shared" si="27"/>
        <v>225.66666666666666</v>
      </c>
      <c r="AR131" s="11" t="str">
        <f>IF(AQ131&gt;=$AR$1,"APROVADO","REPROVADO")</f>
        <v>APROVADO</v>
      </c>
      <c r="AS131" s="65"/>
      <c r="AT131" s="65"/>
      <c r="AU131" s="151"/>
      <c r="AV131" s="65"/>
      <c r="AW131" s="65"/>
      <c r="AX131" s="65"/>
      <c r="AY131" s="65"/>
      <c r="AZ131" s="65"/>
      <c r="BA131" s="65"/>
      <c r="BB131" s="65"/>
      <c r="BC131" s="34"/>
      <c r="BD131" s="65"/>
    </row>
    <row r="132" spans="2:56" s="64" customFormat="1" ht="39.950000000000003" hidden="1" customHeight="1" x14ac:dyDescent="0.25">
      <c r="B132" s="5">
        <v>191</v>
      </c>
      <c r="C132" s="27" t="s">
        <v>1020</v>
      </c>
      <c r="D132" s="100" t="s">
        <v>4081</v>
      </c>
      <c r="E132" s="5" t="s">
        <v>33</v>
      </c>
      <c r="F132" s="7" t="s">
        <v>1021</v>
      </c>
      <c r="G132" s="7" t="s">
        <v>1022</v>
      </c>
      <c r="H132" s="7" t="s">
        <v>36</v>
      </c>
      <c r="I132" s="8">
        <v>609818.75</v>
      </c>
      <c r="J132" s="8"/>
      <c r="K132" s="8"/>
      <c r="L132" s="8">
        <f t="shared" si="56"/>
        <v>731782.5</v>
      </c>
      <c r="M132" s="8">
        <f>100000+124300.64+136000+200000+8000+8000+34000</f>
        <v>610300.64</v>
      </c>
      <c r="N132" s="8">
        <f>L132-M132</f>
        <v>121481.85999999999</v>
      </c>
      <c r="O132" s="15">
        <f t="shared" si="57"/>
        <v>508583.85924800264</v>
      </c>
      <c r="P132" s="15">
        <f t="shared" si="58"/>
        <v>101716.78075199737</v>
      </c>
      <c r="Q132" s="136">
        <f t="shared" ref="Q132" si="59">M132/L132</f>
        <v>0.83399184867088239</v>
      </c>
      <c r="R132" s="159"/>
      <c r="S132" s="7" t="s">
        <v>1023</v>
      </c>
      <c r="T132" s="7" t="s">
        <v>445</v>
      </c>
      <c r="U132" s="7" t="s">
        <v>1024</v>
      </c>
      <c r="V132" s="7">
        <v>1</v>
      </c>
      <c r="W132" s="9" t="s">
        <v>1025</v>
      </c>
      <c r="X132" s="10">
        <v>45315</v>
      </c>
      <c r="Y132" s="7" t="s">
        <v>41</v>
      </c>
      <c r="Z132" s="7"/>
      <c r="AA132" s="9"/>
      <c r="AB132" s="7">
        <v>326</v>
      </c>
      <c r="AC132" s="9">
        <v>171</v>
      </c>
      <c r="AD132" s="9"/>
      <c r="AE132" s="9"/>
      <c r="AF132" s="9"/>
      <c r="AG132" s="9"/>
      <c r="AH132" s="9"/>
      <c r="AI132" s="9"/>
      <c r="AJ132" s="9"/>
      <c r="AK132" s="9">
        <v>302</v>
      </c>
      <c r="AL132" s="9"/>
      <c r="AM132" s="9"/>
      <c r="AN132" s="9"/>
      <c r="AO132" s="9"/>
      <c r="AP132" s="9">
        <f t="shared" si="26"/>
        <v>3</v>
      </c>
      <c r="AQ132" s="62">
        <f t="shared" si="27"/>
        <v>266.33333333333331</v>
      </c>
      <c r="AR132" s="11" t="str">
        <f>IF(AQ132&gt;='Aprovados Recursos do Fundo'!$AQ$1,"APROVADO","REPROVADO")</f>
        <v>APROVADO</v>
      </c>
      <c r="AS132" s="65"/>
      <c r="AT132" s="65"/>
      <c r="AU132" s="151"/>
      <c r="AV132" s="65"/>
      <c r="AW132" s="65"/>
      <c r="AX132" s="65"/>
      <c r="AY132" s="65"/>
      <c r="AZ132" s="65"/>
      <c r="BA132" s="65"/>
      <c r="BB132" s="65"/>
      <c r="BC132" s="34"/>
      <c r="BD132" s="65"/>
    </row>
    <row r="133" spans="2:56" s="64" customFormat="1" ht="39.950000000000003" hidden="1" customHeight="1" x14ac:dyDescent="0.25">
      <c r="B133" s="5">
        <v>193</v>
      </c>
      <c r="C133" s="27" t="s">
        <v>1028</v>
      </c>
      <c r="D133" s="100" t="s">
        <v>4082</v>
      </c>
      <c r="E133" s="5" t="s">
        <v>33</v>
      </c>
      <c r="F133" s="58" t="s">
        <v>1021</v>
      </c>
      <c r="G133" s="7" t="s">
        <v>1029</v>
      </c>
      <c r="H133" s="7" t="s">
        <v>72</v>
      </c>
      <c r="I133" s="8">
        <v>800870.83</v>
      </c>
      <c r="J133" s="8"/>
      <c r="K133" s="8"/>
      <c r="L133" s="8">
        <f t="shared" si="56"/>
        <v>961044.99599999993</v>
      </c>
      <c r="M133" s="8"/>
      <c r="N133" s="8"/>
      <c r="O133" s="15">
        <f t="shared" si="57"/>
        <v>0</v>
      </c>
      <c r="P133" s="15">
        <f t="shared" si="58"/>
        <v>0</v>
      </c>
      <c r="Q133" s="8"/>
      <c r="R133" s="159"/>
      <c r="S133" s="7" t="s">
        <v>1023</v>
      </c>
      <c r="T133" s="7" t="s">
        <v>445</v>
      </c>
      <c r="U133" s="7" t="s">
        <v>1024</v>
      </c>
      <c r="V133" s="7">
        <v>1</v>
      </c>
      <c r="W133" s="9" t="s">
        <v>1025</v>
      </c>
      <c r="X133" s="10">
        <v>45315</v>
      </c>
      <c r="Y133" s="7" t="s">
        <v>41</v>
      </c>
      <c r="Z133" s="9"/>
      <c r="AA133" s="65"/>
      <c r="AB133" s="7">
        <v>315</v>
      </c>
      <c r="AC133" s="9">
        <v>145</v>
      </c>
      <c r="AD133" s="9"/>
      <c r="AE133" s="9"/>
      <c r="AF133" s="9"/>
      <c r="AG133" s="9"/>
      <c r="AH133" s="9"/>
      <c r="AI133" s="9"/>
      <c r="AJ133" s="9"/>
      <c r="AK133" s="9">
        <v>276</v>
      </c>
      <c r="AL133" s="9"/>
      <c r="AM133" s="9"/>
      <c r="AN133" s="9"/>
      <c r="AO133" s="9"/>
      <c r="AP133" s="9">
        <f t="shared" ref="AP133:AP195" si="60">COUNT(AB133:AO133)</f>
        <v>3</v>
      </c>
      <c r="AQ133" s="62">
        <f t="shared" ref="AQ133:AQ195" si="61">AVERAGE(AB133:AO133)</f>
        <v>245.33333333333334</v>
      </c>
      <c r="AR133" s="11" t="str">
        <f>IF(AQ133&gt;=$AR$1,"APROVADO","REPROVADO")</f>
        <v>APROVADO</v>
      </c>
      <c r="AS133" s="65"/>
      <c r="AT133" s="65"/>
      <c r="AU133" s="151"/>
      <c r="AV133" s="65"/>
      <c r="AW133" s="65"/>
      <c r="AX133" s="65"/>
      <c r="AY133" s="65"/>
      <c r="AZ133" s="65"/>
      <c r="BA133" s="65"/>
      <c r="BB133" s="65"/>
      <c r="BC133" s="34"/>
      <c r="BD133" s="65"/>
    </row>
    <row r="134" spans="2:56" s="64" customFormat="1" ht="39.950000000000003" hidden="1" customHeight="1" x14ac:dyDescent="0.25">
      <c r="B134" s="5">
        <v>194</v>
      </c>
      <c r="C134" s="6" t="s">
        <v>1030</v>
      </c>
      <c r="D134" s="100" t="s">
        <v>4083</v>
      </c>
      <c r="E134" s="5" t="s">
        <v>33</v>
      </c>
      <c r="F134" s="5" t="s">
        <v>1031</v>
      </c>
      <c r="G134" s="7" t="s">
        <v>1032</v>
      </c>
      <c r="H134" s="7" t="s">
        <v>36</v>
      </c>
      <c r="I134" s="8">
        <v>442500</v>
      </c>
      <c r="J134" s="8"/>
      <c r="K134" s="8"/>
      <c r="L134" s="8">
        <f t="shared" si="56"/>
        <v>531000</v>
      </c>
      <c r="M134" s="8"/>
      <c r="N134" s="8"/>
      <c r="O134" s="15">
        <f t="shared" si="57"/>
        <v>0</v>
      </c>
      <c r="P134" s="15">
        <f t="shared" si="58"/>
        <v>0</v>
      </c>
      <c r="Q134" s="8"/>
      <c r="R134" s="159"/>
      <c r="S134" s="7" t="s">
        <v>1033</v>
      </c>
      <c r="T134" s="7" t="s">
        <v>445</v>
      </c>
      <c r="U134" s="7" t="s">
        <v>1034</v>
      </c>
      <c r="V134" s="7">
        <v>1</v>
      </c>
      <c r="W134" s="68" t="s">
        <v>1035</v>
      </c>
      <c r="X134" s="10">
        <v>45315</v>
      </c>
      <c r="Y134" s="7" t="s">
        <v>67</v>
      </c>
      <c r="Z134" s="9"/>
      <c r="AA134" s="65"/>
      <c r="AB134" s="7">
        <v>281</v>
      </c>
      <c r="AC134" s="9">
        <v>183</v>
      </c>
      <c r="AD134" s="9"/>
      <c r="AE134" s="9"/>
      <c r="AF134" s="9"/>
      <c r="AG134" s="9">
        <v>340</v>
      </c>
      <c r="AH134" s="9"/>
      <c r="AI134" s="9"/>
      <c r="AJ134" s="9"/>
      <c r="AK134" s="9"/>
      <c r="AL134" s="9"/>
      <c r="AM134" s="9"/>
      <c r="AN134" s="9"/>
      <c r="AO134" s="9"/>
      <c r="AP134" s="9">
        <f t="shared" si="60"/>
        <v>3</v>
      </c>
      <c r="AQ134" s="62">
        <f t="shared" si="61"/>
        <v>268</v>
      </c>
      <c r="AR134" s="11" t="str">
        <f>IF(AQ134&gt;='Aprovados Recursos do Fundo'!$AQ$1,"APROVADO","REPROVADO")</f>
        <v>APROVADO</v>
      </c>
      <c r="AS134" s="65"/>
      <c r="AT134" s="65"/>
      <c r="AU134" s="151"/>
      <c r="AV134" s="65"/>
      <c r="AW134" s="65"/>
      <c r="AX134" s="65"/>
      <c r="AY134" s="65"/>
      <c r="AZ134" s="65"/>
      <c r="BA134" s="65"/>
      <c r="BB134" s="65"/>
      <c r="BC134" s="34"/>
      <c r="BD134" s="65"/>
    </row>
    <row r="135" spans="2:56" s="64" customFormat="1" ht="39.950000000000003" hidden="1" customHeight="1" x14ac:dyDescent="0.25">
      <c r="B135" s="5">
        <v>197</v>
      </c>
      <c r="C135" s="27" t="s">
        <v>1047</v>
      </c>
      <c r="D135" s="101" t="s">
        <v>4084</v>
      </c>
      <c r="E135" s="5" t="s">
        <v>33</v>
      </c>
      <c r="F135" s="7" t="s">
        <v>1048</v>
      </c>
      <c r="G135" s="7" t="s">
        <v>1049</v>
      </c>
      <c r="H135" s="7" t="s">
        <v>107</v>
      </c>
      <c r="I135" s="8">
        <v>382990.71</v>
      </c>
      <c r="J135" s="8"/>
      <c r="K135" s="8"/>
      <c r="L135" s="8">
        <f t="shared" si="56"/>
        <v>459588.85200000001</v>
      </c>
      <c r="M135" s="8"/>
      <c r="N135" s="8"/>
      <c r="O135" s="15">
        <f t="shared" si="57"/>
        <v>0</v>
      </c>
      <c r="P135" s="15">
        <f t="shared" si="58"/>
        <v>0</v>
      </c>
      <c r="Q135" s="8"/>
      <c r="R135" s="159"/>
      <c r="S135" s="7" t="s">
        <v>390</v>
      </c>
      <c r="T135" s="7" t="s">
        <v>391</v>
      </c>
      <c r="U135" s="7" t="s">
        <v>1050</v>
      </c>
      <c r="V135" s="7"/>
      <c r="W135" s="9" t="s">
        <v>1051</v>
      </c>
      <c r="X135" s="10">
        <v>45315</v>
      </c>
      <c r="Y135" s="9" t="s">
        <v>41</v>
      </c>
      <c r="Z135" s="9"/>
      <c r="AA135" s="65"/>
      <c r="AB135" s="7">
        <v>269</v>
      </c>
      <c r="AC135" s="9">
        <v>154</v>
      </c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>
        <v>330</v>
      </c>
      <c r="AO135" s="9"/>
      <c r="AP135" s="9">
        <f t="shared" si="60"/>
        <v>3</v>
      </c>
      <c r="AQ135" s="62">
        <f t="shared" si="61"/>
        <v>251</v>
      </c>
      <c r="AR135" s="11" t="str">
        <f>IF(AQ135&gt;='Aprovados Recursos do Fundo'!$AQ$1,"APROVADO","REPROVADO")</f>
        <v>APROVADO</v>
      </c>
      <c r="AS135" s="65"/>
      <c r="AT135" s="65"/>
      <c r="AU135" s="151"/>
      <c r="AV135" s="65"/>
      <c r="AW135" s="65"/>
      <c r="AX135" s="65"/>
      <c r="AY135" s="65"/>
      <c r="AZ135" s="65"/>
      <c r="BA135" s="65"/>
      <c r="BB135" s="65"/>
      <c r="BC135" s="34"/>
      <c r="BD135" s="65"/>
    </row>
    <row r="136" spans="2:56" s="64" customFormat="1" ht="39.950000000000003" hidden="1" customHeight="1" x14ac:dyDescent="0.25">
      <c r="B136" s="5">
        <v>198</v>
      </c>
      <c r="C136" s="6" t="s">
        <v>1052</v>
      </c>
      <c r="D136" s="101" t="s">
        <v>4085</v>
      </c>
      <c r="E136" s="5" t="s">
        <v>33</v>
      </c>
      <c r="F136" s="58" t="s">
        <v>1048</v>
      </c>
      <c r="G136" s="7" t="s">
        <v>1053</v>
      </c>
      <c r="H136" s="7" t="s">
        <v>107</v>
      </c>
      <c r="I136" s="8">
        <v>377065.43</v>
      </c>
      <c r="J136" s="8"/>
      <c r="K136" s="8"/>
      <c r="L136" s="8">
        <f t="shared" si="56"/>
        <v>452478.516</v>
      </c>
      <c r="M136" s="8"/>
      <c r="N136" s="8"/>
      <c r="O136" s="15">
        <f t="shared" si="57"/>
        <v>0</v>
      </c>
      <c r="P136" s="15">
        <f t="shared" si="58"/>
        <v>0</v>
      </c>
      <c r="Q136" s="8"/>
      <c r="R136" s="159"/>
      <c r="S136" s="7" t="s">
        <v>390</v>
      </c>
      <c r="T136" s="7" t="s">
        <v>391</v>
      </c>
      <c r="U136" s="7" t="s">
        <v>1050</v>
      </c>
      <c r="V136" s="7"/>
      <c r="W136" s="9" t="s">
        <v>1051</v>
      </c>
      <c r="X136" s="10">
        <v>45315</v>
      </c>
      <c r="Y136" s="9" t="s">
        <v>41</v>
      </c>
      <c r="Z136" s="7"/>
      <c r="AA136" s="65"/>
      <c r="AB136" s="7">
        <v>268</v>
      </c>
      <c r="AC136" s="9"/>
      <c r="AD136" s="9"/>
      <c r="AE136" s="9"/>
      <c r="AF136" s="9">
        <v>151</v>
      </c>
      <c r="AG136" s="9"/>
      <c r="AH136" s="9"/>
      <c r="AI136" s="9"/>
      <c r="AJ136" s="9"/>
      <c r="AK136" s="9">
        <v>238</v>
      </c>
      <c r="AL136" s="9"/>
      <c r="AM136" s="9"/>
      <c r="AN136" s="9"/>
      <c r="AO136" s="9"/>
      <c r="AP136" s="9">
        <f t="shared" si="60"/>
        <v>3</v>
      </c>
      <c r="AQ136" s="62">
        <f t="shared" si="61"/>
        <v>219</v>
      </c>
      <c r="AR136" s="11" t="str">
        <f>IF(AQ136&gt;=$AR$1,"APROVADO","REPROVADO")</f>
        <v>APROVADO</v>
      </c>
      <c r="AS136" s="65"/>
      <c r="AT136" s="65"/>
      <c r="AU136" s="151"/>
      <c r="AV136" s="65"/>
      <c r="AW136" s="65"/>
      <c r="AX136" s="65"/>
      <c r="AY136" s="65"/>
      <c r="AZ136" s="65"/>
      <c r="BA136" s="65"/>
      <c r="BB136" s="65"/>
      <c r="BC136" s="34"/>
      <c r="BD136" s="65"/>
    </row>
    <row r="137" spans="2:56" s="64" customFormat="1" ht="39.950000000000003" hidden="1" customHeight="1" x14ac:dyDescent="0.25">
      <c r="B137" s="5">
        <v>200</v>
      </c>
      <c r="C137" s="27" t="s">
        <v>1060</v>
      </c>
      <c r="D137" s="101" t="s">
        <v>4086</v>
      </c>
      <c r="E137" s="5" t="s">
        <v>33</v>
      </c>
      <c r="F137" s="5" t="s">
        <v>1061</v>
      </c>
      <c r="G137" s="7" t="s">
        <v>1062</v>
      </c>
      <c r="H137" s="7" t="s">
        <v>107</v>
      </c>
      <c r="I137" s="8">
        <v>54058</v>
      </c>
      <c r="J137" s="8"/>
      <c r="K137" s="8"/>
      <c r="L137" s="8">
        <f t="shared" si="56"/>
        <v>64869.599999999999</v>
      </c>
      <c r="M137" s="8"/>
      <c r="N137" s="8"/>
      <c r="O137" s="15">
        <f t="shared" si="57"/>
        <v>0</v>
      </c>
      <c r="P137" s="15">
        <f t="shared" si="58"/>
        <v>0</v>
      </c>
      <c r="Q137" s="8"/>
      <c r="R137" s="159"/>
      <c r="S137" s="7" t="s">
        <v>63</v>
      </c>
      <c r="T137" s="7" t="s">
        <v>64</v>
      </c>
      <c r="U137" s="7" t="s">
        <v>1063</v>
      </c>
      <c r="V137" s="7"/>
      <c r="W137" s="9" t="s">
        <v>1064</v>
      </c>
      <c r="X137" s="10">
        <v>45320</v>
      </c>
      <c r="Y137" s="7" t="s">
        <v>41</v>
      </c>
      <c r="Z137" s="7"/>
      <c r="AA137" s="65"/>
      <c r="AB137" s="7">
        <v>326</v>
      </c>
      <c r="AC137" s="9">
        <v>173</v>
      </c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>
        <v>338</v>
      </c>
      <c r="AO137" s="9"/>
      <c r="AP137" s="9">
        <f t="shared" si="60"/>
        <v>3</v>
      </c>
      <c r="AQ137" s="62">
        <f t="shared" si="61"/>
        <v>279</v>
      </c>
      <c r="AR137" s="11" t="str">
        <f>IF(AQ137&gt;='Aprovados Recursos do Fundo'!$AQ$1,"APROVADO","REPROVADO")</f>
        <v>APROVADO</v>
      </c>
      <c r="AS137" s="65"/>
      <c r="AT137" s="65"/>
      <c r="AU137" s="151"/>
      <c r="AV137" s="65"/>
      <c r="AW137" s="65"/>
      <c r="AX137" s="65"/>
      <c r="AY137" s="65"/>
      <c r="AZ137" s="65"/>
      <c r="BA137" s="65"/>
      <c r="BB137" s="65"/>
      <c r="BC137" s="34"/>
      <c r="BD137" s="65"/>
    </row>
    <row r="138" spans="2:56" s="64" customFormat="1" ht="39.950000000000003" hidden="1" customHeight="1" x14ac:dyDescent="0.25">
      <c r="B138" s="5">
        <v>201</v>
      </c>
      <c r="C138" s="22" t="s">
        <v>1065</v>
      </c>
      <c r="D138" s="9"/>
      <c r="E138" s="5" t="s">
        <v>51</v>
      </c>
      <c r="F138" s="9" t="s">
        <v>1066</v>
      </c>
      <c r="G138" s="9" t="s">
        <v>1067</v>
      </c>
      <c r="H138" s="11" t="s">
        <v>36</v>
      </c>
      <c r="I138" s="41">
        <v>245000</v>
      </c>
      <c r="J138" s="41"/>
      <c r="K138" s="41"/>
      <c r="L138" s="8">
        <v>294000</v>
      </c>
      <c r="M138" s="41"/>
      <c r="N138" s="41"/>
      <c r="O138" s="41"/>
      <c r="P138" s="41"/>
      <c r="Q138" s="41"/>
      <c r="R138" s="159"/>
      <c r="S138" s="9" t="s">
        <v>63</v>
      </c>
      <c r="T138" s="11" t="s">
        <v>64</v>
      </c>
      <c r="U138" s="9" t="s">
        <v>1068</v>
      </c>
      <c r="V138" s="9"/>
      <c r="W138" s="67" t="s">
        <v>1069</v>
      </c>
      <c r="X138" s="34">
        <v>45320</v>
      </c>
      <c r="Y138" s="9" t="s">
        <v>41</v>
      </c>
      <c r="Z138" s="9"/>
      <c r="AA138" s="65"/>
      <c r="AB138" s="9">
        <v>283</v>
      </c>
      <c r="AC138" s="9">
        <v>228</v>
      </c>
      <c r="AD138" s="9"/>
      <c r="AE138" s="9"/>
      <c r="AF138" s="9"/>
      <c r="AG138" s="9"/>
      <c r="AH138" s="9"/>
      <c r="AI138" s="9"/>
      <c r="AJ138" s="9"/>
      <c r="AK138" s="9">
        <v>238</v>
      </c>
      <c r="AL138" s="9"/>
      <c r="AM138" s="9"/>
      <c r="AN138" s="65"/>
      <c r="AO138" s="65"/>
      <c r="AP138" s="9">
        <f t="shared" si="60"/>
        <v>3</v>
      </c>
      <c r="AQ138" s="62">
        <f t="shared" si="61"/>
        <v>249.66666666666666</v>
      </c>
      <c r="AR138" s="11" t="str">
        <f>IF(AQ138&gt;='Aprovados Recursos do Fundo'!$AQ$1,"APROVADO","REPROVADO")</f>
        <v>APROVADO</v>
      </c>
      <c r="AS138" s="65"/>
      <c r="AT138" s="65"/>
      <c r="AU138" s="151"/>
      <c r="AV138" s="65"/>
      <c r="AW138" s="65"/>
      <c r="AX138" s="65"/>
      <c r="AY138" s="65"/>
      <c r="AZ138" s="65"/>
      <c r="BA138" s="65"/>
      <c r="BB138" s="65"/>
      <c r="BC138" s="34"/>
      <c r="BD138" s="65"/>
    </row>
    <row r="139" spans="2:56" s="64" customFormat="1" ht="39.950000000000003" hidden="1" customHeight="1" x14ac:dyDescent="0.25">
      <c r="B139" s="5">
        <v>203</v>
      </c>
      <c r="C139" s="6" t="s">
        <v>1075</v>
      </c>
      <c r="D139" s="101" t="s">
        <v>4087</v>
      </c>
      <c r="E139" s="5" t="s">
        <v>33</v>
      </c>
      <c r="F139" s="5" t="s">
        <v>1076</v>
      </c>
      <c r="G139" s="7" t="s">
        <v>1077</v>
      </c>
      <c r="H139" s="7" t="s">
        <v>36</v>
      </c>
      <c r="I139" s="8">
        <v>162300</v>
      </c>
      <c r="J139" s="8"/>
      <c r="K139" s="8"/>
      <c r="L139" s="8">
        <f t="shared" ref="L139:L145" si="62">I139*1.2</f>
        <v>194760</v>
      </c>
      <c r="M139" s="8"/>
      <c r="N139" s="8"/>
      <c r="O139" s="15">
        <f t="shared" ref="O139:O145" si="63">M139*0.83333332117758</f>
        <v>0</v>
      </c>
      <c r="P139" s="15">
        <f t="shared" ref="P139:P145" si="64">M139*0.16666667882242</f>
        <v>0</v>
      </c>
      <c r="Q139" s="8"/>
      <c r="R139" s="159"/>
      <c r="S139" s="7" t="s">
        <v>63</v>
      </c>
      <c r="T139" s="5" t="s">
        <v>64</v>
      </c>
      <c r="U139" s="7" t="s">
        <v>1078</v>
      </c>
      <c r="V139" s="7"/>
      <c r="W139" s="9" t="s">
        <v>1079</v>
      </c>
      <c r="X139" s="10">
        <v>45320</v>
      </c>
      <c r="Y139" s="7" t="s">
        <v>67</v>
      </c>
      <c r="Z139" s="7"/>
      <c r="AA139" s="65"/>
      <c r="AB139" s="7"/>
      <c r="AC139" s="9">
        <v>195</v>
      </c>
      <c r="AD139" s="9"/>
      <c r="AE139" s="9"/>
      <c r="AF139" s="9"/>
      <c r="AG139" s="9"/>
      <c r="AH139" s="9"/>
      <c r="AI139" s="9">
        <v>290</v>
      </c>
      <c r="AJ139" s="9">
        <v>315</v>
      </c>
      <c r="AK139" s="9"/>
      <c r="AL139" s="9"/>
      <c r="AM139" s="9"/>
      <c r="AN139" s="9"/>
      <c r="AO139" s="9"/>
      <c r="AP139" s="9">
        <f t="shared" si="60"/>
        <v>3</v>
      </c>
      <c r="AQ139" s="62">
        <f t="shared" si="61"/>
        <v>266.66666666666669</v>
      </c>
      <c r="AR139" s="11" t="str">
        <f>IF(AQ139&gt;='Aprovados Recursos do Fundo'!$AQ$1,"APROVADO","REPROVADO")</f>
        <v>APROVADO</v>
      </c>
      <c r="AS139" s="65"/>
      <c r="AT139" s="65"/>
      <c r="AU139" s="151"/>
      <c r="AV139" s="65"/>
      <c r="AW139" s="65"/>
      <c r="AX139" s="65"/>
      <c r="AY139" s="65"/>
      <c r="AZ139" s="65"/>
      <c r="BA139" s="65"/>
      <c r="BB139" s="65"/>
      <c r="BC139" s="34"/>
      <c r="BD139" s="65"/>
    </row>
    <row r="140" spans="2:56" s="64" customFormat="1" ht="39.950000000000003" hidden="1" customHeight="1" x14ac:dyDescent="0.25">
      <c r="B140" s="5">
        <v>207</v>
      </c>
      <c r="C140" s="27" t="s">
        <v>1089</v>
      </c>
      <c r="D140" s="100" t="s">
        <v>4088</v>
      </c>
      <c r="E140" s="5" t="s">
        <v>33</v>
      </c>
      <c r="F140" s="5" t="s">
        <v>1090</v>
      </c>
      <c r="G140" s="5" t="s">
        <v>1091</v>
      </c>
      <c r="H140" s="7" t="s">
        <v>36</v>
      </c>
      <c r="I140" s="8">
        <v>192000</v>
      </c>
      <c r="J140" s="8"/>
      <c r="K140" s="8"/>
      <c r="L140" s="8">
        <f t="shared" si="62"/>
        <v>230400</v>
      </c>
      <c r="M140" s="8"/>
      <c r="N140" s="8"/>
      <c r="O140" s="15">
        <f t="shared" si="63"/>
        <v>0</v>
      </c>
      <c r="P140" s="15">
        <f t="shared" si="64"/>
        <v>0</v>
      </c>
      <c r="Q140" s="8"/>
      <c r="R140" s="159"/>
      <c r="S140" s="7" t="s">
        <v>728</v>
      </c>
      <c r="T140" s="7" t="s">
        <v>123</v>
      </c>
      <c r="U140" s="7" t="s">
        <v>1092</v>
      </c>
      <c r="V140" s="7">
        <v>1</v>
      </c>
      <c r="W140" s="9" t="s">
        <v>1093</v>
      </c>
      <c r="X140" s="10">
        <v>45320</v>
      </c>
      <c r="Y140" s="5" t="s">
        <v>41</v>
      </c>
      <c r="Z140" s="7"/>
      <c r="AA140" s="65"/>
      <c r="AB140" s="5">
        <v>340</v>
      </c>
      <c r="AC140" s="9">
        <v>180</v>
      </c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>
        <v>314</v>
      </c>
      <c r="AO140" s="9"/>
      <c r="AP140" s="9">
        <f t="shared" si="60"/>
        <v>3</v>
      </c>
      <c r="AQ140" s="62">
        <f t="shared" si="61"/>
        <v>278</v>
      </c>
      <c r="AR140" s="11" t="str">
        <f>IF(AQ140&gt;='Aprovados Recursos do Fundo'!$AQ$1,"APROVADO","REPROVADO")</f>
        <v>APROVADO</v>
      </c>
      <c r="AS140" s="65"/>
      <c r="AT140" s="65"/>
      <c r="AU140" s="151"/>
      <c r="AV140" s="65"/>
      <c r="AW140" s="65"/>
      <c r="AX140" s="65"/>
      <c r="AY140" s="65"/>
      <c r="AZ140" s="65"/>
      <c r="BA140" s="65"/>
      <c r="BB140" s="65"/>
      <c r="BC140" s="34"/>
      <c r="BD140" s="65"/>
    </row>
    <row r="141" spans="2:56" s="64" customFormat="1" ht="39.950000000000003" hidden="1" customHeight="1" x14ac:dyDescent="0.25">
      <c r="B141" s="5">
        <v>208</v>
      </c>
      <c r="C141" s="27" t="s">
        <v>1094</v>
      </c>
      <c r="D141" s="100" t="s">
        <v>4089</v>
      </c>
      <c r="E141" s="5" t="s">
        <v>33</v>
      </c>
      <c r="F141" s="58" t="s">
        <v>1090</v>
      </c>
      <c r="G141" s="7" t="s">
        <v>1095</v>
      </c>
      <c r="H141" s="7" t="s">
        <v>72</v>
      </c>
      <c r="I141" s="8">
        <v>280900</v>
      </c>
      <c r="J141" s="8"/>
      <c r="K141" s="8"/>
      <c r="L141" s="8">
        <f t="shared" si="62"/>
        <v>337080</v>
      </c>
      <c r="M141" s="8"/>
      <c r="N141" s="8"/>
      <c r="O141" s="15">
        <f t="shared" si="63"/>
        <v>0</v>
      </c>
      <c r="P141" s="15">
        <f t="shared" si="64"/>
        <v>0</v>
      </c>
      <c r="Q141" s="8"/>
      <c r="R141" s="159"/>
      <c r="S141" s="7" t="s">
        <v>728</v>
      </c>
      <c r="T141" s="7" t="s">
        <v>123</v>
      </c>
      <c r="U141" s="7" t="s">
        <v>1092</v>
      </c>
      <c r="V141" s="7">
        <v>1</v>
      </c>
      <c r="W141" s="9" t="s">
        <v>1093</v>
      </c>
      <c r="X141" s="10">
        <v>45320</v>
      </c>
      <c r="Y141" s="7" t="s">
        <v>41</v>
      </c>
      <c r="Z141" s="7"/>
      <c r="AA141" s="65"/>
      <c r="AB141" s="7">
        <v>292</v>
      </c>
      <c r="AC141" s="9">
        <v>198</v>
      </c>
      <c r="AD141" s="9">
        <v>262</v>
      </c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>
        <f t="shared" si="60"/>
        <v>3</v>
      </c>
      <c r="AQ141" s="62">
        <f t="shared" si="61"/>
        <v>250.66666666666666</v>
      </c>
      <c r="AR141" s="11" t="str">
        <f>IF(AQ141&gt;=$AR$1,"APROVADO","REPROVADO")</f>
        <v>APROVADO</v>
      </c>
      <c r="AS141" s="65"/>
      <c r="AT141" s="65"/>
      <c r="AU141" s="151"/>
      <c r="AV141" s="65"/>
      <c r="AW141" s="65"/>
      <c r="AX141" s="65"/>
      <c r="AY141" s="65"/>
      <c r="AZ141" s="65"/>
      <c r="BA141" s="65"/>
      <c r="BB141" s="65"/>
      <c r="BC141" s="34"/>
      <c r="BD141" s="65"/>
    </row>
    <row r="142" spans="2:56" s="64" customFormat="1" ht="39.950000000000003" hidden="1" customHeight="1" x14ac:dyDescent="0.25">
      <c r="B142" s="5">
        <v>209</v>
      </c>
      <c r="C142" s="27" t="s">
        <v>1096</v>
      </c>
      <c r="D142" s="100" t="s">
        <v>4090</v>
      </c>
      <c r="E142" s="5" t="s">
        <v>33</v>
      </c>
      <c r="F142" s="58" t="s">
        <v>1090</v>
      </c>
      <c r="G142" s="7" t="s">
        <v>1097</v>
      </c>
      <c r="H142" s="5" t="s">
        <v>62</v>
      </c>
      <c r="I142" s="8">
        <v>698600</v>
      </c>
      <c r="J142" s="8"/>
      <c r="K142" s="8"/>
      <c r="L142" s="8">
        <f t="shared" si="62"/>
        <v>838320</v>
      </c>
      <c r="M142" s="8"/>
      <c r="N142" s="8"/>
      <c r="O142" s="15">
        <f t="shared" si="63"/>
        <v>0</v>
      </c>
      <c r="P142" s="15">
        <f t="shared" si="64"/>
        <v>0</v>
      </c>
      <c r="Q142" s="8"/>
      <c r="R142" s="159"/>
      <c r="S142" s="7" t="s">
        <v>728</v>
      </c>
      <c r="T142" s="7" t="s">
        <v>123</v>
      </c>
      <c r="U142" s="7" t="s">
        <v>1098</v>
      </c>
      <c r="V142" s="7">
        <v>1</v>
      </c>
      <c r="W142" s="9" t="s">
        <v>1093</v>
      </c>
      <c r="X142" s="10">
        <v>45320</v>
      </c>
      <c r="Y142" s="7" t="s">
        <v>41</v>
      </c>
      <c r="Z142" s="7"/>
      <c r="AA142" s="65"/>
      <c r="AB142" s="7">
        <v>333</v>
      </c>
      <c r="AC142" s="9">
        <v>168</v>
      </c>
      <c r="AD142" s="9"/>
      <c r="AE142" s="9"/>
      <c r="AF142" s="9"/>
      <c r="AG142" s="9"/>
      <c r="AH142" s="9"/>
      <c r="AI142" s="9"/>
      <c r="AJ142" s="9"/>
      <c r="AK142" s="9"/>
      <c r="AL142" s="9"/>
      <c r="AM142" s="9">
        <v>240</v>
      </c>
      <c r="AN142" s="9"/>
      <c r="AO142" s="9"/>
      <c r="AP142" s="9">
        <f t="shared" si="60"/>
        <v>3</v>
      </c>
      <c r="AQ142" s="62">
        <f t="shared" si="61"/>
        <v>247</v>
      </c>
      <c r="AR142" s="11" t="str">
        <f>IF(AQ142&gt;=$AR$1,"APROVADO","REPROVADO")</f>
        <v>APROVADO</v>
      </c>
      <c r="AS142" s="65"/>
      <c r="AT142" s="65"/>
      <c r="AU142" s="151"/>
      <c r="AV142" s="65"/>
      <c r="AW142" s="65"/>
      <c r="AX142" s="65"/>
      <c r="AY142" s="65"/>
      <c r="AZ142" s="65"/>
      <c r="BA142" s="65"/>
      <c r="BB142" s="65"/>
      <c r="BC142" s="34"/>
      <c r="BD142" s="65"/>
    </row>
    <row r="143" spans="2:56" s="64" customFormat="1" ht="39.950000000000003" hidden="1" customHeight="1" x14ac:dyDescent="0.25">
      <c r="B143" s="5">
        <v>210</v>
      </c>
      <c r="C143" s="6" t="s">
        <v>1099</v>
      </c>
      <c r="D143" s="101" t="s">
        <v>4091</v>
      </c>
      <c r="E143" s="5" t="s">
        <v>33</v>
      </c>
      <c r="F143" s="5" t="s">
        <v>1100</v>
      </c>
      <c r="G143" s="7" t="s">
        <v>1101</v>
      </c>
      <c r="H143" s="7" t="s">
        <v>107</v>
      </c>
      <c r="I143" s="8">
        <v>704000</v>
      </c>
      <c r="J143" s="8"/>
      <c r="K143" s="8"/>
      <c r="L143" s="8">
        <f t="shared" si="62"/>
        <v>844800</v>
      </c>
      <c r="M143" s="8"/>
      <c r="N143" s="8"/>
      <c r="O143" s="15">
        <f t="shared" si="63"/>
        <v>0</v>
      </c>
      <c r="P143" s="15">
        <f t="shared" si="64"/>
        <v>0</v>
      </c>
      <c r="Q143" s="8"/>
      <c r="R143" s="159"/>
      <c r="S143" s="7" t="s">
        <v>728</v>
      </c>
      <c r="T143" s="7" t="s">
        <v>123</v>
      </c>
      <c r="U143" s="7" t="s">
        <v>1102</v>
      </c>
      <c r="V143" s="7"/>
      <c r="W143" s="9" t="s">
        <v>1103</v>
      </c>
      <c r="X143" s="10">
        <v>45320</v>
      </c>
      <c r="Y143" s="7" t="s">
        <v>67</v>
      </c>
      <c r="Z143" s="7"/>
      <c r="AA143" s="65"/>
      <c r="AB143" s="7"/>
      <c r="AC143" s="9">
        <v>146</v>
      </c>
      <c r="AD143" s="9"/>
      <c r="AE143" s="9"/>
      <c r="AF143" s="9"/>
      <c r="AG143" s="9">
        <v>303</v>
      </c>
      <c r="AH143" s="9">
        <v>303</v>
      </c>
      <c r="AI143" s="9"/>
      <c r="AJ143" s="9"/>
      <c r="AK143" s="9"/>
      <c r="AL143" s="9"/>
      <c r="AM143" s="9"/>
      <c r="AN143" s="9"/>
      <c r="AO143" s="9"/>
      <c r="AP143" s="9">
        <f t="shared" si="60"/>
        <v>3</v>
      </c>
      <c r="AQ143" s="62">
        <f t="shared" si="61"/>
        <v>250.66666666666666</v>
      </c>
      <c r="AR143" s="11" t="str">
        <f>IF(AQ143&gt;='Aprovados Recursos do Fundo'!$AQ$1,"APROVADO","REPROVADO")</f>
        <v>APROVADO</v>
      </c>
      <c r="AS143" s="65"/>
      <c r="AT143" s="65"/>
      <c r="AU143" s="151"/>
      <c r="AV143" s="65"/>
      <c r="AW143" s="65"/>
      <c r="AX143" s="65"/>
      <c r="AY143" s="65"/>
      <c r="AZ143" s="65"/>
      <c r="BA143" s="65"/>
      <c r="BB143" s="65"/>
      <c r="BC143" s="34"/>
      <c r="BD143" s="65"/>
    </row>
    <row r="144" spans="2:56" s="64" customFormat="1" ht="39.950000000000003" hidden="1" customHeight="1" x14ac:dyDescent="0.25">
      <c r="B144" s="5">
        <v>211</v>
      </c>
      <c r="C144" s="6" t="s">
        <v>1104</v>
      </c>
      <c r="D144" s="101" t="s">
        <v>4092</v>
      </c>
      <c r="E144" s="5" t="s">
        <v>33</v>
      </c>
      <c r="F144" s="5" t="s">
        <v>1105</v>
      </c>
      <c r="G144" s="7" t="s">
        <v>1106</v>
      </c>
      <c r="H144" s="7" t="s">
        <v>36</v>
      </c>
      <c r="I144" s="17">
        <v>135744</v>
      </c>
      <c r="J144" s="17"/>
      <c r="K144" s="17"/>
      <c r="L144" s="8">
        <f t="shared" si="62"/>
        <v>162892.79999999999</v>
      </c>
      <c r="M144" s="17"/>
      <c r="N144" s="17"/>
      <c r="O144" s="15">
        <f t="shared" si="63"/>
        <v>0</v>
      </c>
      <c r="P144" s="15">
        <f t="shared" si="64"/>
        <v>0</v>
      </c>
      <c r="Q144" s="17"/>
      <c r="R144" s="159"/>
      <c r="S144" s="7" t="s">
        <v>1107</v>
      </c>
      <c r="T144" s="5" t="s">
        <v>123</v>
      </c>
      <c r="U144" s="5" t="s">
        <v>1108</v>
      </c>
      <c r="V144" s="5"/>
      <c r="W144" s="31" t="s">
        <v>1109</v>
      </c>
      <c r="X144" s="10">
        <v>45320</v>
      </c>
      <c r="Y144" s="7" t="s">
        <v>67</v>
      </c>
      <c r="Z144" s="7"/>
      <c r="AA144" s="65"/>
      <c r="AB144" s="7">
        <v>330</v>
      </c>
      <c r="AC144" s="9">
        <v>215</v>
      </c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>
        <v>340</v>
      </c>
      <c r="AP144" s="9">
        <f t="shared" si="60"/>
        <v>3</v>
      </c>
      <c r="AQ144" s="62">
        <f t="shared" si="61"/>
        <v>295</v>
      </c>
      <c r="AR144" s="11" t="str">
        <f>IF(AQ144&gt;='Aprovados Recursos do Fundo'!$AQ$1,"APROVADO","REPROVADO")</f>
        <v>APROVADO</v>
      </c>
      <c r="AS144" s="65"/>
      <c r="AT144" s="65"/>
      <c r="AU144" s="151"/>
      <c r="AV144" s="65"/>
      <c r="AW144" s="65"/>
      <c r="AX144" s="65"/>
      <c r="AY144" s="65"/>
      <c r="AZ144" s="65"/>
      <c r="BA144" s="65"/>
      <c r="BB144" s="65"/>
      <c r="BC144" s="34"/>
      <c r="BD144" s="65"/>
    </row>
    <row r="145" spans="2:58" s="64" customFormat="1" ht="39.950000000000003" hidden="1" customHeight="1" x14ac:dyDescent="0.25">
      <c r="B145" s="5">
        <v>212</v>
      </c>
      <c r="C145" s="6" t="s">
        <v>1110</v>
      </c>
      <c r="D145" s="101" t="s">
        <v>4093</v>
      </c>
      <c r="E145" s="5" t="s">
        <v>33</v>
      </c>
      <c r="F145" s="5" t="s">
        <v>1111</v>
      </c>
      <c r="G145" s="7" t="s">
        <v>1112</v>
      </c>
      <c r="H145" s="5" t="s">
        <v>107</v>
      </c>
      <c r="I145" s="17">
        <v>150000</v>
      </c>
      <c r="J145" s="17"/>
      <c r="K145" s="17"/>
      <c r="L145" s="8">
        <f t="shared" si="62"/>
        <v>180000</v>
      </c>
      <c r="M145" s="17"/>
      <c r="N145" s="17"/>
      <c r="O145" s="15">
        <f t="shared" si="63"/>
        <v>0</v>
      </c>
      <c r="P145" s="15">
        <f t="shared" si="64"/>
        <v>0</v>
      </c>
      <c r="Q145" s="17"/>
      <c r="R145" s="159"/>
      <c r="S145" s="7" t="s">
        <v>1107</v>
      </c>
      <c r="T145" s="5" t="s">
        <v>123</v>
      </c>
      <c r="U145" s="5" t="s">
        <v>1113</v>
      </c>
      <c r="V145" s="5"/>
      <c r="W145" s="31" t="s">
        <v>1114</v>
      </c>
      <c r="X145" s="10">
        <v>45320</v>
      </c>
      <c r="Y145" s="7" t="s">
        <v>67</v>
      </c>
      <c r="Z145" s="7"/>
      <c r="AA145" s="65"/>
      <c r="AB145" s="7">
        <v>276</v>
      </c>
      <c r="AC145" s="9">
        <v>200</v>
      </c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>
        <v>272</v>
      </c>
      <c r="AP145" s="9">
        <f t="shared" si="60"/>
        <v>3</v>
      </c>
      <c r="AQ145" s="62">
        <f t="shared" si="61"/>
        <v>249.33333333333334</v>
      </c>
      <c r="AR145" s="11" t="str">
        <f>IF(AQ145&gt;='Aprovados Recursos do Fundo'!$AQ$1,"APROVADO","REPROVADO")</f>
        <v>APROVADO</v>
      </c>
      <c r="AS145" s="65"/>
      <c r="AT145" s="65"/>
      <c r="AU145" s="151"/>
      <c r="AV145" s="65"/>
      <c r="AW145" s="65"/>
      <c r="AX145" s="65"/>
      <c r="AY145" s="65"/>
      <c r="AZ145" s="65"/>
      <c r="BA145" s="65"/>
      <c r="BB145" s="65"/>
      <c r="BC145" s="34"/>
      <c r="BD145" s="65"/>
    </row>
    <row r="146" spans="2:58" s="64" customFormat="1" ht="39.950000000000003" hidden="1" customHeight="1" x14ac:dyDescent="0.25">
      <c r="B146" s="5">
        <v>214</v>
      </c>
      <c r="C146" s="22" t="s">
        <v>1121</v>
      </c>
      <c r="D146" s="9"/>
      <c r="E146" s="5" t="s">
        <v>51</v>
      </c>
      <c r="F146" s="9" t="s">
        <v>1122</v>
      </c>
      <c r="G146" s="9" t="s">
        <v>1123</v>
      </c>
      <c r="H146" s="11" t="s">
        <v>36</v>
      </c>
      <c r="I146" s="41">
        <v>63561</v>
      </c>
      <c r="J146" s="41"/>
      <c r="K146" s="41"/>
      <c r="L146" s="8">
        <v>76273.2</v>
      </c>
      <c r="M146" s="41"/>
      <c r="N146" s="41"/>
      <c r="O146" s="41"/>
      <c r="P146" s="41"/>
      <c r="Q146" s="41"/>
      <c r="R146" s="159"/>
      <c r="S146" s="11" t="s">
        <v>1124</v>
      </c>
      <c r="T146" s="11" t="s">
        <v>189</v>
      </c>
      <c r="U146" s="9" t="s">
        <v>1125</v>
      </c>
      <c r="V146" s="9"/>
      <c r="W146" s="67" t="s">
        <v>1126</v>
      </c>
      <c r="X146" s="34">
        <v>45320</v>
      </c>
      <c r="Y146" s="9" t="s">
        <v>41</v>
      </c>
      <c r="Z146" s="9"/>
      <c r="AA146" s="65"/>
      <c r="AB146" s="9">
        <v>340</v>
      </c>
      <c r="AC146" s="9">
        <v>220</v>
      </c>
      <c r="AD146" s="9">
        <v>248</v>
      </c>
      <c r="AE146" s="9"/>
      <c r="AF146" s="9"/>
      <c r="AG146" s="9"/>
      <c r="AH146" s="9"/>
      <c r="AI146" s="9"/>
      <c r="AJ146" s="9"/>
      <c r="AK146" s="9"/>
      <c r="AL146" s="9"/>
      <c r="AM146" s="9"/>
      <c r="AN146" s="65"/>
      <c r="AO146" s="65"/>
      <c r="AP146" s="9">
        <f t="shared" si="60"/>
        <v>3</v>
      </c>
      <c r="AQ146" s="62">
        <f t="shared" si="61"/>
        <v>269.33333333333331</v>
      </c>
      <c r="AR146" s="11" t="str">
        <f>IF(AQ146&gt;='Aprovados Recursos do Fundo'!$AQ$1,"APROVADO","REPROVADO")</f>
        <v>APROVADO</v>
      </c>
      <c r="AS146" s="65"/>
      <c r="AT146" s="65"/>
      <c r="AU146" s="151"/>
      <c r="AV146" s="65"/>
      <c r="AW146" s="65"/>
      <c r="AX146" s="65"/>
      <c r="AY146" s="65"/>
      <c r="AZ146" s="65"/>
      <c r="BA146" s="65"/>
      <c r="BB146" s="65"/>
      <c r="BC146" s="34"/>
      <c r="BD146" s="65"/>
    </row>
    <row r="147" spans="2:58" s="64" customFormat="1" ht="39.950000000000003" hidden="1" customHeight="1" x14ac:dyDescent="0.25">
      <c r="B147" s="5">
        <v>215</v>
      </c>
      <c r="C147" s="27" t="s">
        <v>1127</v>
      </c>
      <c r="D147" s="101" t="s">
        <v>4094</v>
      </c>
      <c r="E147" s="5" t="s">
        <v>33</v>
      </c>
      <c r="F147" s="5" t="s">
        <v>1128</v>
      </c>
      <c r="G147" s="7" t="s">
        <v>1129</v>
      </c>
      <c r="H147" s="7" t="s">
        <v>36</v>
      </c>
      <c r="I147" s="8">
        <v>60367</v>
      </c>
      <c r="J147" s="8"/>
      <c r="K147" s="8"/>
      <c r="L147" s="8">
        <f t="shared" ref="L147:L150" si="65">I147*1.2</f>
        <v>72440.399999999994</v>
      </c>
      <c r="M147" s="8"/>
      <c r="N147" s="8"/>
      <c r="O147" s="15">
        <f t="shared" ref="O147:O150" si="66">M147*0.83333332117758</f>
        <v>0</v>
      </c>
      <c r="P147" s="15">
        <f t="shared" ref="P147:P150" si="67">M147*0.16666667882242</f>
        <v>0</v>
      </c>
      <c r="Q147" s="8"/>
      <c r="R147" s="159"/>
      <c r="S147" s="7" t="s">
        <v>1130</v>
      </c>
      <c r="T147" s="7" t="s">
        <v>445</v>
      </c>
      <c r="U147" s="7" t="s">
        <v>1131</v>
      </c>
      <c r="V147" s="7"/>
      <c r="W147" s="9" t="s">
        <v>1132</v>
      </c>
      <c r="X147" s="10">
        <v>45320</v>
      </c>
      <c r="Y147" s="7" t="s">
        <v>41</v>
      </c>
      <c r="Z147" s="7"/>
      <c r="AA147" s="65"/>
      <c r="AB147" s="7">
        <v>340</v>
      </c>
      <c r="AC147" s="9">
        <v>258</v>
      </c>
      <c r="AD147" s="9">
        <v>280</v>
      </c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>
        <f t="shared" si="60"/>
        <v>3</v>
      </c>
      <c r="AQ147" s="62">
        <f t="shared" si="61"/>
        <v>292.66666666666669</v>
      </c>
      <c r="AR147" s="11" t="str">
        <f>IF(AQ147&gt;='Aprovados Recursos do Fundo'!$AQ$1,"APROVADO","REPROVADO")</f>
        <v>APROVADO</v>
      </c>
      <c r="AS147" s="65"/>
      <c r="AT147" s="65"/>
      <c r="AU147" s="151"/>
      <c r="AV147" s="65"/>
      <c r="AW147" s="65"/>
      <c r="AX147" s="65"/>
      <c r="AY147" s="65"/>
      <c r="AZ147" s="65"/>
      <c r="BA147" s="65"/>
      <c r="BB147" s="65"/>
      <c r="BC147" s="34"/>
      <c r="BD147" s="65"/>
    </row>
    <row r="148" spans="2:58" s="64" customFormat="1" ht="39.950000000000003" hidden="1" customHeight="1" x14ac:dyDescent="0.25">
      <c r="B148" s="5">
        <v>217</v>
      </c>
      <c r="C148" s="6" t="s">
        <v>1137</v>
      </c>
      <c r="D148" s="100" t="s">
        <v>4095</v>
      </c>
      <c r="E148" s="5" t="s">
        <v>33</v>
      </c>
      <c r="F148" s="5" t="s">
        <v>1138</v>
      </c>
      <c r="G148" s="7" t="s">
        <v>1139</v>
      </c>
      <c r="H148" s="7" t="s">
        <v>36</v>
      </c>
      <c r="I148" s="8">
        <v>70000</v>
      </c>
      <c r="J148" s="8"/>
      <c r="K148" s="8"/>
      <c r="L148" s="8">
        <f t="shared" si="65"/>
        <v>84000</v>
      </c>
      <c r="M148" s="8"/>
      <c r="N148" s="8"/>
      <c r="O148" s="15">
        <f t="shared" si="66"/>
        <v>0</v>
      </c>
      <c r="P148" s="15">
        <f t="shared" si="67"/>
        <v>0</v>
      </c>
      <c r="Q148" s="8"/>
      <c r="R148" s="159"/>
      <c r="S148" s="7" t="s">
        <v>1140</v>
      </c>
      <c r="T148" s="7" t="s">
        <v>254</v>
      </c>
      <c r="U148" s="7" t="s">
        <v>1141</v>
      </c>
      <c r="V148" s="7">
        <v>1</v>
      </c>
      <c r="W148" s="9" t="s">
        <v>1142</v>
      </c>
      <c r="X148" s="10">
        <v>45320</v>
      </c>
      <c r="Y148" s="7" t="s">
        <v>67</v>
      </c>
      <c r="Z148" s="7"/>
      <c r="AA148" s="65"/>
      <c r="AB148" s="7"/>
      <c r="AC148" s="9">
        <v>233</v>
      </c>
      <c r="AD148" s="9"/>
      <c r="AE148" s="9"/>
      <c r="AF148" s="9"/>
      <c r="AG148" s="9"/>
      <c r="AH148" s="9"/>
      <c r="AI148" s="9">
        <v>320</v>
      </c>
      <c r="AJ148" s="9">
        <v>320</v>
      </c>
      <c r="AK148" s="9"/>
      <c r="AL148" s="9"/>
      <c r="AM148" s="9"/>
      <c r="AN148" s="9"/>
      <c r="AO148" s="9"/>
      <c r="AP148" s="9">
        <f t="shared" si="60"/>
        <v>3</v>
      </c>
      <c r="AQ148" s="62">
        <f t="shared" si="61"/>
        <v>291</v>
      </c>
      <c r="AR148" s="11" t="str">
        <f>IF(AQ148&gt;='Aprovados Recursos do Fundo'!$AQ$1,"APROVADO","REPROVADO")</f>
        <v>APROVADO</v>
      </c>
      <c r="AS148" s="65"/>
      <c r="AT148" s="65"/>
      <c r="AU148" s="151"/>
      <c r="AV148" s="65"/>
      <c r="AW148" s="65"/>
      <c r="AX148" s="65"/>
      <c r="AY148" s="65"/>
      <c r="AZ148" s="65"/>
      <c r="BA148" s="65"/>
      <c r="BB148" s="65"/>
      <c r="BC148" s="34"/>
      <c r="BD148" s="65"/>
    </row>
    <row r="149" spans="2:58" s="64" customFormat="1" ht="39.950000000000003" hidden="1" customHeight="1" x14ac:dyDescent="0.25">
      <c r="B149" s="5">
        <v>218</v>
      </c>
      <c r="C149" s="6" t="s">
        <v>1143</v>
      </c>
      <c r="D149" s="101" t="s">
        <v>4096</v>
      </c>
      <c r="E149" s="5" t="s">
        <v>33</v>
      </c>
      <c r="F149" s="7" t="s">
        <v>1144</v>
      </c>
      <c r="G149" s="7" t="s">
        <v>1145</v>
      </c>
      <c r="H149" s="7" t="s">
        <v>107</v>
      </c>
      <c r="I149" s="8">
        <v>214900</v>
      </c>
      <c r="J149" s="8"/>
      <c r="K149" s="8"/>
      <c r="L149" s="8">
        <f t="shared" si="65"/>
        <v>257880</v>
      </c>
      <c r="M149" s="8"/>
      <c r="N149" s="8"/>
      <c r="O149" s="15">
        <f t="shared" si="66"/>
        <v>0</v>
      </c>
      <c r="P149" s="15">
        <f t="shared" si="67"/>
        <v>0</v>
      </c>
      <c r="Q149" s="8"/>
      <c r="R149" s="159"/>
      <c r="S149" s="7" t="s">
        <v>1146</v>
      </c>
      <c r="T149" s="7" t="s">
        <v>123</v>
      </c>
      <c r="U149" s="7" t="s">
        <v>1147</v>
      </c>
      <c r="V149" s="7"/>
      <c r="W149" s="9" t="s">
        <v>1148</v>
      </c>
      <c r="X149" s="10">
        <v>45320</v>
      </c>
      <c r="Y149" s="7" t="s">
        <v>67</v>
      </c>
      <c r="Z149" s="7"/>
      <c r="AA149" s="65"/>
      <c r="AB149" s="7"/>
      <c r="AC149" s="9">
        <v>133</v>
      </c>
      <c r="AD149" s="9"/>
      <c r="AE149" s="9"/>
      <c r="AF149" s="9"/>
      <c r="AG149" s="9">
        <v>288</v>
      </c>
      <c r="AH149" s="9">
        <v>304</v>
      </c>
      <c r="AI149" s="9"/>
      <c r="AJ149" s="9"/>
      <c r="AK149" s="9"/>
      <c r="AL149" s="9"/>
      <c r="AM149" s="9"/>
      <c r="AN149" s="9"/>
      <c r="AO149" s="9"/>
      <c r="AP149" s="9">
        <f t="shared" si="60"/>
        <v>3</v>
      </c>
      <c r="AQ149" s="62">
        <f t="shared" si="61"/>
        <v>241.66666666666666</v>
      </c>
      <c r="AR149" s="11" t="str">
        <f>IF(AQ149&gt;='Aprovados Recursos do Fundo'!$AQ$1,"APROVADO","REPROVADO")</f>
        <v>APROVADO</v>
      </c>
      <c r="AS149" s="65"/>
      <c r="AT149" s="65"/>
      <c r="AU149" s="151"/>
      <c r="AV149" s="65"/>
      <c r="AW149" s="65"/>
      <c r="AX149" s="65"/>
      <c r="AY149" s="65"/>
      <c r="AZ149" s="65"/>
      <c r="BA149" s="65"/>
      <c r="BB149" s="65"/>
      <c r="BC149" s="34"/>
      <c r="BD149" s="65"/>
    </row>
    <row r="150" spans="2:58" s="64" customFormat="1" ht="39.950000000000003" hidden="1" customHeight="1" x14ac:dyDescent="0.25">
      <c r="B150" s="5">
        <v>219</v>
      </c>
      <c r="C150" s="6" t="s">
        <v>1149</v>
      </c>
      <c r="D150" s="101" t="s">
        <v>4097</v>
      </c>
      <c r="E150" s="5" t="s">
        <v>33</v>
      </c>
      <c r="F150" s="58" t="s">
        <v>1144</v>
      </c>
      <c r="G150" s="7" t="s">
        <v>1150</v>
      </c>
      <c r="H150" s="7" t="s">
        <v>36</v>
      </c>
      <c r="I150" s="8">
        <v>256800</v>
      </c>
      <c r="J150" s="8"/>
      <c r="K150" s="8"/>
      <c r="L150" s="8">
        <f t="shared" si="65"/>
        <v>308160</v>
      </c>
      <c r="M150" s="8"/>
      <c r="N150" s="8"/>
      <c r="O150" s="15">
        <f t="shared" si="66"/>
        <v>0</v>
      </c>
      <c r="P150" s="15">
        <f t="shared" si="67"/>
        <v>0</v>
      </c>
      <c r="Q150" s="8"/>
      <c r="R150" s="159"/>
      <c r="S150" s="7" t="s">
        <v>1146</v>
      </c>
      <c r="T150" s="7" t="s">
        <v>123</v>
      </c>
      <c r="U150" s="7" t="s">
        <v>1147</v>
      </c>
      <c r="V150" s="7"/>
      <c r="W150" s="9" t="s">
        <v>1148</v>
      </c>
      <c r="X150" s="10">
        <v>45320</v>
      </c>
      <c r="Y150" s="7" t="s">
        <v>67</v>
      </c>
      <c r="Z150" s="7"/>
      <c r="AA150" s="65"/>
      <c r="AB150" s="7"/>
      <c r="AC150" s="9">
        <v>91</v>
      </c>
      <c r="AD150" s="9"/>
      <c r="AE150" s="9"/>
      <c r="AF150" s="9"/>
      <c r="AG150" s="9"/>
      <c r="AH150" s="9"/>
      <c r="AI150" s="9">
        <v>318</v>
      </c>
      <c r="AJ150" s="9">
        <v>312</v>
      </c>
      <c r="AK150" s="9"/>
      <c r="AL150" s="9"/>
      <c r="AM150" s="9"/>
      <c r="AN150" s="9"/>
      <c r="AO150" s="9"/>
      <c r="AP150" s="9">
        <f t="shared" si="60"/>
        <v>3</v>
      </c>
      <c r="AQ150" s="62">
        <f t="shared" si="61"/>
        <v>240.33333333333334</v>
      </c>
      <c r="AR150" s="11" t="str">
        <f>IF(AQ150&gt;=$AR$1,"APROVADO","REPROVADO")</f>
        <v>APROVADO</v>
      </c>
      <c r="AS150" s="65"/>
      <c r="AT150" s="65"/>
      <c r="AU150" s="151"/>
      <c r="AV150" s="65"/>
      <c r="AW150" s="65"/>
      <c r="AX150" s="65"/>
      <c r="AY150" s="65"/>
      <c r="AZ150" s="65"/>
      <c r="BA150" s="65"/>
      <c r="BB150" s="65"/>
      <c r="BC150" s="34"/>
      <c r="BD150" s="65"/>
    </row>
    <row r="151" spans="2:58" s="64" customFormat="1" ht="39.950000000000003" hidden="1" customHeight="1" x14ac:dyDescent="0.25">
      <c r="B151" s="5">
        <v>220</v>
      </c>
      <c r="C151" s="22" t="s">
        <v>1151</v>
      </c>
      <c r="D151" s="99"/>
      <c r="E151" s="5" t="s">
        <v>51</v>
      </c>
      <c r="F151" s="9" t="s">
        <v>1152</v>
      </c>
      <c r="G151" s="11" t="s">
        <v>1153</v>
      </c>
      <c r="H151" s="11" t="s">
        <v>1154</v>
      </c>
      <c r="I151" s="41">
        <v>489440</v>
      </c>
      <c r="J151" s="41"/>
      <c r="K151" s="41"/>
      <c r="L151" s="8">
        <v>587328</v>
      </c>
      <c r="M151" s="41"/>
      <c r="N151" s="41"/>
      <c r="O151" s="41"/>
      <c r="P151" s="41"/>
      <c r="Q151" s="41"/>
      <c r="R151" s="159"/>
      <c r="S151" s="9" t="s">
        <v>253</v>
      </c>
      <c r="T151" s="11" t="s">
        <v>254</v>
      </c>
      <c r="U151" s="9" t="s">
        <v>1155</v>
      </c>
      <c r="V151" s="9"/>
      <c r="W151" s="9" t="s">
        <v>1156</v>
      </c>
      <c r="X151" s="34">
        <v>45320</v>
      </c>
      <c r="Y151" s="7" t="s">
        <v>41</v>
      </c>
      <c r="Z151" s="7" t="s">
        <v>845</v>
      </c>
      <c r="AA151" s="65" t="s">
        <v>1157</v>
      </c>
      <c r="AB151" s="9">
        <v>318</v>
      </c>
      <c r="AC151" s="9"/>
      <c r="AD151" s="9">
        <v>250</v>
      </c>
      <c r="AE151" s="9"/>
      <c r="AF151" s="9"/>
      <c r="AG151" s="9"/>
      <c r="AH151" s="9"/>
      <c r="AI151" s="9"/>
      <c r="AJ151" s="9"/>
      <c r="AK151" s="9">
        <v>282</v>
      </c>
      <c r="AL151" s="9"/>
      <c r="AM151" s="9"/>
      <c r="AN151" s="65"/>
      <c r="AO151" s="65"/>
      <c r="AP151" s="9">
        <f t="shared" si="60"/>
        <v>3</v>
      </c>
      <c r="AQ151" s="62">
        <f t="shared" si="61"/>
        <v>283.33333333333331</v>
      </c>
      <c r="AR151" s="11" t="str">
        <f>IF(AQ151&gt;='Aprovados Recursos do Fundo'!$AQ$1,"APROVADO","REPROVADO")</f>
        <v>APROVADO</v>
      </c>
      <c r="AS151" s="65"/>
      <c r="AT151" s="65"/>
      <c r="AU151" s="151"/>
      <c r="AV151" s="65"/>
      <c r="AW151" s="65"/>
      <c r="AX151" s="65"/>
      <c r="AY151" s="65"/>
      <c r="AZ151" s="65"/>
      <c r="BA151" s="65"/>
      <c r="BB151" s="65"/>
      <c r="BC151" s="34"/>
      <c r="BD151" s="65"/>
    </row>
    <row r="152" spans="2:58" s="64" customFormat="1" ht="39.950000000000003" hidden="1" customHeight="1" x14ac:dyDescent="0.25">
      <c r="B152" s="5">
        <v>222</v>
      </c>
      <c r="C152" s="6" t="s">
        <v>1161</v>
      </c>
      <c r="D152" s="101" t="s">
        <v>4098</v>
      </c>
      <c r="E152" s="5" t="s">
        <v>33</v>
      </c>
      <c r="F152" s="58" t="s">
        <v>1037</v>
      </c>
      <c r="G152" s="7" t="s">
        <v>1162</v>
      </c>
      <c r="H152" s="7" t="s">
        <v>107</v>
      </c>
      <c r="I152" s="8">
        <v>100000</v>
      </c>
      <c r="J152" s="8"/>
      <c r="K152" s="8"/>
      <c r="L152" s="8">
        <f t="shared" ref="L152:L157" si="68">I152*1.2</f>
        <v>120000</v>
      </c>
      <c r="M152" s="8"/>
      <c r="N152" s="8"/>
      <c r="O152" s="15">
        <f t="shared" ref="O152:O157" si="69">M152*0.83333332117758</f>
        <v>0</v>
      </c>
      <c r="P152" s="15">
        <f t="shared" ref="P152:P157" si="70">M152*0.16666667882242</f>
        <v>0</v>
      </c>
      <c r="Q152" s="8"/>
      <c r="R152" s="159"/>
      <c r="S152" s="7" t="s">
        <v>290</v>
      </c>
      <c r="T152" s="7" t="s">
        <v>154</v>
      </c>
      <c r="U152" s="7" t="s">
        <v>1039</v>
      </c>
      <c r="V152" s="7"/>
      <c r="W152" s="9" t="s">
        <v>1040</v>
      </c>
      <c r="X152" s="10">
        <v>45320</v>
      </c>
      <c r="Y152" s="9" t="s">
        <v>41</v>
      </c>
      <c r="Z152" s="7"/>
      <c r="AA152" s="65"/>
      <c r="AB152" s="7">
        <v>289</v>
      </c>
      <c r="AC152" s="9"/>
      <c r="AD152" s="9"/>
      <c r="AE152" s="9"/>
      <c r="AF152" s="9"/>
      <c r="AG152" s="9"/>
      <c r="AH152" s="9"/>
      <c r="AI152" s="9"/>
      <c r="AJ152" s="9"/>
      <c r="AK152" s="9">
        <v>323</v>
      </c>
      <c r="AL152" s="9">
        <v>216</v>
      </c>
      <c r="AM152" s="9"/>
      <c r="AN152" s="9"/>
      <c r="AO152" s="9"/>
      <c r="AP152" s="9">
        <f t="shared" si="60"/>
        <v>3</v>
      </c>
      <c r="AQ152" s="62">
        <f t="shared" si="61"/>
        <v>276</v>
      </c>
      <c r="AR152" s="11" t="str">
        <f>IF(AQ152&gt;=$AR$1,"APROVADO","REPROVADO")</f>
        <v>APROVADO</v>
      </c>
      <c r="AS152" s="65"/>
      <c r="AT152" s="65"/>
      <c r="AU152" s="151"/>
      <c r="AV152" s="65"/>
      <c r="AW152" s="65"/>
      <c r="AX152" s="65"/>
      <c r="AY152" s="65"/>
      <c r="AZ152" s="65"/>
      <c r="BA152" s="65"/>
      <c r="BB152" s="65"/>
      <c r="BC152" s="34"/>
      <c r="BD152" s="65"/>
    </row>
    <row r="153" spans="2:58" s="64" customFormat="1" ht="39.950000000000003" hidden="1" customHeight="1" x14ac:dyDescent="0.25">
      <c r="B153" s="5">
        <v>224</v>
      </c>
      <c r="C153" s="27" t="s">
        <v>1167</v>
      </c>
      <c r="D153" s="100" t="s">
        <v>4099</v>
      </c>
      <c r="E153" s="5" t="s">
        <v>33</v>
      </c>
      <c r="F153" s="5" t="s">
        <v>298</v>
      </c>
      <c r="G153" s="7" t="s">
        <v>304</v>
      </c>
      <c r="H153" s="7" t="s">
        <v>36</v>
      </c>
      <c r="I153" s="8">
        <v>500000</v>
      </c>
      <c r="J153" s="8"/>
      <c r="K153" s="8"/>
      <c r="L153" s="8">
        <f t="shared" si="68"/>
        <v>600000</v>
      </c>
      <c r="M153" s="8"/>
      <c r="N153" s="8"/>
      <c r="O153" s="15">
        <f t="shared" si="69"/>
        <v>0</v>
      </c>
      <c r="P153" s="15">
        <f t="shared" si="70"/>
        <v>0</v>
      </c>
      <c r="Q153" s="8"/>
      <c r="R153" s="159"/>
      <c r="S153" s="7" t="s">
        <v>290</v>
      </c>
      <c r="T153" s="7" t="s">
        <v>154</v>
      </c>
      <c r="U153" s="7" t="s">
        <v>301</v>
      </c>
      <c r="V153" s="7">
        <v>1</v>
      </c>
      <c r="W153" s="37" t="s">
        <v>1166</v>
      </c>
      <c r="X153" s="10">
        <v>45320</v>
      </c>
      <c r="Y153" s="7" t="s">
        <v>41</v>
      </c>
      <c r="Z153" s="7" t="s">
        <v>305</v>
      </c>
      <c r="AA153" s="65"/>
      <c r="AB153" s="7">
        <v>335</v>
      </c>
      <c r="AC153" s="9">
        <v>253</v>
      </c>
      <c r="AD153" s="9">
        <v>273</v>
      </c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>
        <f t="shared" si="60"/>
        <v>3</v>
      </c>
      <c r="AQ153" s="62">
        <f t="shared" si="61"/>
        <v>287</v>
      </c>
      <c r="AR153" s="11" t="str">
        <f>IF(AQ153&gt;=$AR$1,"APROVADO","REPROVADO")</f>
        <v>APROVADO</v>
      </c>
      <c r="AS153" s="65"/>
      <c r="AT153" s="65"/>
      <c r="AU153" s="151"/>
      <c r="AV153" s="65"/>
      <c r="AW153" s="65"/>
      <c r="AX153" s="65"/>
      <c r="AY153" s="65"/>
      <c r="AZ153" s="65"/>
      <c r="BA153" s="65"/>
      <c r="BB153" s="65"/>
      <c r="BC153" s="34"/>
      <c r="BD153" s="65"/>
    </row>
    <row r="154" spans="2:58" s="64" customFormat="1" ht="39.950000000000003" hidden="1" customHeight="1" x14ac:dyDescent="0.25">
      <c r="B154" s="5">
        <v>225</v>
      </c>
      <c r="C154" s="27" t="s">
        <v>1168</v>
      </c>
      <c r="D154" s="100" t="s">
        <v>4100</v>
      </c>
      <c r="E154" s="5" t="s">
        <v>33</v>
      </c>
      <c r="F154" s="58" t="s">
        <v>1169</v>
      </c>
      <c r="G154" s="7" t="s">
        <v>1170</v>
      </c>
      <c r="H154" s="7" t="s">
        <v>36</v>
      </c>
      <c r="I154" s="8">
        <v>371000</v>
      </c>
      <c r="J154" s="8"/>
      <c r="K154" s="8"/>
      <c r="L154" s="8">
        <f t="shared" si="68"/>
        <v>445200</v>
      </c>
      <c r="M154" s="8">
        <v>57000</v>
      </c>
      <c r="N154" s="8">
        <f>L154-M154</f>
        <v>388200</v>
      </c>
      <c r="O154" s="15">
        <f t="shared" si="69"/>
        <v>47499.99930712206</v>
      </c>
      <c r="P154" s="15">
        <f t="shared" si="70"/>
        <v>9500.0006928779403</v>
      </c>
      <c r="Q154" s="136">
        <f>M154/L154</f>
        <v>0.1280323450134771</v>
      </c>
      <c r="R154" s="159"/>
      <c r="S154" s="7" t="s">
        <v>1171</v>
      </c>
      <c r="T154" s="7" t="s">
        <v>95</v>
      </c>
      <c r="U154" s="7" t="s">
        <v>1172</v>
      </c>
      <c r="V154" s="7">
        <v>1</v>
      </c>
      <c r="W154" s="9" t="s">
        <v>1173</v>
      </c>
      <c r="X154" s="10">
        <v>45320</v>
      </c>
      <c r="Y154" s="7" t="s">
        <v>41</v>
      </c>
      <c r="Z154" s="7"/>
      <c r="AA154" s="65"/>
      <c r="AB154" s="7">
        <v>325</v>
      </c>
      <c r="AC154" s="9">
        <v>230</v>
      </c>
      <c r="AD154" s="9">
        <v>219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>
        <f t="shared" si="60"/>
        <v>3</v>
      </c>
      <c r="AQ154" s="62">
        <f t="shared" si="61"/>
        <v>258</v>
      </c>
      <c r="AR154" s="11" t="str">
        <f>IF(AQ154&gt;=$AR$1,"APROVADO","REPROVADO")</f>
        <v>APROVADO</v>
      </c>
      <c r="AS154" s="65"/>
      <c r="AT154" s="65"/>
      <c r="AU154" s="151"/>
      <c r="AV154" s="65"/>
      <c r="AW154" s="65"/>
      <c r="AX154" s="65"/>
      <c r="AY154" s="65"/>
      <c r="AZ154" s="65"/>
      <c r="BA154" s="65"/>
      <c r="BB154" s="65"/>
      <c r="BC154" s="34"/>
      <c r="BD154" s="65"/>
    </row>
    <row r="155" spans="2:58" s="64" customFormat="1" ht="39.950000000000003" hidden="1" customHeight="1" x14ac:dyDescent="0.25">
      <c r="B155" s="5">
        <v>227</v>
      </c>
      <c r="C155" s="27" t="s">
        <v>1176</v>
      </c>
      <c r="D155" s="100" t="s">
        <v>4101</v>
      </c>
      <c r="E155" s="5" t="s">
        <v>33</v>
      </c>
      <c r="F155" s="7" t="s">
        <v>1169</v>
      </c>
      <c r="G155" s="7" t="s">
        <v>1177</v>
      </c>
      <c r="H155" s="7" t="s">
        <v>174</v>
      </c>
      <c r="I155" s="8">
        <v>2600000</v>
      </c>
      <c r="J155" s="8"/>
      <c r="K155" s="8"/>
      <c r="L155" s="8">
        <f t="shared" si="68"/>
        <v>3120000</v>
      </c>
      <c r="M155" s="8"/>
      <c r="N155" s="8"/>
      <c r="O155" s="15">
        <f t="shared" si="69"/>
        <v>0</v>
      </c>
      <c r="P155" s="15">
        <f t="shared" si="70"/>
        <v>0</v>
      </c>
      <c r="Q155" s="8"/>
      <c r="R155" s="159"/>
      <c r="S155" s="7" t="s">
        <v>1171</v>
      </c>
      <c r="T155" s="7" t="s">
        <v>95</v>
      </c>
      <c r="U155" s="7" t="s">
        <v>1172</v>
      </c>
      <c r="V155" s="7">
        <v>1</v>
      </c>
      <c r="W155" s="9" t="s">
        <v>1173</v>
      </c>
      <c r="X155" s="10">
        <v>45320</v>
      </c>
      <c r="Y155" s="7" t="s">
        <v>41</v>
      </c>
      <c r="Z155" s="7"/>
      <c r="AA155" s="65"/>
      <c r="AB155" s="7">
        <v>318</v>
      </c>
      <c r="AC155" s="9">
        <v>265</v>
      </c>
      <c r="AD155" s="9">
        <v>245</v>
      </c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>
        <f t="shared" si="60"/>
        <v>3</v>
      </c>
      <c r="AQ155" s="62">
        <f t="shared" si="61"/>
        <v>276</v>
      </c>
      <c r="AR155" s="11" t="str">
        <f>IF(AQ155&gt;='Aprovados Recursos do Fundo'!$AQ$1,"APROVADO","REPROVADO")</f>
        <v>APROVADO</v>
      </c>
      <c r="AS155" s="65"/>
      <c r="AT155" s="65"/>
      <c r="AU155" s="151"/>
      <c r="AV155" s="65"/>
      <c r="AW155" s="65"/>
      <c r="AX155" s="65"/>
      <c r="AY155" s="65"/>
      <c r="AZ155" s="65"/>
      <c r="BA155" s="65"/>
      <c r="BB155" s="65"/>
      <c r="BC155" s="34"/>
      <c r="BD155" s="65"/>
    </row>
    <row r="156" spans="2:58" s="64" customFormat="1" ht="39.950000000000003" hidden="1" customHeight="1" x14ac:dyDescent="0.25">
      <c r="B156" s="5">
        <v>228</v>
      </c>
      <c r="C156" s="6" t="s">
        <v>1178</v>
      </c>
      <c r="D156" s="101" t="s">
        <v>4102</v>
      </c>
      <c r="E156" s="5" t="s">
        <v>33</v>
      </c>
      <c r="F156" s="5" t="s">
        <v>1179</v>
      </c>
      <c r="G156" s="5" t="s">
        <v>1180</v>
      </c>
      <c r="H156" s="7" t="s">
        <v>36</v>
      </c>
      <c r="I156" s="8">
        <v>600000</v>
      </c>
      <c r="J156" s="8"/>
      <c r="K156" s="8"/>
      <c r="L156" s="8">
        <f t="shared" si="68"/>
        <v>720000</v>
      </c>
      <c r="M156" s="8"/>
      <c r="N156" s="8"/>
      <c r="O156" s="15">
        <f t="shared" si="69"/>
        <v>0</v>
      </c>
      <c r="P156" s="15">
        <f t="shared" si="70"/>
        <v>0</v>
      </c>
      <c r="Q156" s="8"/>
      <c r="R156" s="159"/>
      <c r="S156" s="7" t="s">
        <v>201</v>
      </c>
      <c r="T156" s="7" t="s">
        <v>202</v>
      </c>
      <c r="U156" s="7" t="s">
        <v>1181</v>
      </c>
      <c r="V156" s="7"/>
      <c r="W156" s="9" t="s">
        <v>1182</v>
      </c>
      <c r="X156" s="10">
        <v>45320</v>
      </c>
      <c r="Y156" s="5" t="s">
        <v>67</v>
      </c>
      <c r="Z156" s="7"/>
      <c r="AA156" s="65"/>
      <c r="AB156" s="5">
        <v>327</v>
      </c>
      <c r="AC156" s="9">
        <v>150</v>
      </c>
      <c r="AD156" s="9">
        <v>239</v>
      </c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>
        <f t="shared" si="60"/>
        <v>3</v>
      </c>
      <c r="AQ156" s="62">
        <f t="shared" si="61"/>
        <v>238.66666666666666</v>
      </c>
      <c r="AR156" s="11" t="str">
        <f>IF(AQ156&gt;='Aprovados Recursos do Fundo'!$AQ$1,"APROVADO","REPROVADO")</f>
        <v>APROVADO</v>
      </c>
      <c r="AS156" s="65"/>
      <c r="AT156" s="65"/>
      <c r="AU156" s="151"/>
      <c r="AV156" s="65"/>
      <c r="AW156" s="65"/>
      <c r="AX156" s="65"/>
      <c r="AY156" s="65"/>
      <c r="AZ156" s="65"/>
      <c r="BA156" s="65"/>
      <c r="BB156" s="65"/>
      <c r="BC156" s="34"/>
      <c r="BD156" s="65"/>
    </row>
    <row r="157" spans="2:58" s="64" customFormat="1" ht="39.950000000000003" hidden="1" customHeight="1" x14ac:dyDescent="0.25">
      <c r="B157" s="5">
        <v>231</v>
      </c>
      <c r="C157" s="27" t="s">
        <v>1191</v>
      </c>
      <c r="D157" s="101" t="s">
        <v>4103</v>
      </c>
      <c r="E157" s="5" t="s">
        <v>33</v>
      </c>
      <c r="F157" s="5" t="s">
        <v>1192</v>
      </c>
      <c r="G157" s="7" t="s">
        <v>1193</v>
      </c>
      <c r="H157" s="7" t="s">
        <v>36</v>
      </c>
      <c r="I157" s="8">
        <v>77700</v>
      </c>
      <c r="J157" s="8"/>
      <c r="K157" s="8"/>
      <c r="L157" s="8">
        <f t="shared" si="68"/>
        <v>93240</v>
      </c>
      <c r="M157" s="8"/>
      <c r="N157" s="8"/>
      <c r="O157" s="15">
        <f t="shared" si="69"/>
        <v>0</v>
      </c>
      <c r="P157" s="15">
        <f t="shared" si="70"/>
        <v>0</v>
      </c>
      <c r="Q157" s="8"/>
      <c r="R157" s="159"/>
      <c r="S157" s="7" t="s">
        <v>1194</v>
      </c>
      <c r="T157" s="7" t="s">
        <v>1195</v>
      </c>
      <c r="U157" s="7" t="s">
        <v>1196</v>
      </c>
      <c r="V157" s="7"/>
      <c r="W157" s="31" t="s">
        <v>1197</v>
      </c>
      <c r="X157" s="10">
        <v>45320</v>
      </c>
      <c r="Y157" s="7" t="s">
        <v>41</v>
      </c>
      <c r="Z157" s="7"/>
      <c r="AA157" s="65"/>
      <c r="AB157" s="7">
        <v>335</v>
      </c>
      <c r="AC157" s="9">
        <v>212</v>
      </c>
      <c r="AD157" s="9">
        <v>281</v>
      </c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>
        <f t="shared" si="60"/>
        <v>3</v>
      </c>
      <c r="AQ157" s="62">
        <f t="shared" si="61"/>
        <v>276</v>
      </c>
      <c r="AR157" s="11" t="str">
        <f>IF(AQ157&gt;='Aprovados Recursos do Fundo'!$AQ$1,"APROVADO","REPROVADO")</f>
        <v>APROVADO</v>
      </c>
      <c r="AS157" s="65"/>
      <c r="AT157" s="65"/>
      <c r="AU157" s="151"/>
      <c r="AV157" s="65"/>
      <c r="AW157" s="65"/>
      <c r="AX157" s="65"/>
      <c r="AY157" s="65"/>
      <c r="AZ157" s="65"/>
      <c r="BA157" s="65"/>
      <c r="BB157" s="65"/>
      <c r="BC157" s="34"/>
      <c r="BD157" s="65"/>
    </row>
    <row r="158" spans="2:58" s="64" customFormat="1" ht="39.950000000000003" hidden="1" customHeight="1" x14ac:dyDescent="0.25">
      <c r="B158" s="5">
        <v>232</v>
      </c>
      <c r="C158" s="22" t="s">
        <v>1198</v>
      </c>
      <c r="D158" s="9"/>
      <c r="E158" s="5" t="s">
        <v>51</v>
      </c>
      <c r="F158" s="9" t="s">
        <v>1199</v>
      </c>
      <c r="G158" s="9" t="s">
        <v>1200</v>
      </c>
      <c r="H158" s="11" t="s">
        <v>107</v>
      </c>
      <c r="I158" s="41">
        <v>348000</v>
      </c>
      <c r="J158" s="41"/>
      <c r="K158" s="41"/>
      <c r="L158" s="8">
        <v>417600</v>
      </c>
      <c r="M158" s="41"/>
      <c r="N158" s="41"/>
      <c r="O158" s="41"/>
      <c r="P158" s="41"/>
      <c r="Q158" s="41"/>
      <c r="R158" s="159"/>
      <c r="S158" s="9" t="s">
        <v>1201</v>
      </c>
      <c r="T158" s="11" t="s">
        <v>115</v>
      </c>
      <c r="U158" s="9" t="s">
        <v>1202</v>
      </c>
      <c r="V158" s="9"/>
      <c r="W158" s="9" t="s">
        <v>1203</v>
      </c>
      <c r="X158" s="34">
        <v>45320</v>
      </c>
      <c r="Y158" s="9" t="s">
        <v>57</v>
      </c>
      <c r="Z158" s="9"/>
      <c r="AA158" s="65"/>
      <c r="AB158" s="9">
        <v>269</v>
      </c>
      <c r="AC158" s="9">
        <v>153</v>
      </c>
      <c r="AD158" s="9"/>
      <c r="AE158" s="9"/>
      <c r="AF158" s="9"/>
      <c r="AG158" s="9"/>
      <c r="AH158" s="9">
        <v>308</v>
      </c>
      <c r="AI158" s="9"/>
      <c r="AJ158" s="9"/>
      <c r="AK158" s="9"/>
      <c r="AL158" s="9"/>
      <c r="AM158" s="9"/>
      <c r="AN158" s="65"/>
      <c r="AO158" s="65"/>
      <c r="AP158" s="9">
        <f t="shared" si="60"/>
        <v>3</v>
      </c>
      <c r="AQ158" s="62">
        <f t="shared" si="61"/>
        <v>243.33333333333334</v>
      </c>
      <c r="AR158" s="11" t="str">
        <f>IF(AQ158&gt;='Aprovados Recursos do Fundo'!$AQ$1,"APROVADO","REPROVADO")</f>
        <v>APROVADO</v>
      </c>
      <c r="AS158" s="65"/>
      <c r="AT158" s="65"/>
      <c r="AU158" s="151"/>
      <c r="AV158" s="65"/>
      <c r="AW158" s="65"/>
      <c r="AX158" s="65"/>
      <c r="AY158" s="65"/>
      <c r="AZ158" s="65"/>
      <c r="BA158" s="65"/>
      <c r="BB158" s="65"/>
      <c r="BC158" s="34"/>
      <c r="BD158" s="65"/>
    </row>
    <row r="159" spans="2:58" s="64" customFormat="1" ht="39.950000000000003" customHeight="1" x14ac:dyDescent="0.25">
      <c r="B159" s="5">
        <v>233</v>
      </c>
      <c r="C159" s="6" t="s">
        <v>1204</v>
      </c>
      <c r="D159" s="100" t="s">
        <v>4104</v>
      </c>
      <c r="E159" s="5" t="s">
        <v>33</v>
      </c>
      <c r="F159" s="7" t="s">
        <v>4105</v>
      </c>
      <c r="G159" s="7" t="s">
        <v>1206</v>
      </c>
      <c r="H159" s="7" t="s">
        <v>107</v>
      </c>
      <c r="I159" s="163">
        <f>SUM(J159:K159)</f>
        <v>1018333.3200000001</v>
      </c>
      <c r="J159" s="8">
        <v>1007607.26</v>
      </c>
      <c r="K159" s="8">
        <v>10726.06</v>
      </c>
      <c r="L159" s="8">
        <f t="shared" ref="L159:L161" si="71">I159*1.2</f>
        <v>1221999.9839999999</v>
      </c>
      <c r="M159" s="8">
        <f>810000+250000+55000+52000+25000+30000</f>
        <v>1222000</v>
      </c>
      <c r="N159" s="8">
        <f>L159-M159</f>
        <v>-1.600000006146729E-2</v>
      </c>
      <c r="O159" s="15">
        <f t="shared" ref="O159:O161" si="72">M159*0.83333332117758</f>
        <v>1018333.3184790027</v>
      </c>
      <c r="P159" s="15">
        <f t="shared" ref="P159:P161" si="73">M159*0.16666667882242</f>
        <v>203666.68152099726</v>
      </c>
      <c r="Q159" s="143">
        <f t="shared" ref="Q159:Q160" si="74">M159/L159</f>
        <v>1.00000001309329</v>
      </c>
      <c r="R159" s="159">
        <v>2500</v>
      </c>
      <c r="S159" s="7" t="s">
        <v>73</v>
      </c>
      <c r="T159" s="5" t="s">
        <v>74</v>
      </c>
      <c r="U159" s="7" t="s">
        <v>1207</v>
      </c>
      <c r="V159" s="7">
        <v>1</v>
      </c>
      <c r="W159" s="9" t="s">
        <v>1208</v>
      </c>
      <c r="X159" s="10">
        <v>45320</v>
      </c>
      <c r="Y159" s="7" t="s">
        <v>67</v>
      </c>
      <c r="Z159" s="7"/>
      <c r="AA159" s="65"/>
      <c r="AB159" s="7"/>
      <c r="AC159" s="9">
        <v>149</v>
      </c>
      <c r="AD159" s="9"/>
      <c r="AE159" s="9"/>
      <c r="AF159" s="9"/>
      <c r="AG159" s="9"/>
      <c r="AH159" s="9"/>
      <c r="AI159" s="9">
        <v>340</v>
      </c>
      <c r="AJ159" s="9">
        <v>340</v>
      </c>
      <c r="AK159" s="9"/>
      <c r="AL159" s="9"/>
      <c r="AM159" s="9"/>
      <c r="AN159" s="9"/>
      <c r="AO159" s="9"/>
      <c r="AP159" s="9">
        <f t="shared" si="60"/>
        <v>3</v>
      </c>
      <c r="AQ159" s="62">
        <f t="shared" si="61"/>
        <v>276.33333333333331</v>
      </c>
      <c r="AR159" s="11" t="str">
        <f>IF(AQ159&gt;='Aprovados Recursos do Fundo'!$AQ$1,"APROVADO","REPROVADO")</f>
        <v>APROVADO</v>
      </c>
      <c r="AS159" s="5" t="s">
        <v>4106</v>
      </c>
      <c r="AT159" s="8" t="s">
        <v>3131</v>
      </c>
      <c r="AU159" s="151" t="s">
        <v>3632</v>
      </c>
      <c r="AV159" s="10">
        <v>45986</v>
      </c>
      <c r="AW159" s="10">
        <f>EDATE(AV159,12)</f>
        <v>46351</v>
      </c>
      <c r="AX159" s="10">
        <v>45988</v>
      </c>
      <c r="AY159" s="65"/>
      <c r="AZ159" s="65"/>
      <c r="BA159" s="5" t="s">
        <v>3119</v>
      </c>
      <c r="BB159" s="5" t="s">
        <v>3261</v>
      </c>
      <c r="BC159" s="34">
        <v>46100</v>
      </c>
      <c r="BD159" s="140">
        <f t="shared" ref="BD159" si="75">_xlfn.DAYS($BD$2,BC159)</f>
        <v>1</v>
      </c>
      <c r="BE159" s="11" t="s">
        <v>3633</v>
      </c>
      <c r="BF159" s="64" t="s">
        <v>4107</v>
      </c>
    </row>
    <row r="160" spans="2:58" s="64" customFormat="1" ht="39.950000000000003" hidden="1" customHeight="1" x14ac:dyDescent="0.25">
      <c r="B160" s="5">
        <v>234</v>
      </c>
      <c r="C160" s="6" t="s">
        <v>1209</v>
      </c>
      <c r="D160" s="100" t="s">
        <v>4108</v>
      </c>
      <c r="E160" s="5" t="s">
        <v>33</v>
      </c>
      <c r="F160" s="58" t="s">
        <v>1205</v>
      </c>
      <c r="G160" s="7" t="s">
        <v>1210</v>
      </c>
      <c r="H160" s="7" t="s">
        <v>336</v>
      </c>
      <c r="I160" s="8">
        <v>1476814</v>
      </c>
      <c r="J160" s="8"/>
      <c r="K160" s="8"/>
      <c r="L160" s="8">
        <f t="shared" si="71"/>
        <v>1772176.8</v>
      </c>
      <c r="M160" s="8">
        <f>16122+193290.88+1165.46+1348.14+40000+20000+250000+341744.37</f>
        <v>863670.85</v>
      </c>
      <c r="N160" s="8">
        <f>L160-M160</f>
        <v>908505.95000000007</v>
      </c>
      <c r="O160" s="15">
        <f t="shared" si="72"/>
        <v>719725.69783476344</v>
      </c>
      <c r="P160" s="15">
        <f t="shared" si="73"/>
        <v>143945.15216523648</v>
      </c>
      <c r="Q160" s="143">
        <f t="shared" si="74"/>
        <v>0.48735027453242813</v>
      </c>
      <c r="R160" s="159"/>
      <c r="S160" s="7" t="s">
        <v>73</v>
      </c>
      <c r="T160" s="5" t="s">
        <v>74</v>
      </c>
      <c r="U160" s="7" t="s">
        <v>1207</v>
      </c>
      <c r="V160" s="7">
        <v>1</v>
      </c>
      <c r="W160" s="9" t="s">
        <v>1208</v>
      </c>
      <c r="X160" s="10">
        <v>45320</v>
      </c>
      <c r="Y160" s="7" t="s">
        <v>67</v>
      </c>
      <c r="Z160" s="7"/>
      <c r="AA160" s="65"/>
      <c r="AB160" s="7">
        <v>330</v>
      </c>
      <c r="AC160" s="9">
        <v>149</v>
      </c>
      <c r="AD160" s="9"/>
      <c r="AE160" s="9"/>
      <c r="AF160" s="9"/>
      <c r="AG160" s="9">
        <v>340</v>
      </c>
      <c r="AH160" s="9"/>
      <c r="AI160" s="9"/>
      <c r="AJ160" s="9"/>
      <c r="AK160" s="9"/>
      <c r="AL160" s="9"/>
      <c r="AM160" s="9"/>
      <c r="AN160" s="9"/>
      <c r="AO160" s="9"/>
      <c r="AP160" s="9">
        <f t="shared" si="60"/>
        <v>3</v>
      </c>
      <c r="AQ160" s="62">
        <f t="shared" si="61"/>
        <v>273</v>
      </c>
      <c r="AR160" s="11" t="str">
        <f>IF(AQ160&gt;=$AR$1,"APROVADO","REPROVADO")</f>
        <v>APROVADO</v>
      </c>
      <c r="AS160" s="65"/>
      <c r="AT160" s="65"/>
      <c r="AU160" s="151"/>
      <c r="AV160" s="65"/>
      <c r="AW160" s="65"/>
      <c r="AX160" s="65"/>
      <c r="AY160" s="65"/>
      <c r="AZ160" s="65"/>
      <c r="BA160" s="65"/>
      <c r="BB160" s="65"/>
      <c r="BC160" s="34"/>
      <c r="BD160" s="65"/>
    </row>
    <row r="161" spans="2:56" s="64" customFormat="1" ht="39.950000000000003" hidden="1" customHeight="1" x14ac:dyDescent="0.25">
      <c r="B161" s="5">
        <v>235</v>
      </c>
      <c r="C161" s="6" t="s">
        <v>1211</v>
      </c>
      <c r="D161" s="101" t="s">
        <v>4109</v>
      </c>
      <c r="E161" s="5" t="s">
        <v>33</v>
      </c>
      <c r="F161" s="5" t="s">
        <v>1212</v>
      </c>
      <c r="G161" s="5" t="s">
        <v>1213</v>
      </c>
      <c r="H161" s="7" t="s">
        <v>36</v>
      </c>
      <c r="I161" s="17">
        <v>115695.5</v>
      </c>
      <c r="J161" s="17"/>
      <c r="K161" s="17"/>
      <c r="L161" s="8">
        <f t="shared" si="71"/>
        <v>138834.6</v>
      </c>
      <c r="M161" s="17"/>
      <c r="N161" s="17"/>
      <c r="O161" s="15">
        <f t="shared" si="72"/>
        <v>0</v>
      </c>
      <c r="P161" s="15">
        <f t="shared" si="73"/>
        <v>0</v>
      </c>
      <c r="Q161" s="143"/>
      <c r="R161" s="159"/>
      <c r="S161" s="7" t="s">
        <v>1214</v>
      </c>
      <c r="T161" s="5" t="s">
        <v>181</v>
      </c>
      <c r="U161" s="5" t="s">
        <v>1215</v>
      </c>
      <c r="V161" s="5"/>
      <c r="W161" s="9" t="s">
        <v>1216</v>
      </c>
      <c r="X161" s="10">
        <v>45320</v>
      </c>
      <c r="Y161" s="5" t="s">
        <v>67</v>
      </c>
      <c r="Z161" s="7" t="s">
        <v>68</v>
      </c>
      <c r="AA161" s="65"/>
      <c r="AB161" s="5">
        <v>340</v>
      </c>
      <c r="AC161" s="9">
        <v>244</v>
      </c>
      <c r="AD161" s="9">
        <v>260</v>
      </c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>
        <f t="shared" si="60"/>
        <v>3</v>
      </c>
      <c r="AQ161" s="62">
        <f t="shared" si="61"/>
        <v>281.33333333333331</v>
      </c>
      <c r="AR161" s="11" t="str">
        <f>IF(AQ161&gt;='Aprovados Recursos do Fundo'!$AQ$1,"APROVADO","REPROVADO")</f>
        <v>APROVADO</v>
      </c>
      <c r="AS161" s="65"/>
      <c r="AT161" s="65"/>
      <c r="AU161" s="151"/>
      <c r="AV161" s="65"/>
      <c r="AW161" s="65"/>
      <c r="AX161" s="65"/>
      <c r="AY161" s="65"/>
      <c r="AZ161" s="65"/>
      <c r="BA161" s="65"/>
      <c r="BB161" s="65"/>
      <c r="BC161" s="34"/>
      <c r="BD161" s="65"/>
    </row>
    <row r="162" spans="2:56" s="64" customFormat="1" ht="39.950000000000003" hidden="1" customHeight="1" x14ac:dyDescent="0.25">
      <c r="B162" s="5">
        <v>240</v>
      </c>
      <c r="C162" s="22" t="s">
        <v>1231</v>
      </c>
      <c r="D162" s="99"/>
      <c r="E162" s="5" t="s">
        <v>51</v>
      </c>
      <c r="F162" s="69" t="s">
        <v>1232</v>
      </c>
      <c r="G162" s="11" t="s">
        <v>1237</v>
      </c>
      <c r="H162" s="11" t="s">
        <v>36</v>
      </c>
      <c r="I162" s="41">
        <v>469800</v>
      </c>
      <c r="J162" s="41"/>
      <c r="K162" s="41"/>
      <c r="L162" s="8">
        <v>563760</v>
      </c>
      <c r="M162" s="41"/>
      <c r="N162" s="41"/>
      <c r="O162" s="41"/>
      <c r="P162" s="41"/>
      <c r="Q162" s="143"/>
      <c r="R162" s="159"/>
      <c r="S162" s="11" t="s">
        <v>503</v>
      </c>
      <c r="T162" s="11" t="s">
        <v>154</v>
      </c>
      <c r="U162" s="9" t="s">
        <v>1234</v>
      </c>
      <c r="V162" s="9"/>
      <c r="W162" s="67" t="s">
        <v>1235</v>
      </c>
      <c r="X162" s="34">
        <v>45320</v>
      </c>
      <c r="Y162" s="9" t="s">
        <v>41</v>
      </c>
      <c r="Z162" s="11" t="s">
        <v>1236</v>
      </c>
      <c r="AA162" s="65"/>
      <c r="AB162" s="9">
        <v>305</v>
      </c>
      <c r="AC162" s="9">
        <v>130</v>
      </c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65">
        <v>224</v>
      </c>
      <c r="AO162" s="65"/>
      <c r="AP162" s="9">
        <f t="shared" si="60"/>
        <v>3</v>
      </c>
      <c r="AQ162" s="62">
        <f t="shared" si="61"/>
        <v>219.66666666666666</v>
      </c>
      <c r="AR162" s="11" t="str">
        <f>IF(AQ162&gt;=$AR$1,"APROVADO","REPROVADO")</f>
        <v>APROVADO</v>
      </c>
      <c r="AS162" s="65"/>
      <c r="AT162" s="65"/>
      <c r="AU162" s="151"/>
      <c r="AV162" s="65"/>
      <c r="AW162" s="65"/>
      <c r="AX162" s="65"/>
      <c r="AY162" s="65"/>
      <c r="AZ162" s="65"/>
      <c r="BA162" s="65"/>
      <c r="BB162" s="65"/>
      <c r="BC162" s="34"/>
      <c r="BD162" s="65"/>
    </row>
    <row r="163" spans="2:56" s="64" customFormat="1" ht="39.950000000000003" hidden="1" customHeight="1" x14ac:dyDescent="0.25">
      <c r="B163" s="5">
        <v>239</v>
      </c>
      <c r="C163" s="22" t="s">
        <v>1231</v>
      </c>
      <c r="D163" s="9"/>
      <c r="E163" s="5" t="s">
        <v>51</v>
      </c>
      <c r="F163" s="11" t="s">
        <v>1232</v>
      </c>
      <c r="G163" s="11" t="s">
        <v>1233</v>
      </c>
      <c r="H163" s="11" t="s">
        <v>36</v>
      </c>
      <c r="I163" s="41">
        <v>183800</v>
      </c>
      <c r="J163" s="41"/>
      <c r="K163" s="41"/>
      <c r="L163" s="8">
        <v>220560</v>
      </c>
      <c r="M163" s="41"/>
      <c r="N163" s="41"/>
      <c r="O163" s="41"/>
      <c r="P163" s="41"/>
      <c r="Q163" s="143"/>
      <c r="R163" s="159"/>
      <c r="S163" s="11" t="s">
        <v>503</v>
      </c>
      <c r="T163" s="11" t="s">
        <v>154</v>
      </c>
      <c r="U163" s="9" t="s">
        <v>1234</v>
      </c>
      <c r="V163" s="9"/>
      <c r="W163" s="67" t="s">
        <v>1235</v>
      </c>
      <c r="X163" s="34">
        <v>45320</v>
      </c>
      <c r="Y163" s="9" t="s">
        <v>41</v>
      </c>
      <c r="Z163" s="11" t="s">
        <v>1236</v>
      </c>
      <c r="AA163" s="65"/>
      <c r="AB163" s="9">
        <v>297</v>
      </c>
      <c r="AC163" s="9">
        <v>124</v>
      </c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65">
        <v>290</v>
      </c>
      <c r="AO163" s="65"/>
      <c r="AP163" s="9">
        <f t="shared" si="60"/>
        <v>3</v>
      </c>
      <c r="AQ163" s="62">
        <f t="shared" si="61"/>
        <v>237</v>
      </c>
      <c r="AR163" s="11" t="str">
        <f>IF(AQ163&gt;='Aprovados Recursos do Fundo'!$AQ$1,"APROVADO","REPROVADO")</f>
        <v>APROVADO</v>
      </c>
      <c r="AS163" s="65"/>
      <c r="AT163" s="65"/>
      <c r="AU163" s="151"/>
      <c r="AV163" s="65"/>
      <c r="AW163" s="65"/>
      <c r="AX163" s="65"/>
      <c r="AY163" s="65"/>
      <c r="AZ163" s="65"/>
      <c r="BA163" s="65"/>
      <c r="BB163" s="65"/>
      <c r="BC163" s="34"/>
      <c r="BD163" s="65"/>
    </row>
    <row r="164" spans="2:56" s="64" customFormat="1" ht="39.950000000000003" hidden="1" customHeight="1" x14ac:dyDescent="0.25">
      <c r="B164" s="5">
        <v>241</v>
      </c>
      <c r="C164" s="27" t="s">
        <v>1238</v>
      </c>
      <c r="D164" s="101" t="s">
        <v>4110</v>
      </c>
      <c r="E164" s="5" t="s">
        <v>33</v>
      </c>
      <c r="F164" s="5" t="s">
        <v>1239</v>
      </c>
      <c r="G164" s="7" t="s">
        <v>1240</v>
      </c>
      <c r="H164" s="7" t="s">
        <v>36</v>
      </c>
      <c r="I164" s="8">
        <v>99856.65</v>
      </c>
      <c r="J164" s="8"/>
      <c r="K164" s="8"/>
      <c r="L164" s="8">
        <f>I164*1.2</f>
        <v>119827.97999999998</v>
      </c>
      <c r="M164" s="8"/>
      <c r="N164" s="8"/>
      <c r="O164" s="15">
        <f>M164*0.83333332117758</f>
        <v>0</v>
      </c>
      <c r="P164" s="15">
        <f>M164*0.16666667882242</f>
        <v>0</v>
      </c>
      <c r="Q164" s="143"/>
      <c r="R164" s="159"/>
      <c r="S164" s="7" t="s">
        <v>1241</v>
      </c>
      <c r="T164" s="7" t="s">
        <v>154</v>
      </c>
      <c r="U164" s="7" t="s">
        <v>1242</v>
      </c>
      <c r="V164" s="7"/>
      <c r="W164" s="9" t="s">
        <v>1243</v>
      </c>
      <c r="X164" s="10">
        <v>45320</v>
      </c>
      <c r="Y164" s="7" t="s">
        <v>41</v>
      </c>
      <c r="Z164" s="7"/>
      <c r="AA164" s="65"/>
      <c r="AB164" s="7">
        <v>335</v>
      </c>
      <c r="AC164" s="9">
        <v>220</v>
      </c>
      <c r="AD164" s="9"/>
      <c r="AE164" s="9"/>
      <c r="AF164" s="9"/>
      <c r="AG164" s="9"/>
      <c r="AH164" s="9"/>
      <c r="AI164" s="9"/>
      <c r="AJ164" s="9"/>
      <c r="AK164" s="9"/>
      <c r="AL164" s="9"/>
      <c r="AM164" s="9">
        <v>272</v>
      </c>
      <c r="AN164" s="9"/>
      <c r="AO164" s="9"/>
      <c r="AP164" s="9">
        <f t="shared" si="60"/>
        <v>3</v>
      </c>
      <c r="AQ164" s="62">
        <f t="shared" si="61"/>
        <v>275.66666666666669</v>
      </c>
      <c r="AR164" s="11" t="str">
        <f>IF(AQ164&gt;='Aprovados Recursos do Fundo'!$AQ$1,"APROVADO","REPROVADO")</f>
        <v>APROVADO</v>
      </c>
      <c r="AS164" s="65"/>
      <c r="AT164" s="65"/>
      <c r="AU164" s="151"/>
      <c r="AV164" s="65"/>
      <c r="AW164" s="65"/>
      <c r="AX164" s="65"/>
      <c r="AY164" s="65"/>
      <c r="AZ164" s="65"/>
      <c r="BA164" s="65"/>
      <c r="BB164" s="65"/>
      <c r="BC164" s="34"/>
      <c r="BD164" s="65"/>
    </row>
    <row r="165" spans="2:56" s="64" customFormat="1" ht="39.950000000000003" hidden="1" customHeight="1" x14ac:dyDescent="0.25">
      <c r="B165" s="5">
        <v>242</v>
      </c>
      <c r="C165" s="22" t="s">
        <v>1244</v>
      </c>
      <c r="D165" s="9"/>
      <c r="E165" s="5" t="s">
        <v>51</v>
      </c>
      <c r="F165" s="9" t="s">
        <v>1245</v>
      </c>
      <c r="G165" s="11" t="s">
        <v>1246</v>
      </c>
      <c r="H165" s="11" t="s">
        <v>36</v>
      </c>
      <c r="I165" s="41">
        <v>500000</v>
      </c>
      <c r="J165" s="41"/>
      <c r="K165" s="41"/>
      <c r="L165" s="8">
        <v>600000</v>
      </c>
      <c r="M165" s="41"/>
      <c r="N165" s="41"/>
      <c r="O165" s="41"/>
      <c r="P165" s="41"/>
      <c r="Q165" s="143"/>
      <c r="R165" s="159"/>
      <c r="S165" s="9" t="s">
        <v>1247</v>
      </c>
      <c r="T165" s="11" t="s">
        <v>154</v>
      </c>
      <c r="U165" s="9" t="s">
        <v>1248</v>
      </c>
      <c r="V165" s="9"/>
      <c r="W165" s="68" t="s">
        <v>1249</v>
      </c>
      <c r="X165" s="34">
        <v>45320</v>
      </c>
      <c r="Y165" s="9" t="s">
        <v>57</v>
      </c>
      <c r="Z165" s="9"/>
      <c r="AA165" s="65"/>
      <c r="AB165" s="9">
        <v>268</v>
      </c>
      <c r="AC165" s="9"/>
      <c r="AD165" s="9"/>
      <c r="AE165" s="9"/>
      <c r="AF165" s="9"/>
      <c r="AG165" s="9">
        <v>278</v>
      </c>
      <c r="AH165" s="9">
        <v>224</v>
      </c>
      <c r="AI165" s="9"/>
      <c r="AJ165" s="9"/>
      <c r="AK165" s="9"/>
      <c r="AL165" s="9"/>
      <c r="AM165" s="9"/>
      <c r="AN165" s="65"/>
      <c r="AO165" s="65"/>
      <c r="AP165" s="9">
        <f t="shared" si="60"/>
        <v>3</v>
      </c>
      <c r="AQ165" s="62">
        <f t="shared" si="61"/>
        <v>256.66666666666669</v>
      </c>
      <c r="AR165" s="11" t="str">
        <f>IF(AQ165&gt;='Aprovados Recursos do Fundo'!$AQ$1,"APROVADO","REPROVADO")</f>
        <v>APROVADO</v>
      </c>
      <c r="AS165" s="65"/>
      <c r="AT165" s="65"/>
      <c r="AU165" s="151"/>
      <c r="AV165" s="65"/>
      <c r="AW165" s="65"/>
      <c r="AX165" s="65"/>
      <c r="AY165" s="65"/>
      <c r="AZ165" s="65"/>
      <c r="BA165" s="65"/>
      <c r="BB165" s="65"/>
      <c r="BC165" s="34"/>
      <c r="BD165" s="65"/>
    </row>
    <row r="166" spans="2:56" s="64" customFormat="1" ht="39.950000000000003" hidden="1" customHeight="1" x14ac:dyDescent="0.25">
      <c r="B166" s="5">
        <v>244</v>
      </c>
      <c r="C166" s="22" t="s">
        <v>1256</v>
      </c>
      <c r="D166" s="9"/>
      <c r="E166" s="5" t="s">
        <v>51</v>
      </c>
      <c r="F166" s="9" t="s">
        <v>1257</v>
      </c>
      <c r="G166" s="9" t="s">
        <v>1258</v>
      </c>
      <c r="H166" s="11" t="s">
        <v>36</v>
      </c>
      <c r="I166" s="41">
        <v>73240</v>
      </c>
      <c r="J166" s="41"/>
      <c r="K166" s="41"/>
      <c r="L166" s="8">
        <v>87888</v>
      </c>
      <c r="M166" s="41"/>
      <c r="N166" s="41"/>
      <c r="O166" s="41"/>
      <c r="P166" s="41"/>
      <c r="Q166" s="143"/>
      <c r="R166" s="159"/>
      <c r="S166" s="9" t="s">
        <v>153</v>
      </c>
      <c r="T166" s="11" t="s">
        <v>154</v>
      </c>
      <c r="U166" s="11" t="s">
        <v>1259</v>
      </c>
      <c r="V166" s="11"/>
      <c r="W166" s="21" t="s">
        <v>1260</v>
      </c>
      <c r="X166" s="34">
        <v>45320</v>
      </c>
      <c r="Y166" s="9" t="s">
        <v>41</v>
      </c>
      <c r="Z166" s="9"/>
      <c r="AA166" s="65"/>
      <c r="AB166" s="9">
        <v>340</v>
      </c>
      <c r="AC166" s="9">
        <v>212</v>
      </c>
      <c r="AD166" s="9">
        <v>262</v>
      </c>
      <c r="AE166" s="9"/>
      <c r="AF166" s="9"/>
      <c r="AG166" s="9"/>
      <c r="AH166" s="9"/>
      <c r="AI166" s="9"/>
      <c r="AJ166" s="9"/>
      <c r="AK166" s="9"/>
      <c r="AL166" s="9"/>
      <c r="AM166" s="9"/>
      <c r="AN166" s="65"/>
      <c r="AO166" s="65"/>
      <c r="AP166" s="9">
        <f t="shared" si="60"/>
        <v>3</v>
      </c>
      <c r="AQ166" s="62">
        <f t="shared" si="61"/>
        <v>271.33333333333331</v>
      </c>
      <c r="AR166" s="11" t="str">
        <f>IF(AQ166&gt;='Aprovados Recursos do Fundo'!$AQ$1,"APROVADO","REPROVADO")</f>
        <v>APROVADO</v>
      </c>
      <c r="AS166" s="65"/>
      <c r="AT166" s="65"/>
      <c r="AU166" s="151"/>
      <c r="AV166" s="65"/>
      <c r="AW166" s="65"/>
      <c r="AX166" s="65"/>
      <c r="AY166" s="65"/>
      <c r="AZ166" s="65"/>
      <c r="BA166" s="65"/>
      <c r="BB166" s="65"/>
      <c r="BC166" s="34"/>
      <c r="BD166" s="65"/>
    </row>
    <row r="167" spans="2:56" s="64" customFormat="1" ht="39.950000000000003" hidden="1" customHeight="1" x14ac:dyDescent="0.25">
      <c r="B167" s="5">
        <v>245</v>
      </c>
      <c r="C167" s="22" t="s">
        <v>1261</v>
      </c>
      <c r="D167" s="9"/>
      <c r="E167" s="5" t="s">
        <v>51</v>
      </c>
      <c r="F167" s="9" t="s">
        <v>1262</v>
      </c>
      <c r="G167" s="11" t="s">
        <v>1263</v>
      </c>
      <c r="H167" s="11" t="s">
        <v>107</v>
      </c>
      <c r="I167" s="41">
        <v>32693.32</v>
      </c>
      <c r="J167" s="41"/>
      <c r="K167" s="41"/>
      <c r="L167" s="8">
        <v>39231.983999999997</v>
      </c>
      <c r="M167" s="41"/>
      <c r="N167" s="41"/>
      <c r="O167" s="41"/>
      <c r="P167" s="41"/>
      <c r="Q167" s="143"/>
      <c r="R167" s="159"/>
      <c r="S167" s="9" t="s">
        <v>1264</v>
      </c>
      <c r="T167" s="11" t="s">
        <v>154</v>
      </c>
      <c r="U167" s="9" t="s">
        <v>1265</v>
      </c>
      <c r="V167" s="9"/>
      <c r="W167" s="67" t="s">
        <v>1203</v>
      </c>
      <c r="X167" s="34">
        <v>45320</v>
      </c>
      <c r="Y167" s="9" t="s">
        <v>41</v>
      </c>
      <c r="Z167" s="9"/>
      <c r="AA167" s="65"/>
      <c r="AB167" s="9">
        <v>313</v>
      </c>
      <c r="AC167" s="9">
        <v>224</v>
      </c>
      <c r="AD167" s="9">
        <v>252</v>
      </c>
      <c r="AE167" s="9"/>
      <c r="AF167" s="9"/>
      <c r="AG167" s="9"/>
      <c r="AH167" s="9"/>
      <c r="AI167" s="9"/>
      <c r="AJ167" s="9"/>
      <c r="AK167" s="9"/>
      <c r="AL167" s="9"/>
      <c r="AM167" s="9"/>
      <c r="AN167" s="65"/>
      <c r="AO167" s="65"/>
      <c r="AP167" s="9">
        <f t="shared" si="60"/>
        <v>3</v>
      </c>
      <c r="AQ167" s="62">
        <f t="shared" si="61"/>
        <v>263</v>
      </c>
      <c r="AR167" s="11" t="str">
        <f>IF(AQ167&gt;='Aprovados Recursos do Fundo'!$AQ$1,"APROVADO","REPROVADO")</f>
        <v>APROVADO</v>
      </c>
      <c r="AS167" s="65"/>
      <c r="AT167" s="65"/>
      <c r="AU167" s="151"/>
      <c r="AV167" s="65"/>
      <c r="AW167" s="65"/>
      <c r="AX167" s="65"/>
      <c r="AY167" s="65"/>
      <c r="AZ167" s="65"/>
      <c r="BA167" s="65"/>
      <c r="BB167" s="65"/>
      <c r="BC167" s="34"/>
      <c r="BD167" s="65"/>
    </row>
    <row r="168" spans="2:56" s="64" customFormat="1" ht="39.950000000000003" hidden="1" customHeight="1" x14ac:dyDescent="0.25">
      <c r="B168" s="5">
        <v>246</v>
      </c>
      <c r="C168" s="22" t="s">
        <v>1266</v>
      </c>
      <c r="D168" s="9"/>
      <c r="E168" s="5" t="s">
        <v>51</v>
      </c>
      <c r="F168" s="9" t="s">
        <v>1267</v>
      </c>
      <c r="G168" s="9" t="s">
        <v>1268</v>
      </c>
      <c r="H168" s="11" t="s">
        <v>107</v>
      </c>
      <c r="I168" s="41">
        <v>572800</v>
      </c>
      <c r="J168" s="41"/>
      <c r="K168" s="41"/>
      <c r="L168" s="8">
        <v>687360</v>
      </c>
      <c r="M168" s="41"/>
      <c r="N168" s="41"/>
      <c r="O168" s="41"/>
      <c r="P168" s="41"/>
      <c r="Q168" s="143"/>
      <c r="R168" s="159"/>
      <c r="S168" s="9" t="s">
        <v>1269</v>
      </c>
      <c r="T168" s="11" t="s">
        <v>154</v>
      </c>
      <c r="U168" s="11" t="s">
        <v>1270</v>
      </c>
      <c r="V168" s="11"/>
      <c r="W168" s="21" t="s">
        <v>1271</v>
      </c>
      <c r="X168" s="34">
        <v>45320</v>
      </c>
      <c r="Y168" s="9" t="s">
        <v>41</v>
      </c>
      <c r="Z168" s="9"/>
      <c r="AA168" s="65"/>
      <c r="AB168" s="9">
        <v>309</v>
      </c>
      <c r="AC168" s="9">
        <v>164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>
        <v>340</v>
      </c>
      <c r="AO168" s="65"/>
      <c r="AP168" s="9">
        <f t="shared" si="60"/>
        <v>3</v>
      </c>
      <c r="AQ168" s="62">
        <f t="shared" si="61"/>
        <v>271</v>
      </c>
      <c r="AR168" s="11" t="str">
        <f>IF(AQ168&gt;='Aprovados Recursos do Fundo'!$AQ$1,"APROVADO","REPROVADO")</f>
        <v>APROVADO</v>
      </c>
      <c r="AS168" s="65"/>
      <c r="AT168" s="65"/>
      <c r="AU168" s="151"/>
      <c r="AV168" s="65"/>
      <c r="AW168" s="65"/>
      <c r="AX168" s="65"/>
      <c r="AY168" s="65"/>
      <c r="AZ168" s="65"/>
      <c r="BA168" s="65"/>
      <c r="BB168" s="65"/>
      <c r="BC168" s="34"/>
      <c r="BD168" s="65"/>
    </row>
    <row r="169" spans="2:56" s="64" customFormat="1" ht="39.950000000000003" hidden="1" customHeight="1" x14ac:dyDescent="0.25">
      <c r="B169" s="5">
        <v>249</v>
      </c>
      <c r="C169" s="22" t="s">
        <v>1285</v>
      </c>
      <c r="D169" s="9"/>
      <c r="E169" s="5" t="s">
        <v>51</v>
      </c>
      <c r="F169" s="9" t="s">
        <v>1286</v>
      </c>
      <c r="G169" s="9" t="s">
        <v>1287</v>
      </c>
      <c r="H169" s="11" t="s">
        <v>107</v>
      </c>
      <c r="I169" s="41">
        <v>163000</v>
      </c>
      <c r="J169" s="41"/>
      <c r="K169" s="41"/>
      <c r="L169" s="8">
        <v>195600</v>
      </c>
      <c r="M169" s="41"/>
      <c r="N169" s="41"/>
      <c r="O169" s="41"/>
      <c r="P169" s="41"/>
      <c r="Q169" s="143"/>
      <c r="R169" s="159"/>
      <c r="S169" s="9" t="s">
        <v>1288</v>
      </c>
      <c r="T169" s="11" t="s">
        <v>154</v>
      </c>
      <c r="U169" s="9" t="s">
        <v>1289</v>
      </c>
      <c r="V169" s="9"/>
      <c r="W169" s="67" t="s">
        <v>1290</v>
      </c>
      <c r="X169" s="34">
        <v>45320</v>
      </c>
      <c r="Y169" s="9" t="s">
        <v>57</v>
      </c>
      <c r="Z169" s="9"/>
      <c r="AA169" s="65"/>
      <c r="AB169" s="9">
        <v>292</v>
      </c>
      <c r="AC169" s="9">
        <v>132</v>
      </c>
      <c r="AD169" s="9"/>
      <c r="AE169" s="9"/>
      <c r="AF169" s="9"/>
      <c r="AG169" s="9"/>
      <c r="AH169" s="9"/>
      <c r="AI169" s="9"/>
      <c r="AJ169" s="9">
        <v>299</v>
      </c>
      <c r="AK169" s="9"/>
      <c r="AL169" s="9"/>
      <c r="AM169" s="9"/>
      <c r="AN169" s="65"/>
      <c r="AO169" s="65"/>
      <c r="AP169" s="9">
        <f t="shared" si="60"/>
        <v>3</v>
      </c>
      <c r="AQ169" s="62">
        <f t="shared" si="61"/>
        <v>241</v>
      </c>
      <c r="AR169" s="11" t="str">
        <f>IF(AQ169&gt;='Aprovados Recursos do Fundo'!$AQ$1,"APROVADO","REPROVADO")</f>
        <v>APROVADO</v>
      </c>
      <c r="AS169" s="65"/>
      <c r="AT169" s="65"/>
      <c r="AU169" s="151"/>
      <c r="AV169" s="65"/>
      <c r="AW169" s="65"/>
      <c r="AX169" s="65"/>
      <c r="AY169" s="65"/>
      <c r="AZ169" s="65"/>
      <c r="BA169" s="65"/>
      <c r="BB169" s="65"/>
      <c r="BC169" s="34"/>
      <c r="BD169" s="65"/>
    </row>
    <row r="170" spans="2:56" s="64" customFormat="1" ht="39.950000000000003" hidden="1" customHeight="1" x14ac:dyDescent="0.25">
      <c r="B170" s="5">
        <v>250</v>
      </c>
      <c r="C170" s="22" t="s">
        <v>1291</v>
      </c>
      <c r="D170" s="9"/>
      <c r="E170" s="5" t="s">
        <v>51</v>
      </c>
      <c r="F170" s="9" t="s">
        <v>1292</v>
      </c>
      <c r="G170" s="9" t="s">
        <v>1293</v>
      </c>
      <c r="H170" s="11" t="s">
        <v>36</v>
      </c>
      <c r="I170" s="41">
        <v>499505</v>
      </c>
      <c r="J170" s="41"/>
      <c r="K170" s="41"/>
      <c r="L170" s="8">
        <v>599406</v>
      </c>
      <c r="M170" s="41"/>
      <c r="N170" s="41"/>
      <c r="O170" s="41"/>
      <c r="P170" s="41"/>
      <c r="Q170" s="143"/>
      <c r="R170" s="159"/>
      <c r="S170" s="9" t="s">
        <v>1294</v>
      </c>
      <c r="T170" s="11" t="s">
        <v>154</v>
      </c>
      <c r="U170" s="9" t="s">
        <v>1295</v>
      </c>
      <c r="V170" s="9"/>
      <c r="W170" s="67" t="s">
        <v>1296</v>
      </c>
      <c r="X170" s="34">
        <v>45320</v>
      </c>
      <c r="Y170" s="9" t="s">
        <v>41</v>
      </c>
      <c r="Z170" s="9"/>
      <c r="AA170" s="65"/>
      <c r="AB170" s="9">
        <v>313</v>
      </c>
      <c r="AC170" s="9">
        <v>241</v>
      </c>
      <c r="AD170" s="9">
        <v>254</v>
      </c>
      <c r="AE170" s="9"/>
      <c r="AF170" s="9"/>
      <c r="AG170" s="9"/>
      <c r="AH170" s="9"/>
      <c r="AI170" s="9"/>
      <c r="AJ170" s="9"/>
      <c r="AK170" s="9"/>
      <c r="AL170" s="9"/>
      <c r="AM170" s="9"/>
      <c r="AN170" s="65"/>
      <c r="AO170" s="65"/>
      <c r="AP170" s="9">
        <f t="shared" si="60"/>
        <v>3</v>
      </c>
      <c r="AQ170" s="62">
        <f t="shared" si="61"/>
        <v>269.33333333333331</v>
      </c>
      <c r="AR170" s="11" t="str">
        <f>IF(AQ170&gt;='Aprovados Recursos do Fundo'!$AQ$1,"APROVADO","REPROVADO")</f>
        <v>APROVADO</v>
      </c>
      <c r="AS170" s="65"/>
      <c r="AT170" s="65"/>
      <c r="AU170" s="151"/>
      <c r="AV170" s="65"/>
      <c r="AW170" s="65"/>
      <c r="AX170" s="65"/>
      <c r="AY170" s="65"/>
      <c r="AZ170" s="65"/>
      <c r="BA170" s="65"/>
      <c r="BB170" s="65"/>
      <c r="BC170" s="34"/>
      <c r="BD170" s="65"/>
    </row>
    <row r="171" spans="2:56" s="64" customFormat="1" ht="39.950000000000003" hidden="1" customHeight="1" x14ac:dyDescent="0.25">
      <c r="B171" s="5">
        <v>251</v>
      </c>
      <c r="C171" s="22" t="s">
        <v>1297</v>
      </c>
      <c r="D171" s="9"/>
      <c r="E171" s="5" t="s">
        <v>51</v>
      </c>
      <c r="F171" s="9" t="s">
        <v>1298</v>
      </c>
      <c r="G171" s="9" t="s">
        <v>1299</v>
      </c>
      <c r="H171" s="7" t="s">
        <v>107</v>
      </c>
      <c r="I171" s="41">
        <v>30000</v>
      </c>
      <c r="J171" s="41"/>
      <c r="K171" s="41"/>
      <c r="L171" s="8">
        <v>36000</v>
      </c>
      <c r="M171" s="41"/>
      <c r="N171" s="41"/>
      <c r="O171" s="41"/>
      <c r="P171" s="41"/>
      <c r="Q171" s="143"/>
      <c r="R171" s="159"/>
      <c r="S171" s="9" t="s">
        <v>1300</v>
      </c>
      <c r="T171" s="11" t="s">
        <v>154</v>
      </c>
      <c r="U171" s="9" t="s">
        <v>1301</v>
      </c>
      <c r="V171" s="9"/>
      <c r="W171" s="67" t="s">
        <v>1302</v>
      </c>
      <c r="X171" s="34">
        <v>45320</v>
      </c>
      <c r="Y171" s="9" t="s">
        <v>41</v>
      </c>
      <c r="Z171" s="9"/>
      <c r="AA171" s="65"/>
      <c r="AB171" s="9">
        <v>315</v>
      </c>
      <c r="AC171" s="9">
        <v>189</v>
      </c>
      <c r="AD171" s="9">
        <v>238</v>
      </c>
      <c r="AE171" s="9"/>
      <c r="AF171" s="9"/>
      <c r="AG171" s="9"/>
      <c r="AH171" s="9"/>
      <c r="AI171" s="9"/>
      <c r="AJ171" s="9"/>
      <c r="AK171" s="9"/>
      <c r="AL171" s="9"/>
      <c r="AM171" s="9"/>
      <c r="AN171" s="65"/>
      <c r="AO171" s="65"/>
      <c r="AP171" s="9">
        <f t="shared" si="60"/>
        <v>3</v>
      </c>
      <c r="AQ171" s="62">
        <f t="shared" si="61"/>
        <v>247.33333333333334</v>
      </c>
      <c r="AR171" s="11" t="str">
        <f>IF(AQ171&gt;='Aprovados Recursos do Fundo'!$AQ$1,"APROVADO","REPROVADO")</f>
        <v>APROVADO</v>
      </c>
      <c r="AS171" s="65"/>
      <c r="AT171" s="65"/>
      <c r="AU171" s="151"/>
      <c r="AV171" s="65"/>
      <c r="AW171" s="65"/>
      <c r="AX171" s="65"/>
      <c r="AY171" s="65"/>
      <c r="AZ171" s="65"/>
      <c r="BA171" s="65"/>
      <c r="BB171" s="65"/>
      <c r="BC171" s="34"/>
      <c r="BD171" s="65"/>
    </row>
    <row r="172" spans="2:56" s="64" customFormat="1" ht="39.950000000000003" hidden="1" customHeight="1" x14ac:dyDescent="0.25">
      <c r="B172" s="5">
        <v>254</v>
      </c>
      <c r="C172" s="22" t="s">
        <v>1316</v>
      </c>
      <c r="D172" s="9"/>
      <c r="E172" s="5" t="s">
        <v>51</v>
      </c>
      <c r="F172" s="9" t="s">
        <v>1317</v>
      </c>
      <c r="G172" s="9" t="s">
        <v>1318</v>
      </c>
      <c r="H172" s="11" t="s">
        <v>36</v>
      </c>
      <c r="I172" s="41">
        <v>66115.899999999994</v>
      </c>
      <c r="J172" s="41"/>
      <c r="K172" s="41"/>
      <c r="L172" s="8">
        <v>79339.079999999987</v>
      </c>
      <c r="M172" s="41"/>
      <c r="N172" s="41"/>
      <c r="O172" s="41"/>
      <c r="P172" s="41"/>
      <c r="Q172" s="143"/>
      <c r="R172" s="159"/>
      <c r="S172" s="9" t="s">
        <v>1319</v>
      </c>
      <c r="T172" s="11" t="s">
        <v>189</v>
      </c>
      <c r="U172" s="11" t="s">
        <v>1320</v>
      </c>
      <c r="V172" s="11"/>
      <c r="W172" s="21" t="s">
        <v>1321</v>
      </c>
      <c r="X172" s="34">
        <v>45320</v>
      </c>
      <c r="Y172" s="9" t="s">
        <v>41</v>
      </c>
      <c r="Z172" s="9"/>
      <c r="AA172" s="65"/>
      <c r="AB172" s="9">
        <v>340</v>
      </c>
      <c r="AC172" s="9">
        <v>194</v>
      </c>
      <c r="AD172" s="9">
        <v>246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65"/>
      <c r="AO172" s="65"/>
      <c r="AP172" s="9">
        <f t="shared" si="60"/>
        <v>3</v>
      </c>
      <c r="AQ172" s="62">
        <f t="shared" si="61"/>
        <v>260</v>
      </c>
      <c r="AR172" s="11" t="str">
        <f>IF(AQ172&gt;='Aprovados Recursos do Fundo'!$AQ$1,"APROVADO","REPROVADO")</f>
        <v>APROVADO</v>
      </c>
      <c r="AS172" s="65"/>
      <c r="AT172" s="65"/>
      <c r="AU172" s="151"/>
      <c r="AV172" s="65"/>
      <c r="AW172" s="65"/>
      <c r="AX172" s="65"/>
      <c r="AY172" s="65"/>
      <c r="AZ172" s="65"/>
      <c r="BA172" s="65"/>
      <c r="BB172" s="65"/>
      <c r="BC172" s="34"/>
      <c r="BD172" s="65"/>
    </row>
    <row r="173" spans="2:56" s="64" customFormat="1" ht="39.950000000000003" hidden="1" customHeight="1" x14ac:dyDescent="0.25">
      <c r="B173" s="5">
        <v>256</v>
      </c>
      <c r="C173" s="6" t="s">
        <v>1323</v>
      </c>
      <c r="D173" s="101" t="s">
        <v>4111</v>
      </c>
      <c r="E173" s="5" t="s">
        <v>33</v>
      </c>
      <c r="F173" s="5" t="s">
        <v>1324</v>
      </c>
      <c r="G173" s="5" t="s">
        <v>1325</v>
      </c>
      <c r="H173" s="5" t="s">
        <v>62</v>
      </c>
      <c r="I173" s="8">
        <v>583526.5</v>
      </c>
      <c r="J173" s="8"/>
      <c r="K173" s="8"/>
      <c r="L173" s="8">
        <f t="shared" ref="L173:L174" si="76">I173*1.2</f>
        <v>700231.79999999993</v>
      </c>
      <c r="M173" s="8"/>
      <c r="N173" s="8"/>
      <c r="O173" s="15">
        <f t="shared" ref="O173:O174" si="77">M173*0.83333332117758</f>
        <v>0</v>
      </c>
      <c r="P173" s="15">
        <f t="shared" ref="P173:P174" si="78">M173*0.16666667882242</f>
        <v>0</v>
      </c>
      <c r="Q173" s="143"/>
      <c r="R173" s="159"/>
      <c r="S173" s="7" t="s">
        <v>859</v>
      </c>
      <c r="T173" s="7" t="s">
        <v>181</v>
      </c>
      <c r="U173" s="7" t="s">
        <v>1326</v>
      </c>
      <c r="V173" s="7"/>
      <c r="W173" s="9" t="s">
        <v>1327</v>
      </c>
      <c r="X173" s="10">
        <v>45320</v>
      </c>
      <c r="Y173" s="5" t="s">
        <v>67</v>
      </c>
      <c r="Z173" s="7"/>
      <c r="AA173" s="65"/>
      <c r="AB173" s="5">
        <v>305</v>
      </c>
      <c r="AC173" s="9">
        <v>89</v>
      </c>
      <c r="AD173" s="9">
        <v>222</v>
      </c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>
        <f t="shared" si="60"/>
        <v>3</v>
      </c>
      <c r="AQ173" s="62">
        <f t="shared" si="61"/>
        <v>205.33333333333334</v>
      </c>
      <c r="AR173" s="11" t="str">
        <f>IF(AQ173&gt;='Aprovados Recursos do Fundo'!$AQ$1,"APROVADO","REPROVADO")</f>
        <v>APROVADO</v>
      </c>
      <c r="AS173" s="65"/>
      <c r="AT173" s="65"/>
      <c r="AU173" s="151"/>
      <c r="AV173" s="65"/>
      <c r="AW173" s="65"/>
      <c r="AX173" s="65"/>
      <c r="AY173" s="65"/>
      <c r="AZ173" s="65"/>
      <c r="BA173" s="65"/>
      <c r="BB173" s="65"/>
      <c r="BC173" s="34"/>
      <c r="BD173" s="65"/>
    </row>
    <row r="174" spans="2:56" s="64" customFormat="1" ht="39.950000000000003" hidden="1" customHeight="1" x14ac:dyDescent="0.25">
      <c r="B174" s="5">
        <v>257</v>
      </c>
      <c r="C174" s="6" t="s">
        <v>1328</v>
      </c>
      <c r="D174" s="101" t="s">
        <v>4112</v>
      </c>
      <c r="E174" s="5" t="s">
        <v>33</v>
      </c>
      <c r="F174" s="5" t="s">
        <v>1329</v>
      </c>
      <c r="G174" s="5" t="s">
        <v>1330</v>
      </c>
      <c r="H174" s="7" t="s">
        <v>36</v>
      </c>
      <c r="I174" s="8">
        <v>799023.7</v>
      </c>
      <c r="J174" s="8"/>
      <c r="K174" s="8"/>
      <c r="L174" s="8">
        <f t="shared" si="76"/>
        <v>958828.44</v>
      </c>
      <c r="M174" s="8"/>
      <c r="N174" s="8"/>
      <c r="O174" s="15">
        <f t="shared" si="77"/>
        <v>0</v>
      </c>
      <c r="P174" s="15">
        <f t="shared" si="78"/>
        <v>0</v>
      </c>
      <c r="Q174" s="143"/>
      <c r="R174" s="159"/>
      <c r="S174" s="7" t="s">
        <v>859</v>
      </c>
      <c r="T174" s="7" t="s">
        <v>181</v>
      </c>
      <c r="U174" s="7" t="s">
        <v>1331</v>
      </c>
      <c r="V174" s="7"/>
      <c r="W174" s="9" t="s">
        <v>1332</v>
      </c>
      <c r="X174" s="10">
        <v>45320</v>
      </c>
      <c r="Y174" s="5" t="s">
        <v>67</v>
      </c>
      <c r="Z174" s="7"/>
      <c r="AA174" s="65"/>
      <c r="AB174" s="5">
        <v>340</v>
      </c>
      <c r="AC174" s="9">
        <v>157</v>
      </c>
      <c r="AD174" s="9">
        <v>266</v>
      </c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>
        <f t="shared" si="60"/>
        <v>3</v>
      </c>
      <c r="AQ174" s="62">
        <f t="shared" si="61"/>
        <v>254.33333333333334</v>
      </c>
      <c r="AR174" s="11" t="str">
        <f>IF(AQ174&gt;='Aprovados Recursos do Fundo'!$AQ$1,"APROVADO","REPROVADO")</f>
        <v>APROVADO</v>
      </c>
      <c r="AS174" s="65"/>
      <c r="AT174" s="65"/>
      <c r="AU174" s="151"/>
      <c r="AV174" s="65"/>
      <c r="AW174" s="65"/>
      <c r="AX174" s="65"/>
      <c r="AY174" s="65"/>
      <c r="AZ174" s="65"/>
      <c r="BA174" s="65"/>
      <c r="BB174" s="65"/>
      <c r="BC174" s="34"/>
      <c r="BD174" s="65"/>
    </row>
    <row r="175" spans="2:56" s="64" customFormat="1" ht="39.950000000000003" hidden="1" customHeight="1" x14ac:dyDescent="0.25">
      <c r="B175" s="5">
        <v>258</v>
      </c>
      <c r="C175" s="22" t="s">
        <v>1333</v>
      </c>
      <c r="D175" s="99"/>
      <c r="E175" s="5" t="s">
        <v>51</v>
      </c>
      <c r="F175" s="9" t="s">
        <v>1334</v>
      </c>
      <c r="G175" s="9" t="s">
        <v>1335</v>
      </c>
      <c r="H175" s="11" t="s">
        <v>36</v>
      </c>
      <c r="I175" s="41">
        <v>131738.06</v>
      </c>
      <c r="J175" s="41"/>
      <c r="K175" s="41"/>
      <c r="L175" s="8">
        <v>158085.67199999999</v>
      </c>
      <c r="M175" s="41"/>
      <c r="N175" s="41"/>
      <c r="O175" s="41"/>
      <c r="P175" s="41"/>
      <c r="Q175" s="143"/>
      <c r="R175" s="159"/>
      <c r="S175" s="9" t="s">
        <v>1336</v>
      </c>
      <c r="T175" s="11" t="s">
        <v>123</v>
      </c>
      <c r="U175" s="11" t="s">
        <v>1337</v>
      </c>
      <c r="V175" s="11"/>
      <c r="W175" s="11" t="s">
        <v>1338</v>
      </c>
      <c r="X175" s="34">
        <v>45320</v>
      </c>
      <c r="Y175" s="9" t="s">
        <v>57</v>
      </c>
      <c r="Z175" s="11"/>
      <c r="AA175" s="65"/>
      <c r="AB175" s="9">
        <v>291</v>
      </c>
      <c r="AC175" s="9"/>
      <c r="AD175" s="9"/>
      <c r="AE175" s="9"/>
      <c r="AF175" s="9"/>
      <c r="AG175" s="9">
        <v>283</v>
      </c>
      <c r="AH175" s="9">
        <v>270</v>
      </c>
      <c r="AI175" s="9"/>
      <c r="AJ175" s="9"/>
      <c r="AK175" s="9"/>
      <c r="AL175" s="9"/>
      <c r="AM175" s="9"/>
      <c r="AN175" s="65"/>
      <c r="AO175" s="65"/>
      <c r="AP175" s="9">
        <f t="shared" si="60"/>
        <v>3</v>
      </c>
      <c r="AQ175" s="62">
        <f t="shared" si="61"/>
        <v>281.33333333333331</v>
      </c>
      <c r="AR175" s="11" t="str">
        <f>IF(AQ175&gt;='Aprovados Recursos do Fundo'!$AQ$1,"APROVADO","REPROVADO")</f>
        <v>APROVADO</v>
      </c>
      <c r="AS175" s="65"/>
      <c r="AT175" s="65"/>
      <c r="AU175" s="151"/>
      <c r="AV175" s="65"/>
      <c r="AW175" s="65"/>
      <c r="AX175" s="65"/>
      <c r="AY175" s="65"/>
      <c r="AZ175" s="65"/>
      <c r="BA175" s="65"/>
      <c r="BB175" s="65"/>
      <c r="BC175" s="34"/>
      <c r="BD175" s="65"/>
    </row>
    <row r="176" spans="2:56" s="64" customFormat="1" ht="39.950000000000003" hidden="1" customHeight="1" x14ac:dyDescent="0.25">
      <c r="B176" s="5">
        <v>260</v>
      </c>
      <c r="C176" s="27" t="s">
        <v>1345</v>
      </c>
      <c r="D176" s="101" t="s">
        <v>4113</v>
      </c>
      <c r="E176" s="5" t="s">
        <v>33</v>
      </c>
      <c r="F176" s="5" t="s">
        <v>1346</v>
      </c>
      <c r="G176" s="7" t="s">
        <v>1347</v>
      </c>
      <c r="H176" s="7" t="s">
        <v>36</v>
      </c>
      <c r="I176" s="8">
        <v>200000</v>
      </c>
      <c r="J176" s="8"/>
      <c r="K176" s="8"/>
      <c r="L176" s="8">
        <f t="shared" ref="L176:L194" si="79">I176*1.2</f>
        <v>240000</v>
      </c>
      <c r="M176" s="8"/>
      <c r="N176" s="8"/>
      <c r="O176" s="15">
        <f t="shared" ref="O176:O194" si="80">M176*0.83333332117758</f>
        <v>0</v>
      </c>
      <c r="P176" s="15">
        <f t="shared" ref="P176:P194" si="81">M176*0.16666667882242</f>
        <v>0</v>
      </c>
      <c r="Q176" s="143"/>
      <c r="R176" s="159"/>
      <c r="S176" s="7" t="s">
        <v>1342</v>
      </c>
      <c r="T176" s="7" t="s">
        <v>95</v>
      </c>
      <c r="U176" s="7" t="s">
        <v>1348</v>
      </c>
      <c r="V176" s="7"/>
      <c r="W176" s="7" t="s">
        <v>1349</v>
      </c>
      <c r="X176" s="10">
        <v>45320</v>
      </c>
      <c r="Y176" s="7" t="s">
        <v>41</v>
      </c>
      <c r="Z176" s="7" t="s">
        <v>1350</v>
      </c>
      <c r="AA176" s="65"/>
      <c r="AB176" s="7">
        <v>326</v>
      </c>
      <c r="AC176" s="9">
        <v>115</v>
      </c>
      <c r="AD176" s="9"/>
      <c r="AE176" s="9"/>
      <c r="AF176" s="9"/>
      <c r="AG176" s="9"/>
      <c r="AH176" s="9"/>
      <c r="AI176" s="9"/>
      <c r="AJ176" s="9"/>
      <c r="AK176" s="9"/>
      <c r="AL176" s="9"/>
      <c r="AM176" s="9">
        <v>201</v>
      </c>
      <c r="AN176" s="9"/>
      <c r="AO176" s="9"/>
      <c r="AP176" s="9">
        <f t="shared" si="60"/>
        <v>3</v>
      </c>
      <c r="AQ176" s="62">
        <f t="shared" si="61"/>
        <v>214</v>
      </c>
      <c r="AR176" s="11" t="str">
        <f>IF(AQ176&gt;='Aprovados Recursos do Fundo'!$AQ$1,"APROVADO","REPROVADO")</f>
        <v>APROVADO</v>
      </c>
      <c r="AS176" s="65"/>
      <c r="AT176" s="65"/>
      <c r="AU176" s="151"/>
      <c r="AV176" s="65"/>
      <c r="AW176" s="65"/>
      <c r="AX176" s="65"/>
      <c r="AY176" s="65"/>
      <c r="AZ176" s="65"/>
      <c r="BA176" s="65"/>
      <c r="BB176" s="65"/>
      <c r="BC176" s="34"/>
      <c r="BD176" s="65"/>
    </row>
    <row r="177" spans="2:57" s="64" customFormat="1" ht="39.950000000000003" hidden="1" customHeight="1" x14ac:dyDescent="0.25">
      <c r="B177" s="5">
        <v>261</v>
      </c>
      <c r="C177" s="6" t="s">
        <v>1351</v>
      </c>
      <c r="D177" s="101" t="s">
        <v>4114</v>
      </c>
      <c r="E177" s="5" t="s">
        <v>33</v>
      </c>
      <c r="F177" s="5" t="s">
        <v>1352</v>
      </c>
      <c r="G177" s="5" t="s">
        <v>1353</v>
      </c>
      <c r="H177" s="7" t="s">
        <v>36</v>
      </c>
      <c r="I177" s="8">
        <v>253000</v>
      </c>
      <c r="J177" s="8"/>
      <c r="K177" s="8"/>
      <c r="L177" s="8">
        <f t="shared" si="79"/>
        <v>303600</v>
      </c>
      <c r="M177" s="8"/>
      <c r="N177" s="8"/>
      <c r="O177" s="15">
        <f t="shared" si="80"/>
        <v>0</v>
      </c>
      <c r="P177" s="15">
        <f t="shared" si="81"/>
        <v>0</v>
      </c>
      <c r="Q177" s="143"/>
      <c r="R177" s="159"/>
      <c r="S177" s="7" t="s">
        <v>1354</v>
      </c>
      <c r="T177" s="7" t="s">
        <v>95</v>
      </c>
      <c r="U177" s="7" t="s">
        <v>1355</v>
      </c>
      <c r="V177" s="7"/>
      <c r="W177" s="9" t="s">
        <v>1356</v>
      </c>
      <c r="X177" s="10">
        <v>45320</v>
      </c>
      <c r="Y177" s="5" t="s">
        <v>67</v>
      </c>
      <c r="Z177" s="7" t="s">
        <v>1357</v>
      </c>
      <c r="AA177" s="65"/>
      <c r="AB177" s="5">
        <v>291</v>
      </c>
      <c r="AC177" s="9">
        <v>281</v>
      </c>
      <c r="AD177" s="9">
        <v>263</v>
      </c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>
        <f t="shared" si="60"/>
        <v>3</v>
      </c>
      <c r="AQ177" s="62">
        <f t="shared" si="61"/>
        <v>278.33333333333331</v>
      </c>
      <c r="AR177" s="11" t="str">
        <f>IF(AQ177&gt;='Aprovados Recursos do Fundo'!$AQ$1,"APROVADO","REPROVADO")</f>
        <v>APROVADO</v>
      </c>
      <c r="AS177" s="65"/>
      <c r="AT177" s="65"/>
      <c r="AU177" s="151"/>
      <c r="AV177" s="65"/>
      <c r="AW177" s="65"/>
      <c r="AX177" s="65"/>
      <c r="AY177" s="65"/>
      <c r="AZ177" s="65"/>
      <c r="BA177" s="65"/>
      <c r="BB177" s="65"/>
      <c r="BC177" s="34"/>
      <c r="BD177" s="65"/>
    </row>
    <row r="178" spans="2:57" s="64" customFormat="1" ht="39.950000000000003" hidden="1" customHeight="1" x14ac:dyDescent="0.25">
      <c r="B178" s="5">
        <v>263</v>
      </c>
      <c r="C178" s="6" t="s">
        <v>1364</v>
      </c>
      <c r="D178" s="101" t="s">
        <v>4115</v>
      </c>
      <c r="E178" s="5" t="s">
        <v>33</v>
      </c>
      <c r="F178" s="58" t="s">
        <v>1365</v>
      </c>
      <c r="G178" s="7" t="s">
        <v>1366</v>
      </c>
      <c r="H178" s="7" t="s">
        <v>36</v>
      </c>
      <c r="I178" s="8">
        <v>236959.83</v>
      </c>
      <c r="J178" s="8"/>
      <c r="K178" s="8"/>
      <c r="L178" s="8">
        <f t="shared" si="79"/>
        <v>284351.79599999997</v>
      </c>
      <c r="M178" s="8"/>
      <c r="N178" s="8"/>
      <c r="O178" s="15">
        <f t="shared" si="80"/>
        <v>0</v>
      </c>
      <c r="P178" s="15">
        <f t="shared" si="81"/>
        <v>0</v>
      </c>
      <c r="Q178" s="143"/>
      <c r="R178" s="159"/>
      <c r="S178" s="7" t="s">
        <v>1367</v>
      </c>
      <c r="T178" s="7" t="s">
        <v>453</v>
      </c>
      <c r="U178" s="7" t="s">
        <v>1368</v>
      </c>
      <c r="V178" s="7"/>
      <c r="W178" s="9" t="s">
        <v>1369</v>
      </c>
      <c r="X178" s="10">
        <v>45320</v>
      </c>
      <c r="Y178" s="7" t="s">
        <v>67</v>
      </c>
      <c r="Z178" s="7"/>
      <c r="AA178" s="65"/>
      <c r="AB178" s="7">
        <v>340</v>
      </c>
      <c r="AC178" s="9"/>
      <c r="AD178" s="9"/>
      <c r="AE178" s="9"/>
      <c r="AF178" s="9"/>
      <c r="AG178" s="9">
        <v>340</v>
      </c>
      <c r="AH178" s="9">
        <v>340</v>
      </c>
      <c r="AI178" s="9"/>
      <c r="AJ178" s="9"/>
      <c r="AK178" s="9"/>
      <c r="AL178" s="9"/>
      <c r="AM178" s="9"/>
      <c r="AN178" s="9"/>
      <c r="AO178" s="9"/>
      <c r="AP178" s="9">
        <f t="shared" si="60"/>
        <v>3</v>
      </c>
      <c r="AQ178" s="62">
        <f t="shared" si="61"/>
        <v>340</v>
      </c>
      <c r="AR178" s="11" t="str">
        <f>IF(AQ178&gt;=$AR$1,"APROVADO","REPROVADO")</f>
        <v>APROVADO</v>
      </c>
      <c r="AS178" s="65"/>
      <c r="AT178" s="65"/>
      <c r="AU178" s="151"/>
      <c r="AV178" s="65"/>
      <c r="AW178" s="65"/>
      <c r="AX178" s="65"/>
      <c r="AY178" s="65"/>
      <c r="AZ178" s="65"/>
      <c r="BA178" s="65"/>
      <c r="BB178" s="65"/>
      <c r="BC178" s="34"/>
      <c r="BD178" s="65"/>
    </row>
    <row r="179" spans="2:57" s="64" customFormat="1" ht="39.950000000000003" hidden="1" customHeight="1" x14ac:dyDescent="0.25">
      <c r="B179" s="5">
        <v>264</v>
      </c>
      <c r="C179" s="27" t="s">
        <v>1370</v>
      </c>
      <c r="D179" s="101" t="s">
        <v>4116</v>
      </c>
      <c r="E179" s="5" t="s">
        <v>33</v>
      </c>
      <c r="F179" s="58" t="s">
        <v>1365</v>
      </c>
      <c r="G179" s="7" t="s">
        <v>1371</v>
      </c>
      <c r="H179" s="7" t="s">
        <v>36</v>
      </c>
      <c r="I179" s="8">
        <v>288982.78999999998</v>
      </c>
      <c r="J179" s="8"/>
      <c r="K179" s="8"/>
      <c r="L179" s="8">
        <f t="shared" si="79"/>
        <v>346779.34799999994</v>
      </c>
      <c r="M179" s="8"/>
      <c r="N179" s="8"/>
      <c r="O179" s="15">
        <f t="shared" si="80"/>
        <v>0</v>
      </c>
      <c r="P179" s="15">
        <f t="shared" si="81"/>
        <v>0</v>
      </c>
      <c r="Q179" s="143"/>
      <c r="R179" s="159"/>
      <c r="S179" s="7" t="s">
        <v>1367</v>
      </c>
      <c r="T179" s="7" t="s">
        <v>453</v>
      </c>
      <c r="U179" s="7" t="s">
        <v>1368</v>
      </c>
      <c r="V179" s="7"/>
      <c r="W179" s="9" t="s">
        <v>1369</v>
      </c>
      <c r="X179" s="10">
        <v>45320</v>
      </c>
      <c r="Y179" s="7" t="s">
        <v>41</v>
      </c>
      <c r="Z179" s="7"/>
      <c r="AA179" s="65"/>
      <c r="AB179" s="7">
        <v>312</v>
      </c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>
        <v>328</v>
      </c>
      <c r="AN179" s="9">
        <v>324</v>
      </c>
      <c r="AO179" s="9"/>
      <c r="AP179" s="9">
        <f t="shared" si="60"/>
        <v>3</v>
      </c>
      <c r="AQ179" s="62">
        <f t="shared" si="61"/>
        <v>321.33333333333331</v>
      </c>
      <c r="AR179" s="11" t="str">
        <f>IF(AQ179&gt;=$AR$1,"APROVADO","REPROVADO")</f>
        <v>APROVADO</v>
      </c>
      <c r="AS179" s="65"/>
      <c r="AT179" s="65"/>
      <c r="AU179" s="151"/>
      <c r="AV179" s="65"/>
      <c r="AW179" s="65"/>
      <c r="AX179" s="65"/>
      <c r="AY179" s="65"/>
      <c r="AZ179" s="65"/>
      <c r="BA179" s="65"/>
      <c r="BB179" s="65"/>
      <c r="BC179" s="34"/>
      <c r="BD179" s="65"/>
    </row>
    <row r="180" spans="2:57" s="64" customFormat="1" ht="39.950000000000003" hidden="1" customHeight="1" x14ac:dyDescent="0.25">
      <c r="B180" s="5">
        <v>267</v>
      </c>
      <c r="C180" s="6" t="s">
        <v>1379</v>
      </c>
      <c r="D180" s="101" t="s">
        <v>4117</v>
      </c>
      <c r="E180" s="5" t="s">
        <v>33</v>
      </c>
      <c r="F180" s="58" t="s">
        <v>1375</v>
      </c>
      <c r="G180" s="5" t="s">
        <v>1380</v>
      </c>
      <c r="H180" s="7" t="s">
        <v>36</v>
      </c>
      <c r="I180" s="8">
        <v>212826.99</v>
      </c>
      <c r="J180" s="8"/>
      <c r="K180" s="8"/>
      <c r="L180" s="8">
        <f t="shared" si="79"/>
        <v>255392.38799999998</v>
      </c>
      <c r="M180" s="8"/>
      <c r="N180" s="8"/>
      <c r="O180" s="15">
        <f t="shared" si="80"/>
        <v>0</v>
      </c>
      <c r="P180" s="15">
        <f t="shared" si="81"/>
        <v>0</v>
      </c>
      <c r="Q180" s="143"/>
      <c r="R180" s="159"/>
      <c r="S180" s="7" t="s">
        <v>1367</v>
      </c>
      <c r="T180" s="7" t="s">
        <v>453</v>
      </c>
      <c r="U180" s="7" t="s">
        <v>1377</v>
      </c>
      <c r="V180" s="7"/>
      <c r="W180" s="9" t="s">
        <v>1378</v>
      </c>
      <c r="X180" s="10">
        <v>45320</v>
      </c>
      <c r="Y180" s="5" t="s">
        <v>67</v>
      </c>
      <c r="Z180" s="7" t="s">
        <v>1357</v>
      </c>
      <c r="AA180" s="65"/>
      <c r="AB180" s="5">
        <v>315</v>
      </c>
      <c r="AC180" s="9">
        <v>124</v>
      </c>
      <c r="AD180" s="9">
        <v>254</v>
      </c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>
        <f t="shared" si="60"/>
        <v>3</v>
      </c>
      <c r="AQ180" s="62">
        <f t="shared" si="61"/>
        <v>231</v>
      </c>
      <c r="AR180" s="11" t="str">
        <f>IF(AQ180&gt;=$AR$1,"APROVADO","REPROVADO")</f>
        <v>APROVADO</v>
      </c>
      <c r="AS180" s="65"/>
      <c r="AT180" s="65"/>
      <c r="AU180" s="151"/>
      <c r="AV180" s="65"/>
      <c r="AW180" s="65"/>
      <c r="AX180" s="65"/>
      <c r="AY180" s="65"/>
      <c r="AZ180" s="65"/>
      <c r="BA180" s="65"/>
      <c r="BB180" s="65"/>
      <c r="BC180" s="34"/>
      <c r="BD180" s="65"/>
    </row>
    <row r="181" spans="2:57" s="64" customFormat="1" ht="39.950000000000003" hidden="1" customHeight="1" x14ac:dyDescent="0.25">
      <c r="B181" s="5">
        <v>270</v>
      </c>
      <c r="C181" s="27" t="s">
        <v>1392</v>
      </c>
      <c r="D181" s="101" t="s">
        <v>4118</v>
      </c>
      <c r="E181" s="5" t="s">
        <v>33</v>
      </c>
      <c r="F181" s="5" t="s">
        <v>1393</v>
      </c>
      <c r="G181" s="7" t="s">
        <v>1394</v>
      </c>
      <c r="H181" s="5" t="s">
        <v>62</v>
      </c>
      <c r="I181" s="8">
        <v>445266.8</v>
      </c>
      <c r="J181" s="8"/>
      <c r="K181" s="8"/>
      <c r="L181" s="8">
        <f t="shared" si="79"/>
        <v>534320.15999999992</v>
      </c>
      <c r="M181" s="8"/>
      <c r="N181" s="8"/>
      <c r="O181" s="15">
        <f t="shared" si="80"/>
        <v>0</v>
      </c>
      <c r="P181" s="15">
        <f t="shared" si="81"/>
        <v>0</v>
      </c>
      <c r="Q181" s="143"/>
      <c r="R181" s="159"/>
      <c r="S181" s="7" t="s">
        <v>63</v>
      </c>
      <c r="T181" s="5" t="s">
        <v>64</v>
      </c>
      <c r="U181" s="7" t="s">
        <v>1395</v>
      </c>
      <c r="V181" s="7"/>
      <c r="W181" s="9" t="s">
        <v>1396</v>
      </c>
      <c r="X181" s="10">
        <v>45320</v>
      </c>
      <c r="Y181" s="7" t="s">
        <v>41</v>
      </c>
      <c r="Z181" s="7"/>
      <c r="AA181" s="65"/>
      <c r="AB181" s="7">
        <v>340</v>
      </c>
      <c r="AC181" s="9">
        <v>167</v>
      </c>
      <c r="AD181" s="9">
        <v>248</v>
      </c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>
        <f t="shared" si="60"/>
        <v>3</v>
      </c>
      <c r="AQ181" s="62">
        <f t="shared" si="61"/>
        <v>251.66666666666666</v>
      </c>
      <c r="AR181" s="11" t="str">
        <f>IF(AQ181&gt;='Aprovados Recursos do Fundo'!$AQ$1,"APROVADO","REPROVADO")</f>
        <v>APROVADO</v>
      </c>
      <c r="AS181" s="65"/>
      <c r="AT181" s="65"/>
      <c r="AU181" s="151"/>
      <c r="AV181" s="65"/>
      <c r="AW181" s="65"/>
      <c r="AX181" s="65"/>
      <c r="AY181" s="65"/>
      <c r="AZ181" s="65"/>
      <c r="BA181" s="65"/>
      <c r="BB181" s="65"/>
      <c r="BC181" s="34"/>
      <c r="BD181" s="65"/>
    </row>
    <row r="182" spans="2:57" s="64" customFormat="1" ht="39.950000000000003" hidden="1" customHeight="1" x14ac:dyDescent="0.25">
      <c r="B182" s="5">
        <v>271</v>
      </c>
      <c r="C182" s="27" t="s">
        <v>1397</v>
      </c>
      <c r="D182" s="101" t="s">
        <v>4119</v>
      </c>
      <c r="E182" s="5" t="s">
        <v>33</v>
      </c>
      <c r="F182" s="7" t="s">
        <v>1398</v>
      </c>
      <c r="G182" s="7" t="s">
        <v>1399</v>
      </c>
      <c r="H182" s="7" t="s">
        <v>36</v>
      </c>
      <c r="I182" s="8">
        <v>223240.63</v>
      </c>
      <c r="J182" s="8"/>
      <c r="K182" s="8"/>
      <c r="L182" s="8">
        <f t="shared" si="79"/>
        <v>267888.75599999999</v>
      </c>
      <c r="M182" s="8"/>
      <c r="N182" s="8"/>
      <c r="O182" s="15">
        <f t="shared" si="80"/>
        <v>0</v>
      </c>
      <c r="P182" s="15">
        <f t="shared" si="81"/>
        <v>0</v>
      </c>
      <c r="Q182" s="143"/>
      <c r="R182" s="159"/>
      <c r="S182" s="7" t="s">
        <v>993</v>
      </c>
      <c r="T182" s="9" t="s">
        <v>235</v>
      </c>
      <c r="U182" s="7" t="s">
        <v>1400</v>
      </c>
      <c r="V182" s="7"/>
      <c r="W182" s="9" t="s">
        <v>1401</v>
      </c>
      <c r="X182" s="10">
        <v>45320</v>
      </c>
      <c r="Y182" s="7" t="s">
        <v>41</v>
      </c>
      <c r="Z182" s="7"/>
      <c r="AA182" s="65"/>
      <c r="AB182" s="7">
        <v>327</v>
      </c>
      <c r="AC182" s="9">
        <v>197</v>
      </c>
      <c r="AD182" s="9">
        <v>247</v>
      </c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>
        <f t="shared" si="60"/>
        <v>3</v>
      </c>
      <c r="AQ182" s="62">
        <f t="shared" si="61"/>
        <v>257</v>
      </c>
      <c r="AR182" s="11" t="str">
        <f>IF(AQ182&gt;='Aprovados Recursos do Fundo'!$AQ$1,"APROVADO","REPROVADO")</f>
        <v>APROVADO</v>
      </c>
      <c r="AS182" s="65"/>
      <c r="AT182" s="65"/>
      <c r="AU182" s="151"/>
      <c r="AV182" s="65"/>
      <c r="AW182" s="65"/>
      <c r="AX182" s="65"/>
      <c r="AY182" s="65"/>
      <c r="AZ182" s="65"/>
      <c r="BA182" s="65"/>
      <c r="BB182" s="65"/>
      <c r="BC182" s="34"/>
      <c r="BD182" s="65"/>
    </row>
    <row r="183" spans="2:57" s="64" customFormat="1" ht="39.950000000000003" hidden="1" customHeight="1" x14ac:dyDescent="0.25">
      <c r="B183" s="5">
        <v>272</v>
      </c>
      <c r="C183" s="27" t="s">
        <v>1402</v>
      </c>
      <c r="D183" s="101" t="s">
        <v>4120</v>
      </c>
      <c r="E183" s="5" t="s">
        <v>33</v>
      </c>
      <c r="F183" s="58" t="s">
        <v>1398</v>
      </c>
      <c r="G183" s="7" t="s">
        <v>1403</v>
      </c>
      <c r="H183" s="7" t="s">
        <v>36</v>
      </c>
      <c r="I183" s="8">
        <v>193561.25</v>
      </c>
      <c r="J183" s="8"/>
      <c r="K183" s="8"/>
      <c r="L183" s="8">
        <f t="shared" si="79"/>
        <v>232273.5</v>
      </c>
      <c r="M183" s="8"/>
      <c r="N183" s="8"/>
      <c r="O183" s="15">
        <f t="shared" si="80"/>
        <v>0</v>
      </c>
      <c r="P183" s="15">
        <f t="shared" si="81"/>
        <v>0</v>
      </c>
      <c r="Q183" s="143"/>
      <c r="R183" s="159"/>
      <c r="S183" s="7" t="s">
        <v>993</v>
      </c>
      <c r="T183" s="9" t="s">
        <v>235</v>
      </c>
      <c r="U183" s="7" t="s">
        <v>1400</v>
      </c>
      <c r="V183" s="7"/>
      <c r="W183" s="9" t="s">
        <v>1401</v>
      </c>
      <c r="X183" s="10">
        <v>45320</v>
      </c>
      <c r="Y183" s="7" t="s">
        <v>41</v>
      </c>
      <c r="Z183" s="7"/>
      <c r="AA183" s="65"/>
      <c r="AB183" s="7">
        <v>340</v>
      </c>
      <c r="AC183" s="9">
        <v>188</v>
      </c>
      <c r="AD183" s="9">
        <v>231</v>
      </c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>
        <f t="shared" si="60"/>
        <v>3</v>
      </c>
      <c r="AQ183" s="62">
        <f t="shared" si="61"/>
        <v>253</v>
      </c>
      <c r="AR183" s="11" t="str">
        <f>IF(AQ183&gt;=$AR$1,"APROVADO","REPROVADO")</f>
        <v>APROVADO</v>
      </c>
      <c r="AS183" s="65"/>
      <c r="AT183" s="65"/>
      <c r="AU183" s="151"/>
      <c r="AV183" s="65"/>
      <c r="AW183" s="65"/>
      <c r="AX183" s="65"/>
      <c r="AY183" s="65"/>
      <c r="AZ183" s="65"/>
      <c r="BA183" s="65"/>
      <c r="BB183" s="65"/>
      <c r="BC183" s="34"/>
      <c r="BD183" s="65"/>
    </row>
    <row r="184" spans="2:57" s="64" customFormat="1" ht="39.950000000000003" hidden="1" customHeight="1" x14ac:dyDescent="0.25">
      <c r="B184" s="5">
        <v>273</v>
      </c>
      <c r="C184" s="27" t="s">
        <v>1404</v>
      </c>
      <c r="D184" s="101" t="s">
        <v>4121</v>
      </c>
      <c r="E184" s="5" t="s">
        <v>33</v>
      </c>
      <c r="F184" s="58" t="s">
        <v>1398</v>
      </c>
      <c r="G184" s="7" t="s">
        <v>1405</v>
      </c>
      <c r="H184" s="7" t="s">
        <v>36</v>
      </c>
      <c r="I184" s="8">
        <v>205034.04</v>
      </c>
      <c r="J184" s="8"/>
      <c r="K184" s="8"/>
      <c r="L184" s="8">
        <f t="shared" si="79"/>
        <v>246040.848</v>
      </c>
      <c r="M184" s="8"/>
      <c r="N184" s="8"/>
      <c r="O184" s="15">
        <f t="shared" si="80"/>
        <v>0</v>
      </c>
      <c r="P184" s="15">
        <f t="shared" si="81"/>
        <v>0</v>
      </c>
      <c r="Q184" s="143"/>
      <c r="R184" s="159"/>
      <c r="S184" s="7" t="s">
        <v>993</v>
      </c>
      <c r="T184" s="9" t="s">
        <v>235</v>
      </c>
      <c r="U184" s="7" t="s">
        <v>1400</v>
      </c>
      <c r="V184" s="7"/>
      <c r="W184" s="9" t="s">
        <v>1401</v>
      </c>
      <c r="X184" s="10">
        <v>45320</v>
      </c>
      <c r="Y184" s="7" t="s">
        <v>41</v>
      </c>
      <c r="Z184" s="7"/>
      <c r="AA184" s="65"/>
      <c r="AB184" s="7">
        <v>340</v>
      </c>
      <c r="AC184" s="9">
        <v>136</v>
      </c>
      <c r="AD184" s="9">
        <v>270</v>
      </c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>
        <f t="shared" si="60"/>
        <v>3</v>
      </c>
      <c r="AQ184" s="62">
        <f t="shared" si="61"/>
        <v>248.66666666666666</v>
      </c>
      <c r="AR184" s="11" t="str">
        <f>IF(AQ184&gt;=$AR$1,"APROVADO","REPROVADO")</f>
        <v>APROVADO</v>
      </c>
      <c r="AS184" s="65"/>
      <c r="AT184" s="65"/>
      <c r="AU184" s="151"/>
      <c r="AV184" s="65"/>
      <c r="AW184" s="65"/>
      <c r="AX184" s="65"/>
      <c r="AY184" s="65"/>
      <c r="AZ184" s="65"/>
      <c r="BA184" s="65"/>
      <c r="BB184" s="65"/>
      <c r="BC184" s="34"/>
      <c r="BD184" s="65"/>
    </row>
    <row r="185" spans="2:57" s="64" customFormat="1" ht="39.950000000000003" hidden="1" customHeight="1" x14ac:dyDescent="0.25">
      <c r="B185" s="5">
        <v>274</v>
      </c>
      <c r="C185" s="27" t="s">
        <v>1406</v>
      </c>
      <c r="D185" s="100" t="s">
        <v>4122</v>
      </c>
      <c r="E185" s="5" t="s">
        <v>33</v>
      </c>
      <c r="F185" s="5" t="s">
        <v>1407</v>
      </c>
      <c r="G185" s="7" t="s">
        <v>1258</v>
      </c>
      <c r="H185" s="7" t="s">
        <v>107</v>
      </c>
      <c r="I185" s="8">
        <v>127800</v>
      </c>
      <c r="J185" s="8"/>
      <c r="K185" s="8"/>
      <c r="L185" s="8">
        <f t="shared" si="79"/>
        <v>153360</v>
      </c>
      <c r="M185" s="8"/>
      <c r="N185" s="8"/>
      <c r="O185" s="15">
        <f t="shared" si="80"/>
        <v>0</v>
      </c>
      <c r="P185" s="15">
        <f t="shared" si="81"/>
        <v>0</v>
      </c>
      <c r="Q185" s="143"/>
      <c r="R185" s="159"/>
      <c r="S185" s="7" t="s">
        <v>1408</v>
      </c>
      <c r="T185" s="7" t="s">
        <v>223</v>
      </c>
      <c r="U185" s="7" t="s">
        <v>1409</v>
      </c>
      <c r="V185" s="7">
        <v>1</v>
      </c>
      <c r="W185" s="9" t="s">
        <v>1410</v>
      </c>
      <c r="X185" s="10">
        <v>45320</v>
      </c>
      <c r="Y185" s="7" t="s">
        <v>41</v>
      </c>
      <c r="Z185" s="7"/>
      <c r="AA185" s="65"/>
      <c r="AB185" s="7">
        <v>330</v>
      </c>
      <c r="AC185" s="9">
        <v>136</v>
      </c>
      <c r="AD185" s="9">
        <v>245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>
        <f t="shared" si="60"/>
        <v>3</v>
      </c>
      <c r="AQ185" s="62">
        <f t="shared" si="61"/>
        <v>237</v>
      </c>
      <c r="AR185" s="11" t="str">
        <f>IF(AQ185&gt;='Aprovados Recursos do Fundo'!$AQ$1,"APROVADO","REPROVADO")</f>
        <v>APROVADO</v>
      </c>
      <c r="AS185" s="65"/>
      <c r="AT185" s="65"/>
      <c r="AU185" s="151"/>
      <c r="AV185" s="65"/>
      <c r="AW185" s="65"/>
      <c r="AX185" s="65"/>
      <c r="AY185" s="65"/>
      <c r="AZ185" s="65"/>
      <c r="BA185" s="65"/>
      <c r="BB185" s="65"/>
      <c r="BC185" s="34"/>
      <c r="BD185" s="65"/>
    </row>
    <row r="186" spans="2:57" s="64" customFormat="1" ht="39.950000000000003" hidden="1" customHeight="1" x14ac:dyDescent="0.25">
      <c r="B186" s="5">
        <v>278</v>
      </c>
      <c r="C186" s="27" t="s">
        <v>1429</v>
      </c>
      <c r="D186" s="101" t="s">
        <v>4123</v>
      </c>
      <c r="E186" s="5" t="s">
        <v>33</v>
      </c>
      <c r="F186" s="5" t="s">
        <v>1430</v>
      </c>
      <c r="G186" s="7" t="s">
        <v>1431</v>
      </c>
      <c r="H186" s="7" t="s">
        <v>36</v>
      </c>
      <c r="I186" s="8">
        <v>136960</v>
      </c>
      <c r="J186" s="8"/>
      <c r="K186" s="8"/>
      <c r="L186" s="8">
        <f t="shared" si="79"/>
        <v>164352</v>
      </c>
      <c r="M186" s="8"/>
      <c r="N186" s="8"/>
      <c r="O186" s="15">
        <f t="shared" si="80"/>
        <v>0</v>
      </c>
      <c r="P186" s="15">
        <f t="shared" si="81"/>
        <v>0</v>
      </c>
      <c r="Q186" s="143"/>
      <c r="R186" s="159"/>
      <c r="S186" s="7" t="s">
        <v>1426</v>
      </c>
      <c r="T186" s="7" t="s">
        <v>154</v>
      </c>
      <c r="U186" s="7" t="s">
        <v>1432</v>
      </c>
      <c r="V186" s="7"/>
      <c r="W186" s="9" t="s">
        <v>1433</v>
      </c>
      <c r="X186" s="10">
        <v>45320</v>
      </c>
      <c r="Y186" s="7" t="s">
        <v>41</v>
      </c>
      <c r="Z186" s="7"/>
      <c r="AA186" s="65"/>
      <c r="AB186" s="7">
        <v>340</v>
      </c>
      <c r="AC186" s="9">
        <v>141</v>
      </c>
      <c r="AD186" s="9"/>
      <c r="AE186" s="9"/>
      <c r="AF186" s="9"/>
      <c r="AG186" s="9"/>
      <c r="AH186" s="9"/>
      <c r="AI186" s="9"/>
      <c r="AJ186" s="9"/>
      <c r="AK186" s="9"/>
      <c r="AL186" s="9"/>
      <c r="AM186" s="9">
        <v>332</v>
      </c>
      <c r="AN186" s="9"/>
      <c r="AO186" s="9"/>
      <c r="AP186" s="9">
        <f t="shared" si="60"/>
        <v>3</v>
      </c>
      <c r="AQ186" s="62">
        <f t="shared" si="61"/>
        <v>271</v>
      </c>
      <c r="AR186" s="11" t="str">
        <f>IF(AQ186&gt;='Aprovados Recursos do Fundo'!$AQ$1,"APROVADO","REPROVADO")</f>
        <v>APROVADO</v>
      </c>
      <c r="AS186" s="65"/>
      <c r="AT186" s="65"/>
      <c r="AU186" s="151"/>
      <c r="AV186" s="65"/>
      <c r="AW186" s="65"/>
      <c r="AX186" s="65"/>
      <c r="AY186" s="65"/>
      <c r="AZ186" s="65"/>
      <c r="BA186" s="65"/>
      <c r="BB186" s="65"/>
      <c r="BC186" s="34"/>
      <c r="BD186" s="65"/>
    </row>
    <row r="187" spans="2:57" s="64" customFormat="1" ht="39.950000000000003" customHeight="1" x14ac:dyDescent="0.25">
      <c r="B187" s="5">
        <v>279</v>
      </c>
      <c r="C187" s="27" t="s">
        <v>1434</v>
      </c>
      <c r="D187" s="100" t="s">
        <v>4124</v>
      </c>
      <c r="E187" s="5" t="s">
        <v>33</v>
      </c>
      <c r="F187" s="5" t="s">
        <v>1435</v>
      </c>
      <c r="G187" s="5" t="s">
        <v>1436</v>
      </c>
      <c r="H187" s="7" t="s">
        <v>300</v>
      </c>
      <c r="I187" s="163">
        <f>J187+K187</f>
        <v>60900.34</v>
      </c>
      <c r="J187" s="8">
        <v>56102.34</v>
      </c>
      <c r="K187" s="8">
        <v>4798</v>
      </c>
      <c r="L187" s="17">
        <f t="shared" si="79"/>
        <v>73080.407999999996</v>
      </c>
      <c r="M187" s="17">
        <f>73000</f>
        <v>73000</v>
      </c>
      <c r="N187" s="17">
        <f>L187-M187</f>
        <v>80.407999999995809</v>
      </c>
      <c r="O187" s="17">
        <f t="shared" si="80"/>
        <v>60833.332445963337</v>
      </c>
      <c r="P187" s="17">
        <f t="shared" si="81"/>
        <v>12166.66755403666</v>
      </c>
      <c r="Q187" s="143">
        <f t="shared" ref="Q187" si="82">M187/L187</f>
        <v>0.99889973247002128</v>
      </c>
      <c r="R187" s="159">
        <v>15</v>
      </c>
      <c r="S187" s="5" t="s">
        <v>73</v>
      </c>
      <c r="T187" s="7" t="s">
        <v>74</v>
      </c>
      <c r="U187" s="7" t="s">
        <v>1437</v>
      </c>
      <c r="V187" s="7">
        <v>1</v>
      </c>
      <c r="W187" s="31" t="s">
        <v>1438</v>
      </c>
      <c r="X187" s="10">
        <v>45320</v>
      </c>
      <c r="Y187" s="7" t="s">
        <v>41</v>
      </c>
      <c r="Z187" s="7"/>
      <c r="AA187" s="65"/>
      <c r="AB187" s="7">
        <v>302</v>
      </c>
      <c r="AC187" s="9">
        <v>217</v>
      </c>
      <c r="AD187" s="9">
        <v>232</v>
      </c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>
        <f t="shared" si="60"/>
        <v>3</v>
      </c>
      <c r="AQ187" s="62">
        <f t="shared" si="61"/>
        <v>250.33333333333334</v>
      </c>
      <c r="AR187" s="11" t="str">
        <f>IF(AQ187&gt;='Aprovados Recursos do Fundo'!$AQ$1,"APROVADO","REPROVADO")</f>
        <v>APROVADO</v>
      </c>
      <c r="AS187" s="5" t="s">
        <v>4125</v>
      </c>
      <c r="AT187" s="8" t="s">
        <v>3631</v>
      </c>
      <c r="AU187" s="151" t="s">
        <v>3632</v>
      </c>
      <c r="AV187" s="10">
        <v>46014</v>
      </c>
      <c r="AW187" s="10">
        <f>EDATE(AV187,12)</f>
        <v>46379</v>
      </c>
      <c r="AX187" s="10">
        <v>46014</v>
      </c>
      <c r="AY187" s="5"/>
      <c r="AZ187" s="5"/>
      <c r="BA187" s="5" t="s">
        <v>3119</v>
      </c>
      <c r="BB187" s="5" t="s">
        <v>3261</v>
      </c>
      <c r="BC187" s="34">
        <v>45673</v>
      </c>
      <c r="BD187" s="140">
        <f t="shared" ref="BD187" si="83">_xlfn.DAYS($BD$2,BC187)</f>
        <v>428</v>
      </c>
      <c r="BE187" s="11" t="s">
        <v>3633</v>
      </c>
    </row>
    <row r="188" spans="2:57" s="64" customFormat="1" ht="39.950000000000003" hidden="1" customHeight="1" x14ac:dyDescent="0.25">
      <c r="B188" s="5">
        <v>280</v>
      </c>
      <c r="C188" s="27" t="s">
        <v>1439</v>
      </c>
      <c r="D188" s="100" t="s">
        <v>4126</v>
      </c>
      <c r="E188" s="5" t="s">
        <v>33</v>
      </c>
      <c r="F188" s="5" t="s">
        <v>1440</v>
      </c>
      <c r="G188" s="7" t="s">
        <v>1441</v>
      </c>
      <c r="H188" s="7" t="s">
        <v>36</v>
      </c>
      <c r="I188" s="8">
        <v>178800</v>
      </c>
      <c r="J188" s="8"/>
      <c r="K188" s="8"/>
      <c r="L188" s="8">
        <f t="shared" si="79"/>
        <v>214560</v>
      </c>
      <c r="M188" s="8"/>
      <c r="N188" s="8"/>
      <c r="O188" s="15">
        <f t="shared" si="80"/>
        <v>0</v>
      </c>
      <c r="P188" s="15">
        <f t="shared" si="81"/>
        <v>0</v>
      </c>
      <c r="Q188" s="8"/>
      <c r="R188" s="8"/>
      <c r="S188" s="7" t="s">
        <v>1442</v>
      </c>
      <c r="T188" s="7" t="s">
        <v>254</v>
      </c>
      <c r="U188" s="7" t="s">
        <v>1443</v>
      </c>
      <c r="V188" s="7">
        <v>1</v>
      </c>
      <c r="W188" s="31" t="s">
        <v>1444</v>
      </c>
      <c r="X188" s="10">
        <v>45320</v>
      </c>
      <c r="Y188" s="7" t="s">
        <v>41</v>
      </c>
      <c r="Z188" s="7"/>
      <c r="AA188" s="65"/>
      <c r="AB188" s="7">
        <v>320</v>
      </c>
      <c r="AC188" s="9">
        <v>176</v>
      </c>
      <c r="AD188" s="9"/>
      <c r="AE188" s="9"/>
      <c r="AF188" s="9"/>
      <c r="AG188" s="9"/>
      <c r="AH188" s="9"/>
      <c r="AI188" s="9"/>
      <c r="AJ188" s="9"/>
      <c r="AK188" s="9"/>
      <c r="AL188" s="9"/>
      <c r="AM188" s="9">
        <v>300</v>
      </c>
      <c r="AN188" s="9"/>
      <c r="AO188" s="9"/>
      <c r="AP188" s="9">
        <f t="shared" si="60"/>
        <v>3</v>
      </c>
      <c r="AQ188" s="62">
        <f t="shared" si="61"/>
        <v>265.33333333333331</v>
      </c>
      <c r="AR188" s="11" t="str">
        <f>IF(AQ188&gt;='Aprovados Recursos do Fundo'!$AQ$1,"APROVADO","REPROVADO")</f>
        <v>APROVADO</v>
      </c>
      <c r="AS188" s="65"/>
      <c r="AT188" s="65"/>
      <c r="AU188" s="151"/>
      <c r="AV188" s="65"/>
      <c r="AW188" s="65"/>
      <c r="AX188" s="65"/>
      <c r="AY188" s="65"/>
      <c r="AZ188" s="65"/>
      <c r="BA188" s="65"/>
      <c r="BB188" s="65"/>
      <c r="BC188" s="34"/>
      <c r="BD188" s="65"/>
    </row>
    <row r="189" spans="2:57" s="64" customFormat="1" ht="39.950000000000003" hidden="1" customHeight="1" x14ac:dyDescent="0.25">
      <c r="B189" s="5">
        <v>282</v>
      </c>
      <c r="C189" s="27" t="s">
        <v>1450</v>
      </c>
      <c r="D189" s="101" t="s">
        <v>4127</v>
      </c>
      <c r="E189" s="5" t="s">
        <v>33</v>
      </c>
      <c r="F189" s="5" t="s">
        <v>1451</v>
      </c>
      <c r="G189" s="7" t="s">
        <v>1452</v>
      </c>
      <c r="H189" s="7" t="s">
        <v>1453</v>
      </c>
      <c r="I189" s="8">
        <v>267625.44</v>
      </c>
      <c r="J189" s="8"/>
      <c r="K189" s="8"/>
      <c r="L189" s="8">
        <f t="shared" si="79"/>
        <v>321150.52799999999</v>
      </c>
      <c r="M189" s="8"/>
      <c r="N189" s="8"/>
      <c r="O189" s="15">
        <f t="shared" si="80"/>
        <v>0</v>
      </c>
      <c r="P189" s="15">
        <f t="shared" si="81"/>
        <v>0</v>
      </c>
      <c r="Q189" s="8"/>
      <c r="R189" s="8"/>
      <c r="S189" s="7" t="s">
        <v>1033</v>
      </c>
      <c r="T189" s="7" t="s">
        <v>445</v>
      </c>
      <c r="U189" s="7" t="s">
        <v>1454</v>
      </c>
      <c r="V189" s="7"/>
      <c r="W189" s="9" t="s">
        <v>1455</v>
      </c>
      <c r="X189" s="10">
        <v>45320</v>
      </c>
      <c r="Y189" s="7" t="s">
        <v>41</v>
      </c>
      <c r="Z189" s="7"/>
      <c r="AA189" s="65"/>
      <c r="AB189" s="7">
        <v>340</v>
      </c>
      <c r="AC189" s="9">
        <v>156</v>
      </c>
      <c r="AD189" s="9"/>
      <c r="AE189" s="9"/>
      <c r="AF189" s="9"/>
      <c r="AG189" s="9"/>
      <c r="AH189" s="9"/>
      <c r="AI189" s="9"/>
      <c r="AJ189" s="9"/>
      <c r="AK189" s="9"/>
      <c r="AL189" s="9"/>
      <c r="AM189" s="9">
        <v>252</v>
      </c>
      <c r="AN189" s="9"/>
      <c r="AO189" s="9"/>
      <c r="AP189" s="9">
        <f t="shared" si="60"/>
        <v>3</v>
      </c>
      <c r="AQ189" s="62">
        <f t="shared" si="61"/>
        <v>249.33333333333334</v>
      </c>
      <c r="AR189" s="11" t="str">
        <f>IF(AQ189&gt;='Aprovados Recursos do Fundo'!$AQ$1,"APROVADO","REPROVADO")</f>
        <v>APROVADO</v>
      </c>
      <c r="AS189" s="65"/>
      <c r="AT189" s="65"/>
      <c r="AU189" s="151"/>
      <c r="AV189" s="65"/>
      <c r="AW189" s="65"/>
      <c r="AX189" s="65"/>
      <c r="AY189" s="65"/>
      <c r="AZ189" s="65"/>
      <c r="BA189" s="65"/>
      <c r="BB189" s="65"/>
      <c r="BC189" s="34"/>
      <c r="BD189" s="65"/>
    </row>
    <row r="190" spans="2:57" s="64" customFormat="1" ht="39.950000000000003" hidden="1" customHeight="1" x14ac:dyDescent="0.25">
      <c r="B190" s="5">
        <v>283</v>
      </c>
      <c r="C190" s="6" t="s">
        <v>1456</v>
      </c>
      <c r="D190" s="101" t="s">
        <v>4128</v>
      </c>
      <c r="E190" s="5" t="s">
        <v>33</v>
      </c>
      <c r="F190" s="58" t="s">
        <v>1457</v>
      </c>
      <c r="G190" s="5" t="s">
        <v>1458</v>
      </c>
      <c r="H190" s="5" t="s">
        <v>36</v>
      </c>
      <c r="I190" s="17">
        <v>96807.1</v>
      </c>
      <c r="J190" s="17"/>
      <c r="K190" s="17"/>
      <c r="L190" s="8">
        <f t="shared" si="79"/>
        <v>116168.52</v>
      </c>
      <c r="M190" s="17"/>
      <c r="N190" s="17"/>
      <c r="O190" s="15">
        <f t="shared" si="80"/>
        <v>0</v>
      </c>
      <c r="P190" s="15">
        <f t="shared" si="81"/>
        <v>0</v>
      </c>
      <c r="Q190" s="17"/>
      <c r="R190" s="17"/>
      <c r="S190" s="5" t="s">
        <v>1459</v>
      </c>
      <c r="T190" s="45" t="s">
        <v>270</v>
      </c>
      <c r="U190" s="45" t="s">
        <v>1460</v>
      </c>
      <c r="V190" s="45"/>
      <c r="W190" s="46" t="s">
        <v>1461</v>
      </c>
      <c r="X190" s="10">
        <v>45321</v>
      </c>
      <c r="Y190" s="5" t="s">
        <v>41</v>
      </c>
      <c r="Z190" s="5"/>
      <c r="AA190" s="65"/>
      <c r="AB190" s="5">
        <v>265</v>
      </c>
      <c r="AC190" s="9">
        <v>162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>
        <v>281</v>
      </c>
      <c r="AN190" s="9"/>
      <c r="AO190" s="9"/>
      <c r="AP190" s="9">
        <f t="shared" si="60"/>
        <v>3</v>
      </c>
      <c r="AQ190" s="62">
        <f t="shared" si="61"/>
        <v>236</v>
      </c>
      <c r="AR190" s="11" t="str">
        <f>IF(AQ190&gt;=$AR$1,"APROVADO","REPROVADO")</f>
        <v>APROVADO</v>
      </c>
      <c r="AS190" s="65"/>
      <c r="AT190" s="65"/>
      <c r="AU190" s="151"/>
      <c r="AV190" s="65"/>
      <c r="AW190" s="65"/>
      <c r="AX190" s="65"/>
      <c r="AY190" s="65"/>
      <c r="AZ190" s="65"/>
      <c r="BA190" s="65"/>
      <c r="BB190" s="65"/>
      <c r="BC190" s="34"/>
      <c r="BD190" s="65"/>
    </row>
    <row r="191" spans="2:57" s="64" customFormat="1" ht="39.950000000000003" hidden="1" customHeight="1" x14ac:dyDescent="0.25">
      <c r="B191" s="5">
        <v>284</v>
      </c>
      <c r="C191" s="27" t="s">
        <v>1462</v>
      </c>
      <c r="D191" s="101" t="s">
        <v>4129</v>
      </c>
      <c r="E191" s="5" t="s">
        <v>33</v>
      </c>
      <c r="F191" s="58" t="s">
        <v>1457</v>
      </c>
      <c r="G191" s="7" t="s">
        <v>1463</v>
      </c>
      <c r="H191" s="7" t="s">
        <v>36</v>
      </c>
      <c r="I191" s="8">
        <v>200750</v>
      </c>
      <c r="J191" s="8"/>
      <c r="K191" s="8"/>
      <c r="L191" s="8">
        <f t="shared" si="79"/>
        <v>240900</v>
      </c>
      <c r="M191" s="8"/>
      <c r="N191" s="8"/>
      <c r="O191" s="15">
        <f t="shared" si="80"/>
        <v>0</v>
      </c>
      <c r="P191" s="15">
        <f t="shared" si="81"/>
        <v>0</v>
      </c>
      <c r="Q191" s="8"/>
      <c r="R191" s="8"/>
      <c r="S191" s="7" t="s">
        <v>1459</v>
      </c>
      <c r="T191" s="7" t="s">
        <v>270</v>
      </c>
      <c r="U191" s="7" t="s">
        <v>1460</v>
      </c>
      <c r="V191" s="7"/>
      <c r="W191" s="9" t="s">
        <v>1461</v>
      </c>
      <c r="X191" s="10">
        <v>45321</v>
      </c>
      <c r="Y191" s="7" t="s">
        <v>41</v>
      </c>
      <c r="Z191" s="7"/>
      <c r="AA191" s="65"/>
      <c r="AB191" s="7">
        <v>328</v>
      </c>
      <c r="AC191" s="9">
        <v>178</v>
      </c>
      <c r="AD191" s="9">
        <v>251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>
        <f t="shared" si="60"/>
        <v>3</v>
      </c>
      <c r="AQ191" s="62">
        <f t="shared" si="61"/>
        <v>252.33333333333334</v>
      </c>
      <c r="AR191" s="11" t="str">
        <f>IF(AQ191&gt;=$AR$1,"APROVADO","REPROVADO")</f>
        <v>APROVADO</v>
      </c>
      <c r="AS191" s="65"/>
      <c r="AT191" s="65"/>
      <c r="AU191" s="151"/>
      <c r="AV191" s="65"/>
      <c r="AW191" s="65"/>
      <c r="AX191" s="65"/>
      <c r="AY191" s="65"/>
      <c r="AZ191" s="65"/>
      <c r="BA191" s="65"/>
      <c r="BB191" s="65"/>
      <c r="BC191" s="34"/>
      <c r="BD191" s="65"/>
    </row>
    <row r="192" spans="2:57" s="64" customFormat="1" ht="39.950000000000003" hidden="1" customHeight="1" x14ac:dyDescent="0.25">
      <c r="B192" s="5">
        <v>286</v>
      </c>
      <c r="C192" s="6" t="s">
        <v>1466</v>
      </c>
      <c r="D192" s="101" t="s">
        <v>4130</v>
      </c>
      <c r="E192" s="5" t="s">
        <v>33</v>
      </c>
      <c r="F192" s="5" t="s">
        <v>1467</v>
      </c>
      <c r="G192" s="5" t="s">
        <v>1468</v>
      </c>
      <c r="H192" s="7" t="s">
        <v>36</v>
      </c>
      <c r="I192" s="8">
        <v>71000</v>
      </c>
      <c r="J192" s="8"/>
      <c r="K192" s="8"/>
      <c r="L192" s="8">
        <f t="shared" si="79"/>
        <v>85200</v>
      </c>
      <c r="M192" s="8"/>
      <c r="N192" s="8"/>
      <c r="O192" s="15">
        <f t="shared" si="80"/>
        <v>0</v>
      </c>
      <c r="P192" s="15">
        <f t="shared" si="81"/>
        <v>0</v>
      </c>
      <c r="Q192" s="8"/>
      <c r="R192" s="8"/>
      <c r="S192" s="7" t="s">
        <v>1469</v>
      </c>
      <c r="T192" s="7" t="s">
        <v>597</v>
      </c>
      <c r="U192" s="7" t="s">
        <v>1470</v>
      </c>
      <c r="V192" s="7"/>
      <c r="W192" s="9" t="s">
        <v>1471</v>
      </c>
      <c r="X192" s="10">
        <v>45321</v>
      </c>
      <c r="Y192" s="5" t="s">
        <v>67</v>
      </c>
      <c r="Z192" s="7"/>
      <c r="AA192" s="65"/>
      <c r="AB192" s="5">
        <v>312</v>
      </c>
      <c r="AC192" s="9">
        <v>227</v>
      </c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>
        <v>338</v>
      </c>
      <c r="AO192" s="9"/>
      <c r="AP192" s="9">
        <f t="shared" si="60"/>
        <v>3</v>
      </c>
      <c r="AQ192" s="62">
        <f t="shared" si="61"/>
        <v>292.33333333333331</v>
      </c>
      <c r="AR192" s="11" t="str">
        <f>IF(AQ192&gt;='Aprovados Recursos do Fundo'!$AQ$1,"APROVADO","REPROVADO")</f>
        <v>APROVADO</v>
      </c>
      <c r="AS192" s="65"/>
      <c r="AT192" s="65"/>
      <c r="AU192" s="151"/>
      <c r="AV192" s="65"/>
      <c r="AW192" s="65"/>
      <c r="AX192" s="65"/>
      <c r="AY192" s="65"/>
      <c r="AZ192" s="65"/>
      <c r="BA192" s="65"/>
      <c r="BB192" s="65"/>
      <c r="BC192" s="34"/>
      <c r="BD192" s="65"/>
    </row>
    <row r="193" spans="2:58" s="64" customFormat="1" ht="39.950000000000003" hidden="1" customHeight="1" x14ac:dyDescent="0.25">
      <c r="B193" s="5">
        <v>288</v>
      </c>
      <c r="C193" s="6" t="s">
        <v>1478</v>
      </c>
      <c r="D193" s="101" t="s">
        <v>4131</v>
      </c>
      <c r="E193" s="5" t="s">
        <v>33</v>
      </c>
      <c r="F193" s="58" t="s">
        <v>1467</v>
      </c>
      <c r="G193" s="5" t="s">
        <v>1479</v>
      </c>
      <c r="H193" s="7" t="s">
        <v>36</v>
      </c>
      <c r="I193" s="8">
        <v>266999.78000000003</v>
      </c>
      <c r="J193" s="8"/>
      <c r="K193" s="8"/>
      <c r="L193" s="8">
        <f t="shared" si="79"/>
        <v>320399.73600000003</v>
      </c>
      <c r="M193" s="8"/>
      <c r="N193" s="8"/>
      <c r="O193" s="15">
        <f t="shared" si="80"/>
        <v>0</v>
      </c>
      <c r="P193" s="15">
        <f t="shared" si="81"/>
        <v>0</v>
      </c>
      <c r="Q193" s="8"/>
      <c r="R193" s="8"/>
      <c r="S193" s="7" t="s">
        <v>1469</v>
      </c>
      <c r="T193" s="7" t="s">
        <v>597</v>
      </c>
      <c r="U193" s="7" t="s">
        <v>1480</v>
      </c>
      <c r="V193" s="7"/>
      <c r="W193" s="9" t="s">
        <v>1471</v>
      </c>
      <c r="X193" s="10">
        <v>45321</v>
      </c>
      <c r="Y193" s="5" t="s">
        <v>67</v>
      </c>
      <c r="Z193" s="7"/>
      <c r="AA193" s="65"/>
      <c r="AB193" s="5">
        <v>322</v>
      </c>
      <c r="AC193" s="9">
        <v>203</v>
      </c>
      <c r="AD193" s="9"/>
      <c r="AE193" s="9"/>
      <c r="AF193" s="9"/>
      <c r="AG193" s="9">
        <v>312</v>
      </c>
      <c r="AH193" s="9"/>
      <c r="AI193" s="9"/>
      <c r="AJ193" s="9"/>
      <c r="AK193" s="9"/>
      <c r="AL193" s="9"/>
      <c r="AM193" s="9"/>
      <c r="AN193" s="9"/>
      <c r="AO193" s="9"/>
      <c r="AP193" s="9">
        <f t="shared" si="60"/>
        <v>3</v>
      </c>
      <c r="AQ193" s="62">
        <f t="shared" si="61"/>
        <v>279</v>
      </c>
      <c r="AR193" s="11" t="str">
        <f>IF(AQ193&gt;=$AR$1,"APROVADO","REPROVADO")</f>
        <v>APROVADO</v>
      </c>
      <c r="AS193" s="65"/>
      <c r="AT193" s="65"/>
      <c r="AU193" s="151"/>
      <c r="AV193" s="65"/>
      <c r="AW193" s="65"/>
      <c r="AX193" s="65"/>
      <c r="AY193" s="65"/>
      <c r="AZ193" s="65"/>
      <c r="BA193" s="65"/>
      <c r="BB193" s="65"/>
      <c r="BC193" s="34"/>
      <c r="BD193" s="65"/>
      <c r="BE193" s="140"/>
    </row>
    <row r="194" spans="2:58" s="64" customFormat="1" ht="39.950000000000003" hidden="1" customHeight="1" x14ac:dyDescent="0.25">
      <c r="B194" s="5">
        <v>289</v>
      </c>
      <c r="C194" s="6" t="s">
        <v>1481</v>
      </c>
      <c r="D194" s="101" t="s">
        <v>4132</v>
      </c>
      <c r="E194" s="5" t="s">
        <v>33</v>
      </c>
      <c r="F194" s="5" t="s">
        <v>1482</v>
      </c>
      <c r="G194" s="7" t="s">
        <v>1483</v>
      </c>
      <c r="H194" s="7" t="s">
        <v>36</v>
      </c>
      <c r="I194" s="8">
        <v>160000</v>
      </c>
      <c r="J194" s="8"/>
      <c r="K194" s="8"/>
      <c r="L194" s="8">
        <f t="shared" si="79"/>
        <v>192000</v>
      </c>
      <c r="M194" s="8"/>
      <c r="N194" s="8"/>
      <c r="O194" s="15">
        <f t="shared" si="80"/>
        <v>0</v>
      </c>
      <c r="P194" s="15">
        <f t="shared" si="81"/>
        <v>0</v>
      </c>
      <c r="Q194" s="8"/>
      <c r="R194" s="8"/>
      <c r="S194" s="7" t="s">
        <v>1484</v>
      </c>
      <c r="T194" s="7" t="s">
        <v>181</v>
      </c>
      <c r="U194" s="7" t="s">
        <v>1485</v>
      </c>
      <c r="V194" s="7"/>
      <c r="W194" s="9" t="s">
        <v>1486</v>
      </c>
      <c r="X194" s="10">
        <v>45321</v>
      </c>
      <c r="Y194" s="7" t="s">
        <v>67</v>
      </c>
      <c r="Z194" s="7"/>
      <c r="AA194" s="65"/>
      <c r="AB194" s="7">
        <v>321</v>
      </c>
      <c r="AC194" s="9"/>
      <c r="AD194" s="9"/>
      <c r="AE194" s="9"/>
      <c r="AF194" s="9"/>
      <c r="AG194" s="9"/>
      <c r="AH194" s="9"/>
      <c r="AI194" s="9">
        <v>240</v>
      </c>
      <c r="AJ194" s="9">
        <v>340</v>
      </c>
      <c r="AK194" s="9"/>
      <c r="AL194" s="9"/>
      <c r="AM194" s="9"/>
      <c r="AN194" s="9"/>
      <c r="AO194" s="9"/>
      <c r="AP194" s="9">
        <f t="shared" si="60"/>
        <v>3</v>
      </c>
      <c r="AQ194" s="62">
        <f t="shared" si="61"/>
        <v>300.33333333333331</v>
      </c>
      <c r="AR194" s="11" t="str">
        <f>IF(AQ194&gt;='Aprovados Recursos do Fundo'!$AQ$1,"APROVADO","REPROVADO")</f>
        <v>APROVADO</v>
      </c>
      <c r="AS194" s="65"/>
      <c r="AT194" s="65"/>
      <c r="AU194" s="151"/>
      <c r="AV194" s="65"/>
      <c r="AW194" s="65"/>
      <c r="AX194" s="65"/>
      <c r="AY194" s="65"/>
      <c r="AZ194" s="65"/>
      <c r="BA194" s="65"/>
      <c r="BB194" s="65"/>
      <c r="BC194" s="34"/>
      <c r="BD194" s="65"/>
    </row>
    <row r="195" spans="2:58" s="64" customFormat="1" ht="39.950000000000003" hidden="1" customHeight="1" x14ac:dyDescent="0.25">
      <c r="B195" s="5">
        <v>291</v>
      </c>
      <c r="C195" s="22" t="s">
        <v>1493</v>
      </c>
      <c r="D195" s="99"/>
      <c r="E195" s="5" t="s">
        <v>51</v>
      </c>
      <c r="F195" s="59" t="s">
        <v>1488</v>
      </c>
      <c r="G195" s="11" t="s">
        <v>1494</v>
      </c>
      <c r="H195" s="11" t="s">
        <v>36</v>
      </c>
      <c r="I195" s="41">
        <v>87500</v>
      </c>
      <c r="J195" s="41"/>
      <c r="K195" s="41"/>
      <c r="L195" s="8">
        <v>105000</v>
      </c>
      <c r="M195" s="41"/>
      <c r="N195" s="41"/>
      <c r="O195" s="41"/>
      <c r="P195" s="41"/>
      <c r="Q195" s="41"/>
      <c r="R195" s="41"/>
      <c r="S195" s="9" t="s">
        <v>1490</v>
      </c>
      <c r="T195" s="11" t="s">
        <v>1414</v>
      </c>
      <c r="U195" s="9" t="s">
        <v>1495</v>
      </c>
      <c r="V195" s="9"/>
      <c r="W195" s="68" t="s">
        <v>1492</v>
      </c>
      <c r="X195" s="34">
        <v>45321</v>
      </c>
      <c r="Y195" s="9" t="s">
        <v>57</v>
      </c>
      <c r="Z195" s="9"/>
      <c r="AA195" s="65"/>
      <c r="AB195" s="9">
        <v>336</v>
      </c>
      <c r="AC195" s="9"/>
      <c r="AD195" s="9"/>
      <c r="AE195" s="9"/>
      <c r="AF195" s="9"/>
      <c r="AG195" s="9"/>
      <c r="AH195" s="9"/>
      <c r="AI195" s="9">
        <v>298</v>
      </c>
      <c r="AJ195" s="9">
        <v>303</v>
      </c>
      <c r="AK195" s="9"/>
      <c r="AL195" s="9"/>
      <c r="AM195" s="9"/>
      <c r="AN195" s="65"/>
      <c r="AO195" s="65"/>
      <c r="AP195" s="9">
        <f t="shared" si="60"/>
        <v>3</v>
      </c>
      <c r="AQ195" s="62">
        <f t="shared" si="61"/>
        <v>312.33333333333331</v>
      </c>
      <c r="AR195" s="11" t="str">
        <f>IF(AQ195&gt;=$AR$1,"APROVADO","REPROVADO")</f>
        <v>APROVADO</v>
      </c>
      <c r="AS195" s="65"/>
      <c r="AT195" s="65"/>
      <c r="AU195" s="151"/>
      <c r="AV195" s="65"/>
      <c r="AW195" s="65"/>
      <c r="AX195" s="65"/>
      <c r="AY195" s="65"/>
      <c r="AZ195" s="65"/>
      <c r="BA195" s="65"/>
      <c r="BB195" s="65"/>
      <c r="BC195" s="34"/>
      <c r="BD195" s="65"/>
    </row>
    <row r="196" spans="2:58" s="64" customFormat="1" ht="39.950000000000003" hidden="1" customHeight="1" x14ac:dyDescent="0.25">
      <c r="B196" s="5">
        <v>292</v>
      </c>
      <c r="C196" s="6" t="s">
        <v>1496</v>
      </c>
      <c r="D196" s="101" t="s">
        <v>4133</v>
      </c>
      <c r="E196" s="5" t="s">
        <v>33</v>
      </c>
      <c r="F196" s="5" t="s">
        <v>1497</v>
      </c>
      <c r="G196" s="5" t="s">
        <v>1498</v>
      </c>
      <c r="H196" s="7" t="s">
        <v>36</v>
      </c>
      <c r="I196" s="8">
        <v>40000</v>
      </c>
      <c r="J196" s="8"/>
      <c r="K196" s="8"/>
      <c r="L196" s="8">
        <f t="shared" ref="L196:L202" si="84">I196*1.2</f>
        <v>48000</v>
      </c>
      <c r="M196" s="8"/>
      <c r="N196" s="8"/>
      <c r="O196" s="15">
        <f t="shared" ref="O196:O202" si="85">M196*0.83333332117758</f>
        <v>0</v>
      </c>
      <c r="P196" s="15">
        <f t="shared" ref="P196:P202" si="86">M196*0.16666667882242</f>
        <v>0</v>
      </c>
      <c r="Q196" s="8"/>
      <c r="R196" s="8"/>
      <c r="S196" s="7" t="s">
        <v>1490</v>
      </c>
      <c r="T196" s="7" t="s">
        <v>1414</v>
      </c>
      <c r="U196" s="7" t="s">
        <v>1499</v>
      </c>
      <c r="V196" s="7"/>
      <c r="W196" s="9" t="s">
        <v>1500</v>
      </c>
      <c r="X196" s="10">
        <v>45321</v>
      </c>
      <c r="Y196" s="5" t="s">
        <v>67</v>
      </c>
      <c r="Z196" s="7"/>
      <c r="AA196" s="65"/>
      <c r="AB196" s="5">
        <v>270</v>
      </c>
      <c r="AC196" s="9">
        <v>243</v>
      </c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>
        <v>247</v>
      </c>
      <c r="AO196" s="9"/>
      <c r="AP196" s="9">
        <f t="shared" ref="AP196:AP259" si="87">COUNT(AB196:AO196)</f>
        <v>3</v>
      </c>
      <c r="AQ196" s="62">
        <f t="shared" ref="AQ196:AQ259" si="88">AVERAGE(AB196:AO196)</f>
        <v>253.33333333333334</v>
      </c>
      <c r="AR196" s="11" t="str">
        <f>IF(AQ196&gt;='Aprovados Recursos do Fundo'!$AQ$1,"APROVADO","REPROVADO")</f>
        <v>APROVADO</v>
      </c>
      <c r="AS196" s="65"/>
      <c r="AT196" s="65"/>
      <c r="AU196" s="151"/>
      <c r="AV196" s="65"/>
      <c r="AW196" s="65"/>
      <c r="AX196" s="65"/>
      <c r="AY196" s="65"/>
      <c r="AZ196" s="65"/>
      <c r="BA196" s="65"/>
      <c r="BB196" s="65"/>
      <c r="BC196" s="34"/>
      <c r="BD196" s="65"/>
    </row>
    <row r="197" spans="2:58" s="64" customFormat="1" ht="39.950000000000003" hidden="1" customHeight="1" x14ac:dyDescent="0.25">
      <c r="B197" s="5">
        <v>293</v>
      </c>
      <c r="C197" s="6" t="s">
        <v>1501</v>
      </c>
      <c r="D197" s="101" t="s">
        <v>4134</v>
      </c>
      <c r="E197" s="5" t="s">
        <v>33</v>
      </c>
      <c r="F197" s="5" t="s">
        <v>1502</v>
      </c>
      <c r="G197" s="7" t="s">
        <v>1503</v>
      </c>
      <c r="H197" s="7" t="s">
        <v>107</v>
      </c>
      <c r="I197" s="8">
        <v>42947</v>
      </c>
      <c r="J197" s="8"/>
      <c r="K197" s="8"/>
      <c r="L197" s="8">
        <f t="shared" si="84"/>
        <v>51536.4</v>
      </c>
      <c r="M197" s="8"/>
      <c r="N197" s="8"/>
      <c r="O197" s="15">
        <f t="shared" si="85"/>
        <v>0</v>
      </c>
      <c r="P197" s="15">
        <f t="shared" si="86"/>
        <v>0</v>
      </c>
      <c r="Q197" s="8"/>
      <c r="R197" s="8"/>
      <c r="S197" s="7" t="s">
        <v>269</v>
      </c>
      <c r="T197" s="7" t="s">
        <v>270</v>
      </c>
      <c r="U197" s="7" t="s">
        <v>1504</v>
      </c>
      <c r="V197" s="7"/>
      <c r="W197" s="9" t="s">
        <v>1505</v>
      </c>
      <c r="X197" s="10">
        <v>45321</v>
      </c>
      <c r="Y197" s="7" t="s">
        <v>67</v>
      </c>
      <c r="Z197" s="7"/>
      <c r="AA197" s="65"/>
      <c r="AB197" s="7">
        <v>228</v>
      </c>
      <c r="AC197" s="9"/>
      <c r="AD197" s="9"/>
      <c r="AE197" s="9"/>
      <c r="AF197" s="9"/>
      <c r="AG197" s="9">
        <v>314</v>
      </c>
      <c r="AH197" s="9"/>
      <c r="AI197" s="9"/>
      <c r="AJ197" s="9"/>
      <c r="AK197" s="9"/>
      <c r="AL197" s="9"/>
      <c r="AM197" s="9"/>
      <c r="AN197" s="9">
        <v>322</v>
      </c>
      <c r="AO197" s="9"/>
      <c r="AP197" s="9">
        <f t="shared" si="87"/>
        <v>3</v>
      </c>
      <c r="AQ197" s="62">
        <f t="shared" si="88"/>
        <v>288</v>
      </c>
      <c r="AR197" s="11" t="str">
        <f>IF(AQ197&gt;='Aprovados Recursos do Fundo'!$AQ$1,"APROVADO","REPROVADO")</f>
        <v>APROVADO</v>
      </c>
      <c r="AS197" s="65"/>
      <c r="AT197" s="65"/>
      <c r="AU197" s="151"/>
      <c r="AV197" s="65"/>
      <c r="AW197" s="65"/>
      <c r="AX197" s="65"/>
      <c r="AY197" s="65"/>
      <c r="AZ197" s="65"/>
      <c r="BA197" s="65"/>
      <c r="BB197" s="65"/>
      <c r="BC197" s="34"/>
      <c r="BD197" s="65"/>
    </row>
    <row r="198" spans="2:58" s="64" customFormat="1" ht="39.950000000000003" hidden="1" customHeight="1" x14ac:dyDescent="0.25">
      <c r="B198" s="5">
        <v>294</v>
      </c>
      <c r="C198" s="6" t="s">
        <v>1506</v>
      </c>
      <c r="D198" s="100" t="s">
        <v>4135</v>
      </c>
      <c r="E198" s="5" t="s">
        <v>33</v>
      </c>
      <c r="F198" s="5" t="s">
        <v>1507</v>
      </c>
      <c r="G198" s="5" t="s">
        <v>1508</v>
      </c>
      <c r="H198" s="7" t="s">
        <v>36</v>
      </c>
      <c r="I198" s="8">
        <v>777859.48</v>
      </c>
      <c r="J198" s="8"/>
      <c r="K198" s="8"/>
      <c r="L198" s="8">
        <f t="shared" si="84"/>
        <v>933431.37599999993</v>
      </c>
      <c r="M198" s="8">
        <f>16450+20000+200000+616981+82761.1</f>
        <v>936192.1</v>
      </c>
      <c r="N198" s="8">
        <f>L198-M198</f>
        <v>-2760.7240000000456</v>
      </c>
      <c r="O198" s="15">
        <f t="shared" si="85"/>
        <v>780160.07195321308</v>
      </c>
      <c r="P198" s="15">
        <f t="shared" si="86"/>
        <v>156032.0280467869</v>
      </c>
      <c r="Q198" s="143">
        <f>M198/L198</f>
        <v>1.0029576078873954</v>
      </c>
      <c r="R198" s="8"/>
      <c r="S198" s="7" t="s">
        <v>73</v>
      </c>
      <c r="T198" s="5" t="s">
        <v>74</v>
      </c>
      <c r="U198" s="7" t="s">
        <v>1509</v>
      </c>
      <c r="V198" s="7">
        <v>1</v>
      </c>
      <c r="W198" s="9" t="s">
        <v>1510</v>
      </c>
      <c r="X198" s="10">
        <v>45321</v>
      </c>
      <c r="Y198" s="5" t="s">
        <v>67</v>
      </c>
      <c r="Z198" s="7" t="s">
        <v>375</v>
      </c>
      <c r="AA198" s="65"/>
      <c r="AB198" s="5">
        <v>330</v>
      </c>
      <c r="AC198" s="9">
        <v>107</v>
      </c>
      <c r="AD198" s="9"/>
      <c r="AE198" s="9"/>
      <c r="AF198" s="9"/>
      <c r="AG198" s="9"/>
      <c r="AH198" s="9">
        <v>242</v>
      </c>
      <c r="AI198" s="9"/>
      <c r="AJ198" s="9"/>
      <c r="AK198" s="9"/>
      <c r="AL198" s="9"/>
      <c r="AM198" s="9"/>
      <c r="AN198" s="9"/>
      <c r="AO198" s="9"/>
      <c r="AP198" s="9">
        <f t="shared" si="87"/>
        <v>3</v>
      </c>
      <c r="AQ198" s="62">
        <f t="shared" si="88"/>
        <v>226.33333333333334</v>
      </c>
      <c r="AR198" s="11" t="str">
        <f>IF(AQ198&gt;='Aprovados Recursos do Fundo'!$AQ$1,"APROVADO","REPROVADO")</f>
        <v>APROVADO</v>
      </c>
      <c r="AS198" s="65"/>
      <c r="AT198" s="65"/>
      <c r="AU198" s="151"/>
      <c r="AV198" s="65"/>
      <c r="AW198" s="65"/>
      <c r="AX198" s="65"/>
      <c r="AY198" s="65"/>
      <c r="AZ198" s="65"/>
      <c r="BA198" s="65"/>
      <c r="BB198" s="65"/>
      <c r="BC198" s="34"/>
      <c r="BD198" s="65"/>
      <c r="BF198" s="64" t="s">
        <v>4136</v>
      </c>
    </row>
    <row r="199" spans="2:58" s="64" customFormat="1" ht="39.950000000000003" hidden="1" customHeight="1" x14ac:dyDescent="0.25">
      <c r="B199" s="5">
        <v>300</v>
      </c>
      <c r="C199" s="6" t="s">
        <v>1539</v>
      </c>
      <c r="D199" s="101" t="s">
        <v>4137</v>
      </c>
      <c r="E199" s="5" t="s">
        <v>33</v>
      </c>
      <c r="F199" s="5" t="s">
        <v>1540</v>
      </c>
      <c r="G199" s="7" t="s">
        <v>1541</v>
      </c>
      <c r="H199" s="7" t="s">
        <v>36</v>
      </c>
      <c r="I199" s="8">
        <v>593611.06000000006</v>
      </c>
      <c r="J199" s="8"/>
      <c r="K199" s="8"/>
      <c r="L199" s="8">
        <f t="shared" si="84"/>
        <v>712333.272</v>
      </c>
      <c r="M199" s="8"/>
      <c r="N199" s="8"/>
      <c r="O199" s="15">
        <f t="shared" si="85"/>
        <v>0</v>
      </c>
      <c r="P199" s="15">
        <f t="shared" si="86"/>
        <v>0</v>
      </c>
      <c r="Q199" s="8"/>
      <c r="R199" s="8"/>
      <c r="S199" s="7" t="s">
        <v>73</v>
      </c>
      <c r="T199" s="5" t="s">
        <v>74</v>
      </c>
      <c r="U199" s="7" t="s">
        <v>1542</v>
      </c>
      <c r="V199" s="7"/>
      <c r="W199" s="31" t="s">
        <v>1543</v>
      </c>
      <c r="X199" s="10">
        <v>45321</v>
      </c>
      <c r="Y199" s="7" t="s">
        <v>67</v>
      </c>
      <c r="Z199" s="7"/>
      <c r="AA199" s="65"/>
      <c r="AB199" s="7">
        <v>302</v>
      </c>
      <c r="AC199" s="9">
        <v>248</v>
      </c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>
        <v>306</v>
      </c>
      <c r="AP199" s="9">
        <f t="shared" si="87"/>
        <v>3</v>
      </c>
      <c r="AQ199" s="62">
        <f t="shared" si="88"/>
        <v>285.33333333333331</v>
      </c>
      <c r="AR199" s="11" t="str">
        <f>IF(AQ199&gt;='Aprovados Recursos do Fundo'!$AQ$1,"APROVADO","REPROVADO")</f>
        <v>APROVADO</v>
      </c>
      <c r="AS199" s="65"/>
      <c r="AT199" s="65"/>
      <c r="AU199" s="151"/>
      <c r="AV199" s="65"/>
      <c r="AW199" s="65"/>
      <c r="AX199" s="65"/>
      <c r="AY199" s="65"/>
      <c r="AZ199" s="65"/>
      <c r="BA199" s="65"/>
      <c r="BB199" s="65"/>
      <c r="BC199" s="34"/>
      <c r="BD199" s="65"/>
    </row>
    <row r="200" spans="2:58" s="64" customFormat="1" ht="39.950000000000003" hidden="1" customHeight="1" x14ac:dyDescent="0.25">
      <c r="B200" s="5">
        <v>301</v>
      </c>
      <c r="C200" s="27" t="s">
        <v>1544</v>
      </c>
      <c r="D200" s="101" t="s">
        <v>4138</v>
      </c>
      <c r="E200" s="5" t="s">
        <v>33</v>
      </c>
      <c r="F200" s="5" t="s">
        <v>1545</v>
      </c>
      <c r="G200" s="7" t="s">
        <v>1546</v>
      </c>
      <c r="H200" s="7" t="s">
        <v>36</v>
      </c>
      <c r="I200" s="8">
        <v>49740</v>
      </c>
      <c r="J200" s="8"/>
      <c r="K200" s="8"/>
      <c r="L200" s="8">
        <f t="shared" si="84"/>
        <v>59688</v>
      </c>
      <c r="M200" s="8"/>
      <c r="N200" s="8"/>
      <c r="O200" s="15">
        <f t="shared" si="85"/>
        <v>0</v>
      </c>
      <c r="P200" s="15">
        <f t="shared" si="86"/>
        <v>0</v>
      </c>
      <c r="Q200" s="8"/>
      <c r="R200" s="8"/>
      <c r="S200" s="7" t="s">
        <v>1547</v>
      </c>
      <c r="T200" s="7" t="s">
        <v>445</v>
      </c>
      <c r="U200" s="7" t="s">
        <v>1548</v>
      </c>
      <c r="V200" s="7"/>
      <c r="W200" s="9" t="s">
        <v>1549</v>
      </c>
      <c r="X200" s="10">
        <v>45321</v>
      </c>
      <c r="Y200" s="7" t="s">
        <v>41</v>
      </c>
      <c r="Z200" s="7"/>
      <c r="AA200" s="65"/>
      <c r="AB200" s="7">
        <v>340</v>
      </c>
      <c r="AC200" s="9">
        <v>178</v>
      </c>
      <c r="AD200" s="9">
        <v>251</v>
      </c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>
        <f t="shared" si="87"/>
        <v>3</v>
      </c>
      <c r="AQ200" s="62">
        <f t="shared" si="88"/>
        <v>256.33333333333331</v>
      </c>
      <c r="AR200" s="11" t="str">
        <f>IF(AQ200&gt;='Aprovados Recursos do Fundo'!$AQ$1,"APROVADO","REPROVADO")</f>
        <v>APROVADO</v>
      </c>
      <c r="AS200" s="65"/>
      <c r="AT200" s="65"/>
      <c r="AU200" s="151"/>
      <c r="AV200" s="65"/>
      <c r="AW200" s="65"/>
      <c r="AX200" s="65"/>
      <c r="AY200" s="65"/>
      <c r="AZ200" s="65"/>
      <c r="BA200" s="65"/>
      <c r="BB200" s="65"/>
      <c r="BC200" s="34"/>
      <c r="BD200" s="65"/>
    </row>
    <row r="201" spans="2:58" s="64" customFormat="1" ht="39.950000000000003" hidden="1" customHeight="1" x14ac:dyDescent="0.25">
      <c r="B201" s="5">
        <v>302</v>
      </c>
      <c r="C201" s="27" t="s">
        <v>1550</v>
      </c>
      <c r="D201" s="101" t="s">
        <v>4139</v>
      </c>
      <c r="E201" s="5" t="s">
        <v>33</v>
      </c>
      <c r="F201" s="5" t="s">
        <v>1551</v>
      </c>
      <c r="G201" s="7" t="s">
        <v>1552</v>
      </c>
      <c r="H201" s="7" t="s">
        <v>36</v>
      </c>
      <c r="I201" s="8">
        <v>28800</v>
      </c>
      <c r="J201" s="8"/>
      <c r="K201" s="8"/>
      <c r="L201" s="8">
        <f t="shared" si="84"/>
        <v>34560</v>
      </c>
      <c r="M201" s="8"/>
      <c r="N201" s="8"/>
      <c r="O201" s="15">
        <f t="shared" si="85"/>
        <v>0</v>
      </c>
      <c r="P201" s="15">
        <f t="shared" si="86"/>
        <v>0</v>
      </c>
      <c r="Q201" s="8"/>
      <c r="R201" s="8"/>
      <c r="S201" s="7" t="s">
        <v>1553</v>
      </c>
      <c r="T201" s="7" t="s">
        <v>64</v>
      </c>
      <c r="U201" s="7" t="s">
        <v>1554</v>
      </c>
      <c r="V201" s="7"/>
      <c r="W201" s="9" t="s">
        <v>1555</v>
      </c>
      <c r="X201" s="10">
        <v>45321</v>
      </c>
      <c r="Y201" s="7" t="s">
        <v>41</v>
      </c>
      <c r="Z201" s="7"/>
      <c r="AA201" s="65"/>
      <c r="AB201" s="7">
        <v>334</v>
      </c>
      <c r="AC201" s="9">
        <v>275</v>
      </c>
      <c r="AD201" s="9">
        <v>253</v>
      </c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>
        <f t="shared" si="87"/>
        <v>3</v>
      </c>
      <c r="AQ201" s="62">
        <f t="shared" si="88"/>
        <v>287.33333333333331</v>
      </c>
      <c r="AR201" s="11" t="str">
        <f>IF(AQ201&gt;='Aprovados Recursos do Fundo'!$AQ$1,"APROVADO","REPROVADO")</f>
        <v>APROVADO</v>
      </c>
      <c r="AS201" s="65"/>
      <c r="AT201" s="65"/>
      <c r="AU201" s="151"/>
      <c r="AV201" s="65"/>
      <c r="AW201" s="65"/>
      <c r="AX201" s="65"/>
      <c r="AY201" s="65"/>
      <c r="AZ201" s="65"/>
      <c r="BA201" s="65"/>
      <c r="BB201" s="65"/>
      <c r="BC201" s="34"/>
      <c r="BD201" s="65"/>
    </row>
    <row r="202" spans="2:58" s="64" customFormat="1" ht="39.950000000000003" hidden="1" customHeight="1" x14ac:dyDescent="0.25">
      <c r="B202" s="5">
        <v>303</v>
      </c>
      <c r="C202" s="27" t="s">
        <v>1556</v>
      </c>
      <c r="D202" s="101" t="s">
        <v>4140</v>
      </c>
      <c r="E202" s="5" t="s">
        <v>33</v>
      </c>
      <c r="F202" s="7" t="s">
        <v>172</v>
      </c>
      <c r="G202" s="7" t="s">
        <v>1557</v>
      </c>
      <c r="H202" s="7" t="s">
        <v>36</v>
      </c>
      <c r="I202" s="8">
        <v>69500</v>
      </c>
      <c r="J202" s="8"/>
      <c r="K202" s="8"/>
      <c r="L202" s="8">
        <f t="shared" si="84"/>
        <v>83400</v>
      </c>
      <c r="M202" s="8"/>
      <c r="N202" s="8"/>
      <c r="O202" s="15">
        <f t="shared" si="85"/>
        <v>0</v>
      </c>
      <c r="P202" s="15">
        <f t="shared" si="86"/>
        <v>0</v>
      </c>
      <c r="Q202" s="8"/>
      <c r="R202" s="8"/>
      <c r="S202" s="7" t="s">
        <v>1558</v>
      </c>
      <c r="T202" s="7" t="s">
        <v>445</v>
      </c>
      <c r="U202" s="7" t="s">
        <v>1559</v>
      </c>
      <c r="V202" s="7"/>
      <c r="W202" s="9" t="s">
        <v>1560</v>
      </c>
      <c r="X202" s="10">
        <v>45321</v>
      </c>
      <c r="Y202" s="7" t="s">
        <v>41</v>
      </c>
      <c r="Z202" s="7"/>
      <c r="AA202" s="65"/>
      <c r="AB202" s="7">
        <v>340</v>
      </c>
      <c r="AC202" s="9">
        <v>169</v>
      </c>
      <c r="AD202" s="9"/>
      <c r="AE202" s="9"/>
      <c r="AF202" s="9"/>
      <c r="AG202" s="9"/>
      <c r="AH202" s="9"/>
      <c r="AI202" s="9"/>
      <c r="AJ202" s="9"/>
      <c r="AK202" s="9"/>
      <c r="AL202" s="9"/>
      <c r="AM202" s="9">
        <v>331</v>
      </c>
      <c r="AN202" s="9"/>
      <c r="AO202" s="9"/>
      <c r="AP202" s="9">
        <f t="shared" si="87"/>
        <v>3</v>
      </c>
      <c r="AQ202" s="62">
        <f t="shared" si="88"/>
        <v>280</v>
      </c>
      <c r="AR202" s="11" t="str">
        <f>IF(AQ202&gt;='Aprovados Recursos do Fundo'!$AQ$1,"APROVADO","REPROVADO")</f>
        <v>APROVADO</v>
      </c>
      <c r="AS202" s="65"/>
      <c r="AT202" s="65"/>
      <c r="AU202" s="151"/>
      <c r="AV202" s="65"/>
      <c r="AW202" s="65"/>
      <c r="AX202" s="65"/>
      <c r="AY202" s="65"/>
      <c r="AZ202" s="65"/>
      <c r="BA202" s="65"/>
      <c r="BB202" s="65"/>
      <c r="BC202" s="34"/>
      <c r="BD202" s="65"/>
    </row>
    <row r="203" spans="2:58" s="64" customFormat="1" ht="39.950000000000003" hidden="1" customHeight="1" x14ac:dyDescent="0.25">
      <c r="B203" s="5">
        <v>304</v>
      </c>
      <c r="C203" s="22" t="s">
        <v>1561</v>
      </c>
      <c r="D203" s="99"/>
      <c r="E203" s="5" t="s">
        <v>51</v>
      </c>
      <c r="F203" s="9" t="s">
        <v>1562</v>
      </c>
      <c r="G203" s="9" t="s">
        <v>1563</v>
      </c>
      <c r="H203" s="11" t="s">
        <v>36</v>
      </c>
      <c r="I203" s="41">
        <v>64375</v>
      </c>
      <c r="J203" s="41"/>
      <c r="K203" s="41"/>
      <c r="L203" s="8">
        <v>77250</v>
      </c>
      <c r="M203" s="41"/>
      <c r="N203" s="41"/>
      <c r="O203" s="41"/>
      <c r="P203" s="41"/>
      <c r="Q203" s="41"/>
      <c r="R203" s="41"/>
      <c r="S203" s="9" t="s">
        <v>1564</v>
      </c>
      <c r="T203" s="11" t="s">
        <v>189</v>
      </c>
      <c r="U203" s="9" t="s">
        <v>1565</v>
      </c>
      <c r="V203" s="9"/>
      <c r="W203" s="9" t="s">
        <v>1566</v>
      </c>
      <c r="X203" s="34">
        <v>45321</v>
      </c>
      <c r="Y203" s="9" t="s">
        <v>41</v>
      </c>
      <c r="Z203" s="9"/>
      <c r="AA203" s="65"/>
      <c r="AB203" s="9">
        <v>340</v>
      </c>
      <c r="AC203" s="9">
        <v>203</v>
      </c>
      <c r="AD203" s="9"/>
      <c r="AE203" s="9"/>
      <c r="AF203" s="9"/>
      <c r="AG203" s="9"/>
      <c r="AH203" s="9"/>
      <c r="AI203" s="9"/>
      <c r="AJ203" s="9"/>
      <c r="AK203" s="9">
        <v>326</v>
      </c>
      <c r="AL203" s="9"/>
      <c r="AM203" s="9"/>
      <c r="AN203" s="65"/>
      <c r="AO203" s="65"/>
      <c r="AP203" s="9">
        <f t="shared" si="87"/>
        <v>3</v>
      </c>
      <c r="AQ203" s="62">
        <f t="shared" si="88"/>
        <v>289.66666666666669</v>
      </c>
      <c r="AR203" s="11" t="str">
        <f>IF(AQ203&gt;='Aprovados Recursos do Fundo'!$AQ$1,"APROVADO","REPROVADO")</f>
        <v>APROVADO</v>
      </c>
      <c r="AS203" s="65"/>
      <c r="AT203" s="65"/>
      <c r="AU203" s="151"/>
      <c r="AV203" s="65"/>
      <c r="AW203" s="65"/>
      <c r="AX203" s="65"/>
      <c r="AY203" s="65"/>
      <c r="AZ203" s="65"/>
      <c r="BA203" s="65"/>
      <c r="BB203" s="65"/>
      <c r="BC203" s="34"/>
      <c r="BD203" s="65"/>
    </row>
    <row r="204" spans="2:58" s="64" customFormat="1" ht="39.950000000000003" hidden="1" customHeight="1" x14ac:dyDescent="0.25">
      <c r="B204" s="5">
        <v>305</v>
      </c>
      <c r="C204" s="22" t="s">
        <v>1567</v>
      </c>
      <c r="D204" s="99"/>
      <c r="E204" s="5" t="s">
        <v>51</v>
      </c>
      <c r="F204" s="9" t="s">
        <v>1568</v>
      </c>
      <c r="G204" s="9" t="s">
        <v>1569</v>
      </c>
      <c r="H204" s="11" t="s">
        <v>36</v>
      </c>
      <c r="I204" s="41">
        <v>125300</v>
      </c>
      <c r="J204" s="41"/>
      <c r="K204" s="41"/>
      <c r="L204" s="8">
        <v>150360</v>
      </c>
      <c r="M204" s="41"/>
      <c r="N204" s="41"/>
      <c r="O204" s="41"/>
      <c r="P204" s="41"/>
      <c r="Q204" s="41"/>
      <c r="R204" s="41"/>
      <c r="S204" s="9" t="s">
        <v>1570</v>
      </c>
      <c r="T204" s="11" t="s">
        <v>154</v>
      </c>
      <c r="U204" s="9" t="s">
        <v>1571</v>
      </c>
      <c r="V204" s="9"/>
      <c r="W204" s="67" t="s">
        <v>1572</v>
      </c>
      <c r="X204" s="34">
        <v>45321</v>
      </c>
      <c r="Y204" s="9" t="s">
        <v>41</v>
      </c>
      <c r="Z204" s="9"/>
      <c r="AA204" s="65"/>
      <c r="AB204" s="9">
        <v>310</v>
      </c>
      <c r="AC204" s="9">
        <v>200</v>
      </c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>
        <v>324</v>
      </c>
      <c r="AO204" s="9"/>
      <c r="AP204" s="9">
        <f t="shared" si="87"/>
        <v>3</v>
      </c>
      <c r="AQ204" s="62">
        <f t="shared" si="88"/>
        <v>278</v>
      </c>
      <c r="AR204" s="11" t="str">
        <f>IF(AQ204&gt;='Aprovados Recursos do Fundo'!$AQ$1,"APROVADO","REPROVADO")</f>
        <v>APROVADO</v>
      </c>
      <c r="AS204" s="65"/>
      <c r="AT204" s="65"/>
      <c r="AU204" s="151"/>
      <c r="AV204" s="65"/>
      <c r="AW204" s="65"/>
      <c r="AX204" s="65"/>
      <c r="AY204" s="65"/>
      <c r="AZ204" s="65"/>
      <c r="BA204" s="65"/>
      <c r="BB204" s="65"/>
      <c r="BC204" s="34"/>
      <c r="BD204" s="65"/>
    </row>
    <row r="205" spans="2:58" s="64" customFormat="1" ht="39.950000000000003" hidden="1" customHeight="1" x14ac:dyDescent="0.25">
      <c r="B205" s="5">
        <v>306</v>
      </c>
      <c r="C205" s="22" t="s">
        <v>1573</v>
      </c>
      <c r="D205" s="99"/>
      <c r="E205" s="5" t="s">
        <v>51</v>
      </c>
      <c r="F205" s="9" t="s">
        <v>1574</v>
      </c>
      <c r="G205" s="9" t="s">
        <v>1575</v>
      </c>
      <c r="H205" s="11" t="s">
        <v>36</v>
      </c>
      <c r="I205" s="41">
        <v>315584</v>
      </c>
      <c r="J205" s="41"/>
      <c r="K205" s="41"/>
      <c r="L205" s="8">
        <v>378700.79999999999</v>
      </c>
      <c r="M205" s="41"/>
      <c r="N205" s="41"/>
      <c r="O205" s="41"/>
      <c r="P205" s="41"/>
      <c r="Q205" s="41"/>
      <c r="R205" s="41"/>
      <c r="S205" s="9" t="s">
        <v>1576</v>
      </c>
      <c r="T205" s="11" t="s">
        <v>154</v>
      </c>
      <c r="U205" s="9" t="s">
        <v>1577</v>
      </c>
      <c r="V205" s="9"/>
      <c r="W205" s="11" t="s">
        <v>1578</v>
      </c>
      <c r="X205" s="34">
        <v>45321</v>
      </c>
      <c r="Y205" s="9" t="s">
        <v>41</v>
      </c>
      <c r="Z205" s="9"/>
      <c r="AA205" s="65"/>
      <c r="AB205" s="9">
        <v>326</v>
      </c>
      <c r="AC205" s="9">
        <v>207</v>
      </c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>
        <v>340</v>
      </c>
      <c r="AO205" s="65"/>
      <c r="AP205" s="9">
        <f t="shared" si="87"/>
        <v>3</v>
      </c>
      <c r="AQ205" s="62">
        <f t="shared" si="88"/>
        <v>291</v>
      </c>
      <c r="AR205" s="11" t="str">
        <f>IF(AQ205&gt;='Aprovados Recursos do Fundo'!$AQ$1,"APROVADO","REPROVADO")</f>
        <v>APROVADO</v>
      </c>
      <c r="AS205" s="65"/>
      <c r="AT205" s="65"/>
      <c r="AU205" s="151"/>
      <c r="AV205" s="65"/>
      <c r="AW205" s="65"/>
      <c r="AX205" s="65"/>
      <c r="AY205" s="65"/>
      <c r="AZ205" s="65"/>
      <c r="BA205" s="65"/>
      <c r="BB205" s="65"/>
      <c r="BC205" s="34"/>
      <c r="BD205" s="65"/>
    </row>
    <row r="206" spans="2:58" s="64" customFormat="1" ht="39.950000000000003" hidden="1" customHeight="1" x14ac:dyDescent="0.25">
      <c r="B206" s="5">
        <v>307</v>
      </c>
      <c r="C206" s="22" t="s">
        <v>1579</v>
      </c>
      <c r="D206" s="99"/>
      <c r="E206" s="5" t="s">
        <v>51</v>
      </c>
      <c r="F206" s="9" t="s">
        <v>1580</v>
      </c>
      <c r="G206" s="11" t="s">
        <v>1581</v>
      </c>
      <c r="H206" s="11" t="s">
        <v>72</v>
      </c>
      <c r="I206" s="41">
        <v>20000</v>
      </c>
      <c r="J206" s="41"/>
      <c r="K206" s="41"/>
      <c r="L206" s="8">
        <v>24000</v>
      </c>
      <c r="M206" s="41"/>
      <c r="N206" s="41"/>
      <c r="O206" s="41"/>
      <c r="P206" s="41"/>
      <c r="Q206" s="41"/>
      <c r="R206" s="41"/>
      <c r="S206" s="9" t="s">
        <v>1582</v>
      </c>
      <c r="T206" s="11" t="s">
        <v>1414</v>
      </c>
      <c r="U206" s="9" t="s">
        <v>1583</v>
      </c>
      <c r="V206" s="9"/>
      <c r="W206" s="67" t="s">
        <v>1584</v>
      </c>
      <c r="X206" s="34">
        <v>45321</v>
      </c>
      <c r="Y206" s="9" t="s">
        <v>57</v>
      </c>
      <c r="Z206" s="65"/>
      <c r="AA206" s="65"/>
      <c r="AB206" s="9">
        <v>299</v>
      </c>
      <c r="AC206" s="9"/>
      <c r="AD206" s="9"/>
      <c r="AE206" s="9"/>
      <c r="AF206" s="9"/>
      <c r="AG206" s="9">
        <v>294</v>
      </c>
      <c r="AH206" s="9">
        <v>254</v>
      </c>
      <c r="AI206" s="9"/>
      <c r="AJ206" s="9"/>
      <c r="AK206" s="9"/>
      <c r="AL206" s="9"/>
      <c r="AM206" s="9"/>
      <c r="AN206" s="65"/>
      <c r="AO206" s="65"/>
      <c r="AP206" s="9">
        <f t="shared" si="87"/>
        <v>3</v>
      </c>
      <c r="AQ206" s="62">
        <f t="shared" si="88"/>
        <v>282.33333333333331</v>
      </c>
      <c r="AR206" s="11" t="str">
        <f>IF(AQ206&gt;='Aprovados Recursos do Fundo'!$AQ$1,"APROVADO","REPROVADO")</f>
        <v>APROVADO</v>
      </c>
      <c r="AS206" s="65"/>
      <c r="AT206" s="65"/>
      <c r="AU206" s="151"/>
      <c r="AV206" s="65"/>
      <c r="AW206" s="65"/>
      <c r="AX206" s="65"/>
      <c r="AY206" s="65"/>
      <c r="AZ206" s="65"/>
      <c r="BA206" s="65"/>
      <c r="BB206" s="65"/>
      <c r="BC206" s="34"/>
      <c r="BD206" s="65"/>
    </row>
    <row r="207" spans="2:58" s="64" customFormat="1" ht="39.950000000000003" hidden="1" customHeight="1" x14ac:dyDescent="0.25">
      <c r="B207" s="5">
        <v>310</v>
      </c>
      <c r="C207" s="6" t="s">
        <v>1595</v>
      </c>
      <c r="D207" s="101" t="s">
        <v>4141</v>
      </c>
      <c r="E207" s="5" t="s">
        <v>33</v>
      </c>
      <c r="F207" s="5" t="s">
        <v>1596</v>
      </c>
      <c r="G207" s="5" t="s">
        <v>1597</v>
      </c>
      <c r="H207" s="7" t="s">
        <v>107</v>
      </c>
      <c r="I207" s="8">
        <v>265000.03999999998</v>
      </c>
      <c r="J207" s="8"/>
      <c r="K207" s="8"/>
      <c r="L207" s="8">
        <f t="shared" ref="L207:L209" si="89">I207*1.2</f>
        <v>318000.04799999995</v>
      </c>
      <c r="M207" s="8"/>
      <c r="N207" s="8"/>
      <c r="O207" s="15">
        <f t="shared" ref="O207:O209" si="90">M207*0.83333332117758</f>
        <v>0</v>
      </c>
      <c r="P207" s="15">
        <f t="shared" ref="P207:P209" si="91">M207*0.16666667882242</f>
        <v>0</v>
      </c>
      <c r="Q207" s="8"/>
      <c r="R207" s="8"/>
      <c r="S207" s="7" t="s">
        <v>859</v>
      </c>
      <c r="T207" s="7" t="s">
        <v>181</v>
      </c>
      <c r="U207" s="7" t="s">
        <v>1598</v>
      </c>
      <c r="V207" s="7"/>
      <c r="W207" s="9" t="s">
        <v>1599</v>
      </c>
      <c r="X207" s="10">
        <v>45321</v>
      </c>
      <c r="Y207" s="5" t="s">
        <v>67</v>
      </c>
      <c r="Z207" s="7"/>
      <c r="AA207" s="65"/>
      <c r="AB207" s="5">
        <v>285</v>
      </c>
      <c r="AC207" s="9">
        <v>88</v>
      </c>
      <c r="AD207" s="9"/>
      <c r="AE207" s="9"/>
      <c r="AF207" s="9"/>
      <c r="AG207" s="9"/>
      <c r="AH207" s="9">
        <v>308</v>
      </c>
      <c r="AI207" s="9"/>
      <c r="AJ207" s="9"/>
      <c r="AK207" s="9"/>
      <c r="AL207" s="9"/>
      <c r="AM207" s="9"/>
      <c r="AN207" s="9"/>
      <c r="AO207" s="9"/>
      <c r="AP207" s="9">
        <f t="shared" si="87"/>
        <v>3</v>
      </c>
      <c r="AQ207" s="62">
        <f t="shared" si="88"/>
        <v>227</v>
      </c>
      <c r="AR207" s="11" t="str">
        <f>IF(AQ207&gt;='Aprovados Recursos do Fundo'!$AQ$1,"APROVADO","REPROVADO")</f>
        <v>APROVADO</v>
      </c>
      <c r="AS207" s="65"/>
      <c r="AT207" s="65"/>
      <c r="AU207" s="151"/>
      <c r="AV207" s="65"/>
      <c r="AW207" s="65"/>
      <c r="AX207" s="65"/>
      <c r="AY207" s="65"/>
      <c r="AZ207" s="65"/>
      <c r="BA207" s="65"/>
      <c r="BB207" s="65"/>
      <c r="BC207" s="34"/>
      <c r="BD207" s="65"/>
    </row>
    <row r="208" spans="2:58" s="64" customFormat="1" ht="39.950000000000003" hidden="1" customHeight="1" x14ac:dyDescent="0.25">
      <c r="B208" s="5">
        <v>311</v>
      </c>
      <c r="C208" s="6" t="s">
        <v>1600</v>
      </c>
      <c r="D208" s="101" t="s">
        <v>4142</v>
      </c>
      <c r="E208" s="5" t="s">
        <v>33</v>
      </c>
      <c r="F208" s="5" t="s">
        <v>1601</v>
      </c>
      <c r="G208" s="7" t="s">
        <v>1602</v>
      </c>
      <c r="H208" s="7" t="s">
        <v>107</v>
      </c>
      <c r="I208" s="8">
        <v>256600</v>
      </c>
      <c r="J208" s="8"/>
      <c r="K208" s="8"/>
      <c r="L208" s="8">
        <f t="shared" si="89"/>
        <v>307920</v>
      </c>
      <c r="M208" s="8"/>
      <c r="N208" s="8"/>
      <c r="O208" s="15">
        <f t="shared" si="90"/>
        <v>0</v>
      </c>
      <c r="P208" s="15">
        <f t="shared" si="91"/>
        <v>0</v>
      </c>
      <c r="Q208" s="8"/>
      <c r="R208" s="8"/>
      <c r="S208" s="7" t="s">
        <v>859</v>
      </c>
      <c r="T208" s="7" t="s">
        <v>181</v>
      </c>
      <c r="U208" s="7" t="s">
        <v>1603</v>
      </c>
      <c r="V208" s="7"/>
      <c r="W208" s="9" t="s">
        <v>1604</v>
      </c>
      <c r="X208" s="10">
        <v>45321</v>
      </c>
      <c r="Y208" s="7" t="s">
        <v>67</v>
      </c>
      <c r="Z208" s="7"/>
      <c r="AA208" s="65"/>
      <c r="AB208" s="7">
        <v>286</v>
      </c>
      <c r="AC208" s="9"/>
      <c r="AD208" s="9"/>
      <c r="AE208" s="9"/>
      <c r="AF208" s="9"/>
      <c r="AG208" s="9">
        <v>265</v>
      </c>
      <c r="AH208" s="9">
        <v>292</v>
      </c>
      <c r="AI208" s="9"/>
      <c r="AJ208" s="9"/>
      <c r="AK208" s="9"/>
      <c r="AL208" s="9"/>
      <c r="AM208" s="9"/>
      <c r="AN208" s="9"/>
      <c r="AO208" s="9"/>
      <c r="AP208" s="9">
        <f t="shared" si="87"/>
        <v>3</v>
      </c>
      <c r="AQ208" s="62">
        <f t="shared" si="88"/>
        <v>281</v>
      </c>
      <c r="AR208" s="11" t="str">
        <f>IF(AQ208&gt;='Aprovados Recursos do Fundo'!$AQ$1,"APROVADO","REPROVADO")</f>
        <v>APROVADO</v>
      </c>
      <c r="AS208" s="65"/>
      <c r="AT208" s="65"/>
      <c r="AU208" s="151"/>
      <c r="AV208" s="65"/>
      <c r="AW208" s="65"/>
      <c r="AX208" s="65"/>
      <c r="AY208" s="65"/>
      <c r="AZ208" s="65"/>
      <c r="BA208" s="65"/>
      <c r="BB208" s="65"/>
      <c r="BC208" s="34"/>
      <c r="BD208" s="65"/>
    </row>
    <row r="209" spans="2:56" s="64" customFormat="1" ht="39.950000000000003" hidden="1" customHeight="1" x14ac:dyDescent="0.25">
      <c r="B209" s="5">
        <v>312</v>
      </c>
      <c r="C209" s="6" t="s">
        <v>1605</v>
      </c>
      <c r="D209" s="101" t="s">
        <v>4143</v>
      </c>
      <c r="E209" s="5" t="s">
        <v>33</v>
      </c>
      <c r="F209" s="5" t="s">
        <v>1606</v>
      </c>
      <c r="G209" s="5" t="s">
        <v>1607</v>
      </c>
      <c r="H209" s="7" t="s">
        <v>36</v>
      </c>
      <c r="I209" s="8">
        <v>436453.9</v>
      </c>
      <c r="J209" s="8"/>
      <c r="K209" s="8"/>
      <c r="L209" s="8">
        <f t="shared" si="89"/>
        <v>523744.68</v>
      </c>
      <c r="M209" s="8"/>
      <c r="N209" s="8"/>
      <c r="O209" s="15">
        <f t="shared" si="90"/>
        <v>0</v>
      </c>
      <c r="P209" s="15">
        <f t="shared" si="91"/>
        <v>0</v>
      </c>
      <c r="Q209" s="8"/>
      <c r="R209" s="8"/>
      <c r="S209" s="7" t="s">
        <v>859</v>
      </c>
      <c r="T209" s="7" t="s">
        <v>181</v>
      </c>
      <c r="U209" s="7" t="s">
        <v>1608</v>
      </c>
      <c r="V209" s="7"/>
      <c r="W209" s="9" t="s">
        <v>1609</v>
      </c>
      <c r="X209" s="10">
        <v>45321</v>
      </c>
      <c r="Y209" s="5" t="s">
        <v>67</v>
      </c>
      <c r="Z209" s="7"/>
      <c r="AA209" s="65"/>
      <c r="AB209" s="5">
        <v>340</v>
      </c>
      <c r="AC209" s="9">
        <v>183</v>
      </c>
      <c r="AD209" s="9"/>
      <c r="AE209" s="9"/>
      <c r="AF209" s="9"/>
      <c r="AG209" s="9"/>
      <c r="AH209" s="9">
        <v>294</v>
      </c>
      <c r="AI209" s="9"/>
      <c r="AJ209" s="9"/>
      <c r="AK209" s="9"/>
      <c r="AL209" s="9"/>
      <c r="AM209" s="9"/>
      <c r="AN209" s="9"/>
      <c r="AO209" s="9"/>
      <c r="AP209" s="9">
        <f t="shared" si="87"/>
        <v>3</v>
      </c>
      <c r="AQ209" s="62">
        <f t="shared" si="88"/>
        <v>272.33333333333331</v>
      </c>
      <c r="AR209" s="11" t="str">
        <f>IF(AQ209&gt;='Aprovados Recursos do Fundo'!$AQ$1,"APROVADO","REPROVADO")</f>
        <v>APROVADO</v>
      </c>
      <c r="AS209" s="65"/>
      <c r="AT209" s="65"/>
      <c r="AU209" s="151"/>
      <c r="AV209" s="65"/>
      <c r="AW209" s="65"/>
      <c r="AX209" s="65"/>
      <c r="AY209" s="65"/>
      <c r="AZ209" s="65"/>
      <c r="BA209" s="65"/>
      <c r="BB209" s="65"/>
      <c r="BC209" s="34"/>
      <c r="BD209" s="65"/>
    </row>
    <row r="210" spans="2:56" s="64" customFormat="1" ht="39.950000000000003" hidden="1" customHeight="1" x14ac:dyDescent="0.25">
      <c r="B210" s="5">
        <v>315</v>
      </c>
      <c r="C210" s="22" t="s">
        <v>1621</v>
      </c>
      <c r="D210" s="9"/>
      <c r="E210" s="5" t="s">
        <v>51</v>
      </c>
      <c r="F210" s="9" t="s">
        <v>1622</v>
      </c>
      <c r="G210" s="11" t="s">
        <v>1623</v>
      </c>
      <c r="H210" s="11" t="s">
        <v>36</v>
      </c>
      <c r="I210" s="41">
        <v>500000</v>
      </c>
      <c r="J210" s="41"/>
      <c r="K210" s="41"/>
      <c r="L210" s="8">
        <v>600000</v>
      </c>
      <c r="M210" s="41"/>
      <c r="N210" s="41"/>
      <c r="O210" s="41"/>
      <c r="P210" s="41"/>
      <c r="Q210" s="41"/>
      <c r="R210" s="41"/>
      <c r="S210" s="9" t="s">
        <v>1624</v>
      </c>
      <c r="T210" s="11" t="s">
        <v>154</v>
      </c>
      <c r="U210" s="11" t="s">
        <v>1625</v>
      </c>
      <c r="V210" s="11"/>
      <c r="W210" s="11" t="s">
        <v>1626</v>
      </c>
      <c r="X210" s="34">
        <v>45321</v>
      </c>
      <c r="Y210" s="9" t="s">
        <v>57</v>
      </c>
      <c r="Z210" s="9"/>
      <c r="AA210" s="65"/>
      <c r="AB210" s="9">
        <v>254</v>
      </c>
      <c r="AC210" s="9"/>
      <c r="AD210" s="9"/>
      <c r="AE210" s="9"/>
      <c r="AF210" s="9"/>
      <c r="AG210" s="9">
        <v>270</v>
      </c>
      <c r="AH210" s="9">
        <v>252</v>
      </c>
      <c r="AI210" s="9"/>
      <c r="AJ210" s="9"/>
      <c r="AK210" s="9"/>
      <c r="AL210" s="9"/>
      <c r="AM210" s="9"/>
      <c r="AN210" s="65"/>
      <c r="AO210" s="65"/>
      <c r="AP210" s="9">
        <f t="shared" si="87"/>
        <v>3</v>
      </c>
      <c r="AQ210" s="62">
        <f t="shared" si="88"/>
        <v>258.66666666666669</v>
      </c>
      <c r="AR210" s="11" t="str">
        <f>IF(AQ210&gt;='Aprovados Recursos do Fundo'!$AQ$1,"APROVADO","REPROVADO")</f>
        <v>APROVADO</v>
      </c>
      <c r="AS210" s="65"/>
      <c r="AT210" s="65"/>
      <c r="AU210" s="151"/>
      <c r="AV210" s="65"/>
      <c r="AW210" s="65"/>
      <c r="AX210" s="65"/>
      <c r="AY210" s="65"/>
      <c r="AZ210" s="65"/>
      <c r="BA210" s="65"/>
      <c r="BB210" s="65"/>
      <c r="BC210" s="34"/>
      <c r="BD210" s="65"/>
    </row>
    <row r="211" spans="2:56" s="64" customFormat="1" ht="39.950000000000003" hidden="1" customHeight="1" x14ac:dyDescent="0.25">
      <c r="B211" s="5">
        <v>317</v>
      </c>
      <c r="C211" s="22" t="s">
        <v>1632</v>
      </c>
      <c r="D211" s="99"/>
      <c r="E211" s="5" t="s">
        <v>51</v>
      </c>
      <c r="F211" s="9" t="s">
        <v>1628</v>
      </c>
      <c r="G211" s="11" t="s">
        <v>1633</v>
      </c>
      <c r="H211" s="11" t="s">
        <v>36</v>
      </c>
      <c r="I211" s="41">
        <v>432000</v>
      </c>
      <c r="J211" s="41"/>
      <c r="K211" s="41"/>
      <c r="L211" s="8">
        <v>518400</v>
      </c>
      <c r="M211" s="41"/>
      <c r="N211" s="41"/>
      <c r="O211" s="41"/>
      <c r="P211" s="41"/>
      <c r="Q211" s="41"/>
      <c r="R211" s="41"/>
      <c r="S211" s="9" t="s">
        <v>175</v>
      </c>
      <c r="T211" s="11" t="s">
        <v>123</v>
      </c>
      <c r="U211" s="11" t="s">
        <v>1630</v>
      </c>
      <c r="V211" s="11"/>
      <c r="W211" s="21" t="s">
        <v>1631</v>
      </c>
      <c r="X211" s="34">
        <v>45321</v>
      </c>
      <c r="Y211" s="9" t="s">
        <v>57</v>
      </c>
      <c r="Z211" s="65"/>
      <c r="AA211" s="65"/>
      <c r="AB211" s="9">
        <v>323</v>
      </c>
      <c r="AC211" s="9"/>
      <c r="AD211" s="9"/>
      <c r="AE211" s="9"/>
      <c r="AF211" s="9"/>
      <c r="AG211" s="9"/>
      <c r="AH211" s="9"/>
      <c r="AI211" s="9"/>
      <c r="AJ211" s="9">
        <v>292</v>
      </c>
      <c r="AK211" s="9"/>
      <c r="AL211" s="9"/>
      <c r="AM211" s="9">
        <v>232</v>
      </c>
      <c r="AN211" s="65"/>
      <c r="AO211" s="65"/>
      <c r="AP211" s="9">
        <f t="shared" si="87"/>
        <v>3</v>
      </c>
      <c r="AQ211" s="62">
        <f t="shared" si="88"/>
        <v>282.33333333333331</v>
      </c>
      <c r="AR211" s="11" t="str">
        <f>IF(AQ211&gt;='Aprovados Recursos do Fundo'!$AQ$1,"APROVADO","REPROVADO")</f>
        <v>APROVADO</v>
      </c>
      <c r="AS211" s="65"/>
      <c r="AT211" s="65"/>
      <c r="AU211" s="151"/>
      <c r="AV211" s="65"/>
      <c r="AW211" s="65"/>
      <c r="AX211" s="65"/>
      <c r="AY211" s="65"/>
      <c r="AZ211" s="65"/>
      <c r="BA211" s="65"/>
      <c r="BB211" s="65"/>
      <c r="BC211" s="34"/>
      <c r="BD211" s="65"/>
    </row>
    <row r="212" spans="2:56" s="64" customFormat="1" ht="39.950000000000003" hidden="1" customHeight="1" x14ac:dyDescent="0.25">
      <c r="B212" s="5">
        <v>321</v>
      </c>
      <c r="C212" s="27" t="s">
        <v>1650</v>
      </c>
      <c r="D212" s="101" t="s">
        <v>4144</v>
      </c>
      <c r="E212" s="5" t="s">
        <v>33</v>
      </c>
      <c r="F212" s="5" t="s">
        <v>1651</v>
      </c>
      <c r="G212" s="7" t="s">
        <v>1652</v>
      </c>
      <c r="H212" s="7" t="s">
        <v>36</v>
      </c>
      <c r="I212" s="8">
        <v>260167.01</v>
      </c>
      <c r="J212" s="8"/>
      <c r="K212" s="8"/>
      <c r="L212" s="8">
        <f t="shared" ref="L212:L223" si="92">I212*1.2</f>
        <v>312200.41200000001</v>
      </c>
      <c r="M212" s="8"/>
      <c r="N212" s="8"/>
      <c r="O212" s="15">
        <f t="shared" ref="O212:O223" si="93">M212*0.83333332117758</f>
        <v>0</v>
      </c>
      <c r="P212" s="15">
        <f t="shared" ref="P212:P223" si="94">M212*0.16666667882242</f>
        <v>0</v>
      </c>
      <c r="Q212" s="8"/>
      <c r="R212" s="8"/>
      <c r="S212" s="7" t="s">
        <v>240</v>
      </c>
      <c r="T212" s="5" t="s">
        <v>241</v>
      </c>
      <c r="U212" s="7" t="s">
        <v>1653</v>
      </c>
      <c r="V212" s="7"/>
      <c r="W212" s="9" t="s">
        <v>1654</v>
      </c>
      <c r="X212" s="10">
        <v>45321</v>
      </c>
      <c r="Y212" s="7" t="s">
        <v>41</v>
      </c>
      <c r="Z212" s="7"/>
      <c r="AA212" s="65"/>
      <c r="AB212" s="7">
        <v>315</v>
      </c>
      <c r="AC212" s="9">
        <v>180</v>
      </c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>
        <v>328</v>
      </c>
      <c r="AO212" s="9"/>
      <c r="AP212" s="9">
        <f t="shared" si="87"/>
        <v>3</v>
      </c>
      <c r="AQ212" s="62">
        <f t="shared" si="88"/>
        <v>274.33333333333331</v>
      </c>
      <c r="AR212" s="11" t="str">
        <f>IF(AQ212&gt;='Aprovados Recursos do Fundo'!$AQ$1,"APROVADO","REPROVADO")</f>
        <v>APROVADO</v>
      </c>
      <c r="AS212" s="65"/>
      <c r="AT212" s="65"/>
      <c r="AU212" s="151"/>
      <c r="AV212" s="65"/>
      <c r="AW212" s="65"/>
      <c r="AX212" s="65"/>
      <c r="AY212" s="65"/>
      <c r="AZ212" s="65"/>
      <c r="BA212" s="65"/>
      <c r="BB212" s="65"/>
      <c r="BC212" s="34"/>
      <c r="BD212" s="65"/>
    </row>
    <row r="213" spans="2:56" s="64" customFormat="1" ht="39.950000000000003" hidden="1" customHeight="1" x14ac:dyDescent="0.25">
      <c r="B213" s="5">
        <v>322</v>
      </c>
      <c r="C213" s="6" t="s">
        <v>1655</v>
      </c>
      <c r="D213" s="100" t="s">
        <v>4145</v>
      </c>
      <c r="E213" s="5" t="s">
        <v>33</v>
      </c>
      <c r="F213" s="5" t="s">
        <v>1656</v>
      </c>
      <c r="G213" s="5" t="s">
        <v>1657</v>
      </c>
      <c r="H213" s="7" t="s">
        <v>36</v>
      </c>
      <c r="I213" s="8">
        <v>489600</v>
      </c>
      <c r="J213" s="8"/>
      <c r="K213" s="8"/>
      <c r="L213" s="8">
        <f t="shared" si="92"/>
        <v>587520</v>
      </c>
      <c r="M213" s="8"/>
      <c r="N213" s="8"/>
      <c r="O213" s="15">
        <f t="shared" si="93"/>
        <v>0</v>
      </c>
      <c r="P213" s="15">
        <f t="shared" si="94"/>
        <v>0</v>
      </c>
      <c r="Q213" s="8"/>
      <c r="R213" s="8"/>
      <c r="S213" s="7" t="s">
        <v>201</v>
      </c>
      <c r="T213" s="7" t="s">
        <v>202</v>
      </c>
      <c r="U213" s="7" t="s">
        <v>1658</v>
      </c>
      <c r="V213" s="7"/>
      <c r="W213" s="9" t="s">
        <v>1659</v>
      </c>
      <c r="X213" s="10">
        <v>45321</v>
      </c>
      <c r="Y213" s="5" t="s">
        <v>67</v>
      </c>
      <c r="Z213" s="7"/>
      <c r="AA213" s="65"/>
      <c r="AB213" s="5">
        <v>235</v>
      </c>
      <c r="AC213" s="9">
        <v>98</v>
      </c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>
        <v>323</v>
      </c>
      <c r="AO213" s="9"/>
      <c r="AP213" s="9">
        <f t="shared" si="87"/>
        <v>3</v>
      </c>
      <c r="AQ213" s="62">
        <f t="shared" si="88"/>
        <v>218.66666666666666</v>
      </c>
      <c r="AR213" s="11" t="str">
        <f>IF(AQ213&gt;='Aprovados Recursos do Fundo'!$AQ$1,"APROVADO","REPROVADO")</f>
        <v>APROVADO</v>
      </c>
      <c r="AS213" s="65"/>
      <c r="AT213" s="65"/>
      <c r="AU213" s="151"/>
      <c r="AV213" s="65"/>
      <c r="AW213" s="65"/>
      <c r="AX213" s="65"/>
      <c r="AY213" s="65"/>
      <c r="AZ213" s="65"/>
      <c r="BA213" s="65"/>
      <c r="BB213" s="65"/>
      <c r="BC213" s="34"/>
      <c r="BD213" s="65"/>
    </row>
    <row r="214" spans="2:56" s="64" customFormat="1" ht="39.950000000000003" hidden="1" customHeight="1" x14ac:dyDescent="0.25">
      <c r="B214" s="5">
        <v>323</v>
      </c>
      <c r="C214" s="27" t="s">
        <v>1660</v>
      </c>
      <c r="D214" s="100" t="s">
        <v>4146</v>
      </c>
      <c r="E214" s="5" t="s">
        <v>33</v>
      </c>
      <c r="F214" s="5" t="s">
        <v>1661</v>
      </c>
      <c r="G214" s="7" t="s">
        <v>1662</v>
      </c>
      <c r="H214" s="5" t="s">
        <v>62</v>
      </c>
      <c r="I214" s="8">
        <v>204464</v>
      </c>
      <c r="J214" s="8"/>
      <c r="K214" s="8"/>
      <c r="L214" s="8">
        <f t="shared" si="92"/>
        <v>245356.79999999999</v>
      </c>
      <c r="M214" s="8"/>
      <c r="N214" s="8"/>
      <c r="O214" s="15">
        <f t="shared" si="93"/>
        <v>0</v>
      </c>
      <c r="P214" s="15">
        <f t="shared" si="94"/>
        <v>0</v>
      </c>
      <c r="Q214" s="8"/>
      <c r="R214" s="8"/>
      <c r="S214" s="7" t="s">
        <v>1663</v>
      </c>
      <c r="T214" s="7" t="s">
        <v>391</v>
      </c>
      <c r="U214" s="7" t="s">
        <v>1664</v>
      </c>
      <c r="V214" s="7">
        <v>1</v>
      </c>
      <c r="W214" s="9" t="s">
        <v>1665</v>
      </c>
      <c r="X214" s="10">
        <v>45321</v>
      </c>
      <c r="Y214" s="7" t="s">
        <v>41</v>
      </c>
      <c r="Z214" s="7"/>
      <c r="AA214" s="65"/>
      <c r="AB214" s="7">
        <v>336</v>
      </c>
      <c r="AC214" s="9">
        <v>229</v>
      </c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>
        <v>306</v>
      </c>
      <c r="AO214" s="9"/>
      <c r="AP214" s="9">
        <f t="shared" si="87"/>
        <v>3</v>
      </c>
      <c r="AQ214" s="62">
        <f t="shared" si="88"/>
        <v>290.33333333333331</v>
      </c>
      <c r="AR214" s="11" t="str">
        <f>IF(AQ214&gt;='Aprovados Recursos do Fundo'!$AQ$1,"APROVADO","REPROVADO")</f>
        <v>APROVADO</v>
      </c>
      <c r="AS214" s="65"/>
      <c r="AT214" s="65"/>
      <c r="AU214" s="151"/>
      <c r="AV214" s="65"/>
      <c r="AW214" s="65"/>
      <c r="AX214" s="65"/>
      <c r="AY214" s="65"/>
      <c r="AZ214" s="65"/>
      <c r="BA214" s="65"/>
      <c r="BB214" s="65"/>
      <c r="BC214" s="34"/>
      <c r="BD214" s="65"/>
    </row>
    <row r="215" spans="2:56" s="64" customFormat="1" ht="39.950000000000003" hidden="1" customHeight="1" x14ac:dyDescent="0.25">
      <c r="B215" s="5">
        <v>325</v>
      </c>
      <c r="C215" s="27" t="s">
        <v>1671</v>
      </c>
      <c r="D215" s="100" t="s">
        <v>4147</v>
      </c>
      <c r="E215" s="5" t="s">
        <v>33</v>
      </c>
      <c r="F215" s="58" t="s">
        <v>1667</v>
      </c>
      <c r="G215" s="7" t="s">
        <v>1672</v>
      </c>
      <c r="H215" s="7" t="s">
        <v>300</v>
      </c>
      <c r="I215" s="8">
        <v>72000</v>
      </c>
      <c r="J215" s="8"/>
      <c r="K215" s="8"/>
      <c r="L215" s="8">
        <f t="shared" si="92"/>
        <v>86400</v>
      </c>
      <c r="M215" s="8"/>
      <c r="N215" s="8"/>
      <c r="O215" s="15">
        <f t="shared" si="93"/>
        <v>0</v>
      </c>
      <c r="P215" s="15">
        <f t="shared" si="94"/>
        <v>0</v>
      </c>
      <c r="Q215" s="8"/>
      <c r="R215" s="8"/>
      <c r="S215" s="7" t="s">
        <v>538</v>
      </c>
      <c r="T215" s="7" t="s">
        <v>115</v>
      </c>
      <c r="U215" s="7" t="s">
        <v>1669</v>
      </c>
      <c r="V215" s="7">
        <v>1</v>
      </c>
      <c r="W215" s="9" t="s">
        <v>1670</v>
      </c>
      <c r="X215" s="10">
        <v>45321</v>
      </c>
      <c r="Y215" s="7" t="s">
        <v>41</v>
      </c>
      <c r="Z215" s="7"/>
      <c r="AA215" s="65"/>
      <c r="AB215" s="7">
        <v>320</v>
      </c>
      <c r="AC215" s="9">
        <v>243</v>
      </c>
      <c r="AD215" s="9"/>
      <c r="AE215" s="9"/>
      <c r="AF215" s="9"/>
      <c r="AG215" s="9"/>
      <c r="AH215" s="9"/>
      <c r="AI215" s="9"/>
      <c r="AJ215" s="9"/>
      <c r="AK215" s="9">
        <v>254</v>
      </c>
      <c r="AL215" s="9"/>
      <c r="AM215" s="9"/>
      <c r="AN215" s="9"/>
      <c r="AO215" s="9"/>
      <c r="AP215" s="9">
        <f t="shared" si="87"/>
        <v>3</v>
      </c>
      <c r="AQ215" s="62">
        <f t="shared" si="88"/>
        <v>272.33333333333331</v>
      </c>
      <c r="AR215" s="11" t="str">
        <f>IF(AQ215&gt;=$AR$1,"APROVADO","REPROVADO")</f>
        <v>APROVADO</v>
      </c>
      <c r="AS215" s="65"/>
      <c r="AT215" s="65"/>
      <c r="AU215" s="151"/>
      <c r="AV215" s="65"/>
      <c r="AW215" s="65"/>
      <c r="AX215" s="65"/>
      <c r="AY215" s="65"/>
      <c r="AZ215" s="65"/>
      <c r="BA215" s="65"/>
      <c r="BB215" s="65"/>
      <c r="BC215" s="34"/>
      <c r="BD215" s="65"/>
    </row>
    <row r="216" spans="2:56" s="64" customFormat="1" ht="39.950000000000003" hidden="1" customHeight="1" x14ac:dyDescent="0.25">
      <c r="B216" s="5">
        <v>326</v>
      </c>
      <c r="C216" s="27" t="s">
        <v>1673</v>
      </c>
      <c r="D216" s="100" t="s">
        <v>4148</v>
      </c>
      <c r="E216" s="5" t="s">
        <v>33</v>
      </c>
      <c r="F216" s="58" t="s">
        <v>1667</v>
      </c>
      <c r="G216" s="7" t="s">
        <v>1674</v>
      </c>
      <c r="H216" s="5" t="s">
        <v>62</v>
      </c>
      <c r="I216" s="8">
        <v>521505.34</v>
      </c>
      <c r="J216" s="8"/>
      <c r="K216" s="8"/>
      <c r="L216" s="8">
        <f t="shared" si="92"/>
        <v>625806.40800000005</v>
      </c>
      <c r="M216" s="8">
        <f>41673.75+5200+2500+3500</f>
        <v>52873.75</v>
      </c>
      <c r="N216" s="8">
        <f>L216-M216</f>
        <v>572932.65800000005</v>
      </c>
      <c r="O216" s="15">
        <f t="shared" si="93"/>
        <v>44061.457690613068</v>
      </c>
      <c r="P216" s="15">
        <f t="shared" si="94"/>
        <v>8812.2923093869304</v>
      </c>
      <c r="Q216" s="136">
        <f t="shared" ref="Q216" si="95">M216/L216</f>
        <v>8.4488987846861416E-2</v>
      </c>
      <c r="R216" s="136"/>
      <c r="S216" s="7" t="s">
        <v>538</v>
      </c>
      <c r="T216" s="7" t="s">
        <v>115</v>
      </c>
      <c r="U216" s="7" t="s">
        <v>1669</v>
      </c>
      <c r="V216" s="7">
        <v>1</v>
      </c>
      <c r="W216" s="9" t="s">
        <v>1670</v>
      </c>
      <c r="X216" s="10">
        <v>45321</v>
      </c>
      <c r="Y216" s="7" t="s">
        <v>41</v>
      </c>
      <c r="Z216" s="7"/>
      <c r="AA216" s="65"/>
      <c r="AB216" s="7">
        <v>340</v>
      </c>
      <c r="AC216" s="9">
        <v>244</v>
      </c>
      <c r="AD216" s="9"/>
      <c r="AE216" s="9"/>
      <c r="AF216" s="9"/>
      <c r="AG216" s="9"/>
      <c r="AH216" s="9"/>
      <c r="AI216" s="9"/>
      <c r="AJ216" s="9"/>
      <c r="AK216" s="9">
        <v>313</v>
      </c>
      <c r="AL216" s="9"/>
      <c r="AM216" s="9"/>
      <c r="AN216" s="9"/>
      <c r="AO216" s="9"/>
      <c r="AP216" s="9">
        <f t="shared" si="87"/>
        <v>3</v>
      </c>
      <c r="AQ216" s="62">
        <f t="shared" si="88"/>
        <v>299</v>
      </c>
      <c r="AR216" s="11" t="str">
        <f>IF(AQ216&gt;=$AR$1,"APROVADO","REPROVADO")</f>
        <v>APROVADO</v>
      </c>
      <c r="AS216" s="65"/>
      <c r="AT216" s="65"/>
      <c r="AU216" s="151"/>
      <c r="AV216" s="65"/>
      <c r="AW216" s="65"/>
      <c r="AX216" s="65"/>
      <c r="AY216" s="65"/>
      <c r="AZ216" s="65"/>
      <c r="BA216" s="65"/>
      <c r="BB216" s="65"/>
      <c r="BC216" s="34"/>
      <c r="BD216" s="65"/>
    </row>
    <row r="217" spans="2:56" s="64" customFormat="1" ht="39.950000000000003" hidden="1" customHeight="1" x14ac:dyDescent="0.25">
      <c r="B217" s="5">
        <v>327</v>
      </c>
      <c r="C217" s="27" t="s">
        <v>1675</v>
      </c>
      <c r="D217" s="100" t="s">
        <v>4149</v>
      </c>
      <c r="E217" s="5" t="s">
        <v>33</v>
      </c>
      <c r="F217" s="58" t="s">
        <v>1676</v>
      </c>
      <c r="G217" s="7" t="s">
        <v>1677</v>
      </c>
      <c r="H217" s="7" t="s">
        <v>107</v>
      </c>
      <c r="I217" s="8">
        <v>69050</v>
      </c>
      <c r="J217" s="8"/>
      <c r="K217" s="8"/>
      <c r="L217" s="8">
        <f t="shared" si="92"/>
        <v>82860</v>
      </c>
      <c r="M217" s="8"/>
      <c r="N217" s="8"/>
      <c r="O217" s="15">
        <f t="shared" si="93"/>
        <v>0</v>
      </c>
      <c r="P217" s="15">
        <f t="shared" si="94"/>
        <v>0</v>
      </c>
      <c r="Q217" s="8"/>
      <c r="R217" s="8"/>
      <c r="S217" s="7" t="s">
        <v>108</v>
      </c>
      <c r="T217" s="7" t="s">
        <v>95</v>
      </c>
      <c r="U217" s="7" t="s">
        <v>1678</v>
      </c>
      <c r="V217" s="7">
        <v>1</v>
      </c>
      <c r="W217" s="31" t="s">
        <v>1679</v>
      </c>
      <c r="X217" s="10">
        <v>45321</v>
      </c>
      <c r="Y217" s="7" t="s">
        <v>41</v>
      </c>
      <c r="Z217" s="7"/>
      <c r="AA217" s="65"/>
      <c r="AB217" s="7">
        <v>334</v>
      </c>
      <c r="AC217" s="9">
        <v>241</v>
      </c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>
        <v>340</v>
      </c>
      <c r="AO217" s="9"/>
      <c r="AP217" s="9">
        <f t="shared" si="87"/>
        <v>3</v>
      </c>
      <c r="AQ217" s="62">
        <f t="shared" si="88"/>
        <v>305</v>
      </c>
      <c r="AR217" s="11" t="str">
        <f>IF(AQ217&gt;=$AR$1,"APROVADO","REPROVADO")</f>
        <v>APROVADO</v>
      </c>
      <c r="AS217" s="65"/>
      <c r="AT217" s="65"/>
      <c r="AU217" s="151"/>
      <c r="AV217" s="65"/>
      <c r="AW217" s="65"/>
      <c r="AX217" s="65"/>
      <c r="AY217" s="65"/>
      <c r="AZ217" s="65"/>
      <c r="BA217" s="65"/>
      <c r="BB217" s="65"/>
      <c r="BC217" s="34"/>
      <c r="BD217" s="65"/>
    </row>
    <row r="218" spans="2:56" s="64" customFormat="1" ht="39.950000000000003" hidden="1" customHeight="1" x14ac:dyDescent="0.25">
      <c r="B218" s="5">
        <v>329</v>
      </c>
      <c r="C218" s="27" t="s">
        <v>1682</v>
      </c>
      <c r="D218" s="100" t="s">
        <v>4150</v>
      </c>
      <c r="E218" s="5" t="s">
        <v>33</v>
      </c>
      <c r="F218" s="58" t="s">
        <v>1676</v>
      </c>
      <c r="G218" s="7" t="s">
        <v>1683</v>
      </c>
      <c r="H218" s="7" t="s">
        <v>107</v>
      </c>
      <c r="I218" s="8">
        <v>65300</v>
      </c>
      <c r="J218" s="8"/>
      <c r="K218" s="8"/>
      <c r="L218" s="8">
        <f t="shared" si="92"/>
        <v>78360</v>
      </c>
      <c r="M218" s="8"/>
      <c r="N218" s="8"/>
      <c r="O218" s="15">
        <f t="shared" si="93"/>
        <v>0</v>
      </c>
      <c r="P218" s="15">
        <f t="shared" si="94"/>
        <v>0</v>
      </c>
      <c r="Q218" s="8"/>
      <c r="R218" s="8"/>
      <c r="S218" s="7" t="s">
        <v>108</v>
      </c>
      <c r="T218" s="7" t="s">
        <v>95</v>
      </c>
      <c r="U218" s="7" t="s">
        <v>1678</v>
      </c>
      <c r="V218" s="7">
        <v>1</v>
      </c>
      <c r="W218" s="9" t="s">
        <v>1679</v>
      </c>
      <c r="X218" s="10">
        <v>45321</v>
      </c>
      <c r="Y218" s="7" t="s">
        <v>41</v>
      </c>
      <c r="Z218" s="7"/>
      <c r="AA218" s="65"/>
      <c r="AB218" s="7">
        <v>340</v>
      </c>
      <c r="AC218" s="9">
        <v>229</v>
      </c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>
        <v>340</v>
      </c>
      <c r="AO218" s="9"/>
      <c r="AP218" s="9">
        <f t="shared" si="87"/>
        <v>3</v>
      </c>
      <c r="AQ218" s="62">
        <f t="shared" si="88"/>
        <v>303</v>
      </c>
      <c r="AR218" s="11" t="str">
        <f>IF(AQ218&gt;=$AR$1,"APROVADO","REPROVADO")</f>
        <v>APROVADO</v>
      </c>
      <c r="AS218" s="65"/>
      <c r="AT218" s="65"/>
      <c r="AU218" s="151"/>
      <c r="AV218" s="65"/>
      <c r="AW218" s="65"/>
      <c r="AX218" s="65"/>
      <c r="AY218" s="65"/>
      <c r="AZ218" s="65"/>
      <c r="BA218" s="65"/>
      <c r="BB218" s="65"/>
      <c r="BC218" s="34"/>
      <c r="BD218" s="65"/>
    </row>
    <row r="219" spans="2:56" s="64" customFormat="1" ht="39.950000000000003" hidden="1" customHeight="1" x14ac:dyDescent="0.25">
      <c r="B219" s="5">
        <v>332</v>
      </c>
      <c r="C219" s="6" t="s">
        <v>1695</v>
      </c>
      <c r="D219" s="101" t="s">
        <v>4151</v>
      </c>
      <c r="E219" s="5" t="s">
        <v>33</v>
      </c>
      <c r="F219" s="5" t="s">
        <v>1696</v>
      </c>
      <c r="G219" s="7" t="s">
        <v>1697</v>
      </c>
      <c r="H219" s="7" t="s">
        <v>36</v>
      </c>
      <c r="I219" s="8">
        <v>101300</v>
      </c>
      <c r="J219" s="8"/>
      <c r="K219" s="8"/>
      <c r="L219" s="8">
        <f t="shared" si="92"/>
        <v>121560</v>
      </c>
      <c r="M219" s="8"/>
      <c r="N219" s="8"/>
      <c r="O219" s="15">
        <f t="shared" si="93"/>
        <v>0</v>
      </c>
      <c r="P219" s="15">
        <f t="shared" si="94"/>
        <v>0</v>
      </c>
      <c r="Q219" s="8"/>
      <c r="R219" s="8"/>
      <c r="S219" s="7" t="s">
        <v>1698</v>
      </c>
      <c r="T219" s="7" t="s">
        <v>95</v>
      </c>
      <c r="U219" s="7" t="s">
        <v>1699</v>
      </c>
      <c r="V219" s="7"/>
      <c r="W219" s="9" t="s">
        <v>1700</v>
      </c>
      <c r="X219" s="10">
        <v>45321</v>
      </c>
      <c r="Y219" s="7" t="s">
        <v>67</v>
      </c>
      <c r="Z219" s="7"/>
      <c r="AA219" s="65"/>
      <c r="AB219" s="7">
        <v>296</v>
      </c>
      <c r="AC219" s="9"/>
      <c r="AD219" s="9"/>
      <c r="AE219" s="9"/>
      <c r="AF219" s="9"/>
      <c r="AG219" s="9">
        <v>260</v>
      </c>
      <c r="AH219" s="9">
        <v>304</v>
      </c>
      <c r="AI219" s="9"/>
      <c r="AJ219" s="9"/>
      <c r="AK219" s="9"/>
      <c r="AL219" s="9"/>
      <c r="AM219" s="9"/>
      <c r="AN219" s="9"/>
      <c r="AO219" s="9"/>
      <c r="AP219" s="9">
        <f t="shared" si="87"/>
        <v>3</v>
      </c>
      <c r="AQ219" s="62">
        <f t="shared" si="88"/>
        <v>286.66666666666669</v>
      </c>
      <c r="AR219" s="11" t="str">
        <f>IF(AQ219&gt;='Aprovados Recursos do Fundo'!$AQ$1,"APROVADO","REPROVADO")</f>
        <v>APROVADO</v>
      </c>
      <c r="AS219" s="65"/>
      <c r="AT219" s="65"/>
      <c r="AU219" s="151"/>
      <c r="AV219" s="65"/>
      <c r="AW219" s="65"/>
      <c r="AX219" s="65"/>
      <c r="AY219" s="65"/>
      <c r="AZ219" s="65"/>
      <c r="BA219" s="65"/>
      <c r="BB219" s="65"/>
      <c r="BC219" s="34"/>
      <c r="BD219" s="65"/>
    </row>
    <row r="220" spans="2:56" s="64" customFormat="1" ht="39.950000000000003" hidden="1" customHeight="1" x14ac:dyDescent="0.25">
      <c r="B220" s="5">
        <v>338</v>
      </c>
      <c r="C220" s="27" t="s">
        <v>1729</v>
      </c>
      <c r="D220" s="100" t="s">
        <v>4152</v>
      </c>
      <c r="E220" s="5" t="s">
        <v>33</v>
      </c>
      <c r="F220" s="5" t="s">
        <v>1730</v>
      </c>
      <c r="G220" s="7" t="s">
        <v>1731</v>
      </c>
      <c r="H220" s="7" t="s">
        <v>107</v>
      </c>
      <c r="I220" s="8">
        <v>679588.24</v>
      </c>
      <c r="J220" s="8"/>
      <c r="K220" s="8"/>
      <c r="L220" s="8">
        <f t="shared" si="92"/>
        <v>815505.88799999992</v>
      </c>
      <c r="M220" s="8"/>
      <c r="N220" s="8"/>
      <c r="O220" s="15">
        <f t="shared" si="93"/>
        <v>0</v>
      </c>
      <c r="P220" s="15">
        <f t="shared" si="94"/>
        <v>0</v>
      </c>
      <c r="Q220" s="8"/>
      <c r="R220" s="8"/>
      <c r="S220" s="7" t="s">
        <v>1732</v>
      </c>
      <c r="T220" s="7" t="s">
        <v>235</v>
      </c>
      <c r="U220" s="7" t="s">
        <v>1733</v>
      </c>
      <c r="V220" s="7">
        <v>1</v>
      </c>
      <c r="W220" s="31" t="s">
        <v>1734</v>
      </c>
      <c r="X220" s="10">
        <v>45321</v>
      </c>
      <c r="Y220" s="7" t="s">
        <v>41</v>
      </c>
      <c r="Z220" s="7"/>
      <c r="AA220" s="65"/>
      <c r="AB220" s="7">
        <v>240</v>
      </c>
      <c r="AC220" s="9"/>
      <c r="AD220" s="9">
        <v>242</v>
      </c>
      <c r="AE220" s="9"/>
      <c r="AF220" s="9"/>
      <c r="AG220" s="9"/>
      <c r="AH220" s="9"/>
      <c r="AI220" s="9"/>
      <c r="AJ220" s="9"/>
      <c r="AK220" s="9">
        <v>284</v>
      </c>
      <c r="AL220" s="9"/>
      <c r="AM220" s="9"/>
      <c r="AN220" s="9"/>
      <c r="AO220" s="9"/>
      <c r="AP220" s="9">
        <f t="shared" si="87"/>
        <v>3</v>
      </c>
      <c r="AQ220" s="62">
        <f t="shared" si="88"/>
        <v>255.33333333333334</v>
      </c>
      <c r="AR220" s="11" t="str">
        <f>IF(AQ220&gt;='Aprovados Recursos do Fundo'!$AQ$1,"APROVADO","REPROVADO")</f>
        <v>APROVADO</v>
      </c>
      <c r="AS220" s="65"/>
      <c r="AT220" s="65"/>
      <c r="AU220" s="151"/>
      <c r="AV220" s="65"/>
      <c r="AW220" s="65"/>
      <c r="AX220" s="65"/>
      <c r="AY220" s="65"/>
      <c r="AZ220" s="65"/>
      <c r="BA220" s="65"/>
      <c r="BB220" s="65"/>
      <c r="BC220" s="34"/>
      <c r="BD220" s="65"/>
    </row>
    <row r="221" spans="2:56" s="64" customFormat="1" ht="39.950000000000003" hidden="1" customHeight="1" x14ac:dyDescent="0.25">
      <c r="B221" s="5">
        <v>339</v>
      </c>
      <c r="C221" s="6" t="s">
        <v>1735</v>
      </c>
      <c r="D221" s="101" t="s">
        <v>4153</v>
      </c>
      <c r="E221" s="5" t="s">
        <v>33</v>
      </c>
      <c r="F221" s="58" t="s">
        <v>1736</v>
      </c>
      <c r="G221" s="7" t="s">
        <v>1737</v>
      </c>
      <c r="H221" s="5" t="s">
        <v>174</v>
      </c>
      <c r="I221" s="17">
        <v>181500</v>
      </c>
      <c r="J221" s="17"/>
      <c r="K221" s="17"/>
      <c r="L221" s="8">
        <f t="shared" si="92"/>
        <v>217800</v>
      </c>
      <c r="M221" s="17"/>
      <c r="N221" s="17"/>
      <c r="O221" s="15">
        <f t="shared" si="93"/>
        <v>0</v>
      </c>
      <c r="P221" s="15">
        <f t="shared" si="94"/>
        <v>0</v>
      </c>
      <c r="Q221" s="17"/>
      <c r="R221" s="17"/>
      <c r="S221" s="7" t="s">
        <v>1514</v>
      </c>
      <c r="T221" s="5" t="s">
        <v>95</v>
      </c>
      <c r="U221" s="5" t="s">
        <v>1738</v>
      </c>
      <c r="V221" s="5"/>
      <c r="W221" s="9" t="s">
        <v>1739</v>
      </c>
      <c r="X221" s="10">
        <v>45321</v>
      </c>
      <c r="Y221" s="7" t="s">
        <v>67</v>
      </c>
      <c r="Z221" s="7"/>
      <c r="AA221" s="65"/>
      <c r="AB221" s="7">
        <v>254</v>
      </c>
      <c r="AC221" s="9">
        <v>269</v>
      </c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>
        <v>180</v>
      </c>
      <c r="AP221" s="9">
        <f t="shared" si="87"/>
        <v>3</v>
      </c>
      <c r="AQ221" s="62">
        <f t="shared" si="88"/>
        <v>234.33333333333334</v>
      </c>
      <c r="AR221" s="11" t="str">
        <f>IF(AQ221&gt;=$AR$1,"APROVADO","REPROVADO")</f>
        <v>APROVADO</v>
      </c>
      <c r="AS221" s="65"/>
      <c r="AT221" s="65"/>
      <c r="AU221" s="151"/>
      <c r="AV221" s="65"/>
      <c r="AW221" s="65"/>
      <c r="AX221" s="65"/>
      <c r="AY221" s="65"/>
      <c r="AZ221" s="65"/>
      <c r="BA221" s="65"/>
      <c r="BB221" s="65"/>
      <c r="BC221" s="34"/>
      <c r="BD221" s="65"/>
    </row>
    <row r="222" spans="2:56" s="64" customFormat="1" ht="39.950000000000003" hidden="1" customHeight="1" x14ac:dyDescent="0.25">
      <c r="B222" s="5">
        <v>340</v>
      </c>
      <c r="C222" s="6" t="s">
        <v>1740</v>
      </c>
      <c r="D222" s="101" t="s">
        <v>4154</v>
      </c>
      <c r="E222" s="5" t="s">
        <v>33</v>
      </c>
      <c r="F222" s="58" t="s">
        <v>1736</v>
      </c>
      <c r="G222" s="7" t="s">
        <v>1741</v>
      </c>
      <c r="H222" s="5" t="s">
        <v>174</v>
      </c>
      <c r="I222" s="17">
        <v>535078</v>
      </c>
      <c r="J222" s="17"/>
      <c r="K222" s="17"/>
      <c r="L222" s="8">
        <f t="shared" si="92"/>
        <v>642093.6</v>
      </c>
      <c r="M222" s="17"/>
      <c r="N222" s="17"/>
      <c r="O222" s="15">
        <f t="shared" si="93"/>
        <v>0</v>
      </c>
      <c r="P222" s="15">
        <f t="shared" si="94"/>
        <v>0</v>
      </c>
      <c r="Q222" s="17"/>
      <c r="R222" s="17"/>
      <c r="S222" s="7" t="s">
        <v>1514</v>
      </c>
      <c r="T222" s="5" t="s">
        <v>95</v>
      </c>
      <c r="U222" s="5" t="s">
        <v>1738</v>
      </c>
      <c r="V222" s="5"/>
      <c r="W222" s="9" t="s">
        <v>1739</v>
      </c>
      <c r="X222" s="10">
        <v>45321</v>
      </c>
      <c r="Y222" s="7" t="s">
        <v>67</v>
      </c>
      <c r="Z222" s="7"/>
      <c r="AA222" s="65"/>
      <c r="AB222" s="7">
        <v>255</v>
      </c>
      <c r="AC222" s="9">
        <v>241</v>
      </c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>
        <v>217</v>
      </c>
      <c r="AP222" s="9">
        <f t="shared" si="87"/>
        <v>3</v>
      </c>
      <c r="AQ222" s="62">
        <f t="shared" si="88"/>
        <v>237.66666666666666</v>
      </c>
      <c r="AR222" s="11" t="str">
        <f>IF(AQ222&gt;=$AR$1,"APROVADO","REPROVADO")</f>
        <v>APROVADO</v>
      </c>
      <c r="AS222" s="65"/>
      <c r="AT222" s="65"/>
      <c r="AU222" s="151"/>
      <c r="AV222" s="65"/>
      <c r="AW222" s="65"/>
      <c r="AX222" s="65"/>
      <c r="AY222" s="65"/>
      <c r="AZ222" s="65"/>
      <c r="BA222" s="65"/>
      <c r="BB222" s="65"/>
      <c r="BC222" s="34"/>
      <c r="BD222" s="65"/>
    </row>
    <row r="223" spans="2:56" s="64" customFormat="1" ht="39.950000000000003" hidden="1" customHeight="1" x14ac:dyDescent="0.25">
      <c r="B223" s="5">
        <v>341</v>
      </c>
      <c r="C223" s="6" t="s">
        <v>1742</v>
      </c>
      <c r="D223" s="101" t="s">
        <v>4155</v>
      </c>
      <c r="E223" s="5" t="s">
        <v>33</v>
      </c>
      <c r="F223" s="7" t="s">
        <v>1736</v>
      </c>
      <c r="G223" s="7" t="s">
        <v>1743</v>
      </c>
      <c r="H223" s="5" t="s">
        <v>174</v>
      </c>
      <c r="I223" s="17">
        <v>65000</v>
      </c>
      <c r="J223" s="17"/>
      <c r="K223" s="17"/>
      <c r="L223" s="8">
        <f t="shared" si="92"/>
        <v>78000</v>
      </c>
      <c r="M223" s="17"/>
      <c r="N223" s="17"/>
      <c r="O223" s="15">
        <f t="shared" si="93"/>
        <v>0</v>
      </c>
      <c r="P223" s="15">
        <f t="shared" si="94"/>
        <v>0</v>
      </c>
      <c r="Q223" s="17"/>
      <c r="R223" s="17"/>
      <c r="S223" s="7" t="s">
        <v>1514</v>
      </c>
      <c r="T223" s="5" t="s">
        <v>95</v>
      </c>
      <c r="U223" s="5" t="s">
        <v>1738</v>
      </c>
      <c r="V223" s="5"/>
      <c r="W223" s="31" t="s">
        <v>1739</v>
      </c>
      <c r="X223" s="10">
        <v>45321</v>
      </c>
      <c r="Y223" s="7" t="s">
        <v>67</v>
      </c>
      <c r="Z223" s="7"/>
      <c r="AA223" s="65"/>
      <c r="AB223" s="7">
        <v>289</v>
      </c>
      <c r="AC223" s="9">
        <v>256</v>
      </c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>
        <v>268</v>
      </c>
      <c r="AP223" s="9">
        <f t="shared" si="87"/>
        <v>3</v>
      </c>
      <c r="AQ223" s="62">
        <f t="shared" si="88"/>
        <v>271</v>
      </c>
      <c r="AR223" s="11" t="str">
        <f>IF(AQ223&gt;='Aprovados Recursos do Fundo'!$AQ$1,"APROVADO","REPROVADO")</f>
        <v>APROVADO</v>
      </c>
      <c r="AS223" s="65"/>
      <c r="AT223" s="65"/>
      <c r="AU223" s="151"/>
      <c r="AV223" s="65"/>
      <c r="AW223" s="65"/>
      <c r="AX223" s="65"/>
      <c r="AY223" s="65"/>
      <c r="AZ223" s="65"/>
      <c r="BA223" s="65"/>
      <c r="BB223" s="65"/>
      <c r="BC223" s="34"/>
      <c r="BD223" s="65"/>
    </row>
    <row r="224" spans="2:56" s="64" customFormat="1" ht="39.950000000000003" hidden="1" customHeight="1" x14ac:dyDescent="0.25">
      <c r="B224" s="5">
        <v>342</v>
      </c>
      <c r="C224" s="22" t="s">
        <v>1744</v>
      </c>
      <c r="D224" s="9"/>
      <c r="E224" s="5" t="s">
        <v>51</v>
      </c>
      <c r="F224" s="9" t="s">
        <v>1745</v>
      </c>
      <c r="G224" s="9" t="s">
        <v>526</v>
      </c>
      <c r="H224" s="11" t="s">
        <v>107</v>
      </c>
      <c r="I224" s="41">
        <v>94100</v>
      </c>
      <c r="J224" s="41"/>
      <c r="K224" s="41"/>
      <c r="L224" s="8">
        <v>112920</v>
      </c>
      <c r="M224" s="41"/>
      <c r="N224" s="41"/>
      <c r="O224" s="41"/>
      <c r="P224" s="41"/>
      <c r="Q224" s="41"/>
      <c r="R224" s="41"/>
      <c r="S224" s="9" t="s">
        <v>1746</v>
      </c>
      <c r="T224" s="11" t="s">
        <v>123</v>
      </c>
      <c r="U224" s="9" t="s">
        <v>1747</v>
      </c>
      <c r="V224" s="9"/>
      <c r="W224" s="68" t="s">
        <v>1748</v>
      </c>
      <c r="X224" s="34">
        <v>45321</v>
      </c>
      <c r="Y224" s="9" t="s">
        <v>57</v>
      </c>
      <c r="Z224" s="65"/>
      <c r="AA224" s="65"/>
      <c r="AB224" s="9">
        <v>255</v>
      </c>
      <c r="AC224" s="9"/>
      <c r="AD224" s="9"/>
      <c r="AE224" s="9"/>
      <c r="AF224" s="9"/>
      <c r="AG224" s="9">
        <v>260</v>
      </c>
      <c r="AH224" s="9">
        <v>210</v>
      </c>
      <c r="AI224" s="9"/>
      <c r="AJ224" s="9"/>
      <c r="AK224" s="9"/>
      <c r="AL224" s="9"/>
      <c r="AM224" s="9"/>
      <c r="AN224" s="65"/>
      <c r="AO224" s="65"/>
      <c r="AP224" s="9">
        <f t="shared" si="87"/>
        <v>3</v>
      </c>
      <c r="AQ224" s="62">
        <f t="shared" si="88"/>
        <v>241.66666666666666</v>
      </c>
      <c r="AR224" s="11" t="str">
        <f>IF(AQ224&gt;='Aprovados Recursos do Fundo'!$AQ$1,"APROVADO","REPROVADO")</f>
        <v>APROVADO</v>
      </c>
      <c r="AS224" s="65"/>
      <c r="AT224" s="65"/>
      <c r="AU224" s="151"/>
      <c r="AV224" s="65"/>
      <c r="AW224" s="65"/>
      <c r="AX224" s="65"/>
      <c r="AY224" s="65"/>
      <c r="AZ224" s="65"/>
      <c r="BA224" s="65"/>
      <c r="BB224" s="65"/>
      <c r="BC224" s="34"/>
      <c r="BD224" s="65"/>
    </row>
    <row r="225" spans="2:56" s="64" customFormat="1" ht="39.950000000000003" hidden="1" customHeight="1" x14ac:dyDescent="0.25">
      <c r="B225" s="5">
        <v>343</v>
      </c>
      <c r="C225" s="27" t="s">
        <v>1749</v>
      </c>
      <c r="D225" s="101" t="s">
        <v>4156</v>
      </c>
      <c r="E225" s="5" t="s">
        <v>33</v>
      </c>
      <c r="F225" s="7" t="s">
        <v>1750</v>
      </c>
      <c r="G225" s="7" t="s">
        <v>1751</v>
      </c>
      <c r="H225" s="7" t="s">
        <v>174</v>
      </c>
      <c r="I225" s="8">
        <v>87370</v>
      </c>
      <c r="J225" s="8"/>
      <c r="K225" s="8"/>
      <c r="L225" s="8">
        <f t="shared" ref="L225:L232" si="96">I225*1.2</f>
        <v>104844</v>
      </c>
      <c r="M225" s="8"/>
      <c r="N225" s="8"/>
      <c r="O225" s="15">
        <f t="shared" ref="O225:O232" si="97">M225*0.83333332117758</f>
        <v>0</v>
      </c>
      <c r="P225" s="15">
        <f t="shared" ref="P225:P232" si="98">M225*0.16666667882242</f>
        <v>0</v>
      </c>
      <c r="Q225" s="8"/>
      <c r="R225" s="8"/>
      <c r="S225" s="7" t="s">
        <v>1752</v>
      </c>
      <c r="T225" s="7" t="s">
        <v>154</v>
      </c>
      <c r="U225" s="7" t="s">
        <v>1753</v>
      </c>
      <c r="V225" s="7"/>
      <c r="W225" s="9" t="s">
        <v>1754</v>
      </c>
      <c r="X225" s="10">
        <v>45321</v>
      </c>
      <c r="Y225" s="7" t="s">
        <v>41</v>
      </c>
      <c r="Z225" s="7"/>
      <c r="AA225" s="65"/>
      <c r="AB225" s="7">
        <v>334</v>
      </c>
      <c r="AC225" s="9">
        <v>195</v>
      </c>
      <c r="AD225" s="9"/>
      <c r="AE225" s="9"/>
      <c r="AF225" s="9"/>
      <c r="AG225" s="9"/>
      <c r="AH225" s="9"/>
      <c r="AI225" s="9"/>
      <c r="AJ225" s="9"/>
      <c r="AK225" s="9"/>
      <c r="AL225" s="9"/>
      <c r="AM225" s="9">
        <v>335</v>
      </c>
      <c r="AN225" s="9"/>
      <c r="AO225" s="9"/>
      <c r="AP225" s="9">
        <f t="shared" si="87"/>
        <v>3</v>
      </c>
      <c r="AQ225" s="62">
        <f t="shared" si="88"/>
        <v>288</v>
      </c>
      <c r="AR225" s="11" t="str">
        <f>IF(AQ225&gt;='Aprovados Recursos do Fundo'!$AQ$1,"APROVADO","REPROVADO")</f>
        <v>APROVADO</v>
      </c>
      <c r="AS225" s="65"/>
      <c r="AT225" s="65"/>
      <c r="AU225" s="151"/>
      <c r="AV225" s="65"/>
      <c r="AW225" s="65"/>
      <c r="AX225" s="65"/>
      <c r="AY225" s="65"/>
      <c r="AZ225" s="65"/>
      <c r="BA225" s="65"/>
      <c r="BB225" s="65"/>
      <c r="BC225" s="34"/>
      <c r="BD225" s="65"/>
    </row>
    <row r="226" spans="2:56" s="64" customFormat="1" ht="39.950000000000003" hidden="1" customHeight="1" x14ac:dyDescent="0.25">
      <c r="B226" s="5">
        <v>344</v>
      </c>
      <c r="C226" s="6" t="s">
        <v>1755</v>
      </c>
      <c r="D226" s="101" t="s">
        <v>4157</v>
      </c>
      <c r="E226" s="5" t="s">
        <v>33</v>
      </c>
      <c r="F226" s="58" t="s">
        <v>1750</v>
      </c>
      <c r="G226" s="5" t="s">
        <v>1756</v>
      </c>
      <c r="H226" s="7" t="s">
        <v>107</v>
      </c>
      <c r="I226" s="8">
        <v>367000</v>
      </c>
      <c r="J226" s="8"/>
      <c r="K226" s="8"/>
      <c r="L226" s="8">
        <f t="shared" si="96"/>
        <v>440400</v>
      </c>
      <c r="M226" s="8"/>
      <c r="N226" s="8"/>
      <c r="O226" s="15">
        <f t="shared" si="97"/>
        <v>0</v>
      </c>
      <c r="P226" s="15">
        <f t="shared" si="98"/>
        <v>0</v>
      </c>
      <c r="Q226" s="8"/>
      <c r="R226" s="8"/>
      <c r="S226" s="7" t="s">
        <v>1752</v>
      </c>
      <c r="T226" s="7" t="s">
        <v>154</v>
      </c>
      <c r="U226" s="7" t="s">
        <v>1753</v>
      </c>
      <c r="V226" s="7"/>
      <c r="W226" s="9" t="s">
        <v>1754</v>
      </c>
      <c r="X226" s="10">
        <v>45321</v>
      </c>
      <c r="Y226" s="5" t="s">
        <v>67</v>
      </c>
      <c r="Z226" s="7"/>
      <c r="AA226" s="65"/>
      <c r="AB226" s="5">
        <v>315</v>
      </c>
      <c r="AC226" s="9">
        <v>180</v>
      </c>
      <c r="AD226" s="9"/>
      <c r="AE226" s="9"/>
      <c r="AF226" s="9"/>
      <c r="AG226" s="9">
        <v>325</v>
      </c>
      <c r="AH226" s="9"/>
      <c r="AI226" s="9"/>
      <c r="AJ226" s="9"/>
      <c r="AK226" s="9"/>
      <c r="AL226" s="9"/>
      <c r="AM226" s="9"/>
      <c r="AN226" s="9"/>
      <c r="AO226" s="9"/>
      <c r="AP226" s="9">
        <f t="shared" si="87"/>
        <v>3</v>
      </c>
      <c r="AQ226" s="62">
        <f t="shared" si="88"/>
        <v>273.33333333333331</v>
      </c>
      <c r="AR226" s="11" t="str">
        <f>IF(AQ226&gt;=$AR$1,"APROVADO","REPROVADO")</f>
        <v>APROVADO</v>
      </c>
      <c r="AS226" s="65"/>
      <c r="AT226" s="65"/>
      <c r="AU226" s="151"/>
      <c r="AV226" s="65"/>
      <c r="AW226" s="65"/>
      <c r="AX226" s="65"/>
      <c r="AY226" s="65"/>
      <c r="AZ226" s="65"/>
      <c r="BA226" s="65"/>
      <c r="BB226" s="65"/>
      <c r="BC226" s="34"/>
      <c r="BD226" s="65"/>
    </row>
    <row r="227" spans="2:56" s="64" customFormat="1" ht="39.950000000000003" hidden="1" customHeight="1" x14ac:dyDescent="0.25">
      <c r="B227" s="5">
        <v>346</v>
      </c>
      <c r="C227" s="6" t="s">
        <v>1762</v>
      </c>
      <c r="D227" s="101" t="s">
        <v>4158</v>
      </c>
      <c r="E227" s="5" t="s">
        <v>33</v>
      </c>
      <c r="F227" s="5" t="s">
        <v>1763</v>
      </c>
      <c r="G227" s="5" t="s">
        <v>1764</v>
      </c>
      <c r="H227" s="7" t="s">
        <v>45</v>
      </c>
      <c r="I227" s="8">
        <v>1215394.8999999999</v>
      </c>
      <c r="J227" s="8"/>
      <c r="K227" s="8"/>
      <c r="L227" s="8">
        <f t="shared" si="96"/>
        <v>1458473.88</v>
      </c>
      <c r="M227" s="8"/>
      <c r="N227" s="8"/>
      <c r="O227" s="15">
        <f t="shared" si="97"/>
        <v>0</v>
      </c>
      <c r="P227" s="15">
        <f t="shared" si="98"/>
        <v>0</v>
      </c>
      <c r="Q227" s="8"/>
      <c r="R227" s="8"/>
      <c r="S227" s="7" t="s">
        <v>1752</v>
      </c>
      <c r="T227" s="7" t="s">
        <v>154</v>
      </c>
      <c r="U227" s="7" t="s">
        <v>1765</v>
      </c>
      <c r="V227" s="7"/>
      <c r="W227" s="9" t="s">
        <v>1766</v>
      </c>
      <c r="X227" s="10">
        <v>45321</v>
      </c>
      <c r="Y227" s="5" t="s">
        <v>67</v>
      </c>
      <c r="Z227" s="7" t="s">
        <v>1767</v>
      </c>
      <c r="AA227" s="65"/>
      <c r="AB227" s="5">
        <v>255</v>
      </c>
      <c r="AC227" s="9">
        <v>121</v>
      </c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>
        <v>271</v>
      </c>
      <c r="AO227" s="9"/>
      <c r="AP227" s="9">
        <f t="shared" si="87"/>
        <v>3</v>
      </c>
      <c r="AQ227" s="62">
        <f t="shared" si="88"/>
        <v>215.66666666666666</v>
      </c>
      <c r="AR227" s="11" t="str">
        <f>IF(AQ227&gt;='Aprovados Recursos do Fundo'!$AQ$1,"APROVADO","REPROVADO")</f>
        <v>APROVADO</v>
      </c>
      <c r="AS227" s="65"/>
      <c r="AT227" s="65"/>
      <c r="AU227" s="151"/>
      <c r="AV227" s="65"/>
      <c r="AW227" s="65"/>
      <c r="AX227" s="65"/>
      <c r="AY227" s="65"/>
      <c r="AZ227" s="65"/>
      <c r="BA227" s="65"/>
      <c r="BB227" s="65"/>
      <c r="BC227" s="34"/>
      <c r="BD227" s="65"/>
    </row>
    <row r="228" spans="2:56" s="64" customFormat="1" ht="39.950000000000003" hidden="1" customHeight="1" x14ac:dyDescent="0.25">
      <c r="B228" s="5">
        <v>347</v>
      </c>
      <c r="C228" s="27" t="s">
        <v>1768</v>
      </c>
      <c r="D228" s="100" t="s">
        <v>4159</v>
      </c>
      <c r="E228" s="5" t="s">
        <v>33</v>
      </c>
      <c r="F228" s="58" t="s">
        <v>199</v>
      </c>
      <c r="G228" s="5" t="s">
        <v>1769</v>
      </c>
      <c r="H228" s="5" t="s">
        <v>36</v>
      </c>
      <c r="I228" s="15">
        <v>258324</v>
      </c>
      <c r="J228" s="15"/>
      <c r="K228" s="15"/>
      <c r="L228" s="8">
        <f t="shared" si="96"/>
        <v>309988.8</v>
      </c>
      <c r="M228" s="15"/>
      <c r="N228" s="15"/>
      <c r="O228" s="15">
        <f t="shared" si="97"/>
        <v>0</v>
      </c>
      <c r="P228" s="15">
        <f t="shared" si="98"/>
        <v>0</v>
      </c>
      <c r="Q228" s="15"/>
      <c r="R228" s="15"/>
      <c r="S228" s="5" t="s">
        <v>201</v>
      </c>
      <c r="T228" s="5" t="s">
        <v>202</v>
      </c>
      <c r="U228" s="5" t="s">
        <v>203</v>
      </c>
      <c r="V228" s="7">
        <v>1</v>
      </c>
      <c r="W228" s="9" t="s">
        <v>204</v>
      </c>
      <c r="X228" s="10">
        <v>45302</v>
      </c>
      <c r="Y228" s="7" t="s">
        <v>41</v>
      </c>
      <c r="Z228" s="7"/>
      <c r="AA228" s="65"/>
      <c r="AB228" s="7">
        <v>334</v>
      </c>
      <c r="AC228" s="9">
        <v>294</v>
      </c>
      <c r="AD228" s="9"/>
      <c r="AE228" s="9"/>
      <c r="AF228" s="9"/>
      <c r="AG228" s="9"/>
      <c r="AH228" s="9"/>
      <c r="AI228" s="9"/>
      <c r="AJ228" s="9"/>
      <c r="AK228" s="9">
        <v>244</v>
      </c>
      <c r="AL228" s="9"/>
      <c r="AM228" s="9"/>
      <c r="AN228" s="9"/>
      <c r="AO228" s="9"/>
      <c r="AP228" s="9">
        <f t="shared" si="87"/>
        <v>3</v>
      </c>
      <c r="AQ228" s="62">
        <f t="shared" si="88"/>
        <v>290.66666666666669</v>
      </c>
      <c r="AR228" s="11" t="str">
        <f>IF(AQ228&gt;=$AR$1,"APROVADO","REPROVADO")</f>
        <v>APROVADO</v>
      </c>
      <c r="AS228" s="65"/>
      <c r="AT228" s="65"/>
      <c r="AU228" s="151"/>
      <c r="AV228" s="65"/>
      <c r="AW228" s="65"/>
      <c r="AX228" s="65"/>
      <c r="AY228" s="65"/>
      <c r="AZ228" s="65"/>
      <c r="BA228" s="65"/>
      <c r="BB228" s="65"/>
      <c r="BC228" s="34"/>
      <c r="BD228" s="65"/>
    </row>
    <row r="229" spans="2:56" s="64" customFormat="1" ht="39.950000000000003" hidden="1" customHeight="1" x14ac:dyDescent="0.25">
      <c r="B229" s="5">
        <v>348</v>
      </c>
      <c r="C229" s="27" t="s">
        <v>1770</v>
      </c>
      <c r="D229" s="101" t="s">
        <v>4160</v>
      </c>
      <c r="E229" s="5" t="s">
        <v>33</v>
      </c>
      <c r="F229" s="58" t="s">
        <v>120</v>
      </c>
      <c r="G229" s="5" t="s">
        <v>128</v>
      </c>
      <c r="H229" s="5" t="s">
        <v>36</v>
      </c>
      <c r="I229" s="15">
        <v>239095.32</v>
      </c>
      <c r="J229" s="15"/>
      <c r="K229" s="15"/>
      <c r="L229" s="8">
        <f t="shared" si="96"/>
        <v>286914.38400000002</v>
      </c>
      <c r="M229" s="15"/>
      <c r="N229" s="15"/>
      <c r="O229" s="15">
        <f t="shared" si="97"/>
        <v>0</v>
      </c>
      <c r="P229" s="15">
        <f t="shared" si="98"/>
        <v>0</v>
      </c>
      <c r="Q229" s="15"/>
      <c r="R229" s="15"/>
      <c r="S229" s="5" t="s">
        <v>122</v>
      </c>
      <c r="T229" s="5" t="s">
        <v>123</v>
      </c>
      <c r="U229" s="5" t="s">
        <v>124</v>
      </c>
      <c r="V229" s="5"/>
      <c r="W229" s="9" t="s">
        <v>125</v>
      </c>
      <c r="X229" s="10">
        <v>45299</v>
      </c>
      <c r="Y229" s="7" t="s">
        <v>41</v>
      </c>
      <c r="Z229" s="7" t="s">
        <v>1771</v>
      </c>
      <c r="AA229" s="65"/>
      <c r="AB229" s="7">
        <v>296</v>
      </c>
      <c r="AC229" s="9">
        <v>222</v>
      </c>
      <c r="AD229" s="9"/>
      <c r="AE229" s="9"/>
      <c r="AF229" s="9"/>
      <c r="AG229" s="9"/>
      <c r="AH229" s="9"/>
      <c r="AI229" s="9"/>
      <c r="AJ229" s="9"/>
      <c r="AK229" s="9"/>
      <c r="AL229" s="9"/>
      <c r="AM229" s="9">
        <v>235</v>
      </c>
      <c r="AN229" s="9"/>
      <c r="AO229" s="9"/>
      <c r="AP229" s="9">
        <f t="shared" si="87"/>
        <v>3</v>
      </c>
      <c r="AQ229" s="62">
        <f t="shared" si="88"/>
        <v>251</v>
      </c>
      <c r="AR229" s="11" t="str">
        <f>IF(AQ229&gt;=$AR$1,"APROVADO","REPROVADO")</f>
        <v>APROVADO</v>
      </c>
      <c r="AS229" s="65"/>
      <c r="AT229" s="65"/>
      <c r="AU229" s="151"/>
      <c r="AV229" s="65"/>
      <c r="AW229" s="65"/>
      <c r="AX229" s="65"/>
      <c r="AY229" s="65"/>
      <c r="AZ229" s="65"/>
      <c r="BA229" s="65"/>
      <c r="BB229" s="65"/>
      <c r="BC229" s="34"/>
      <c r="BD229" s="65"/>
    </row>
    <row r="230" spans="2:56" s="64" customFormat="1" ht="39.950000000000003" hidden="1" customHeight="1" x14ac:dyDescent="0.25">
      <c r="B230" s="5">
        <v>350</v>
      </c>
      <c r="C230" s="27" t="s">
        <v>1777</v>
      </c>
      <c r="D230" s="100" t="s">
        <v>4161</v>
      </c>
      <c r="E230" s="5" t="s">
        <v>33</v>
      </c>
      <c r="F230" s="5" t="s">
        <v>1778</v>
      </c>
      <c r="G230" s="7" t="s">
        <v>1779</v>
      </c>
      <c r="H230" s="7" t="s">
        <v>36</v>
      </c>
      <c r="I230" s="8">
        <v>550000</v>
      </c>
      <c r="J230" s="8"/>
      <c r="K230" s="8"/>
      <c r="L230" s="8">
        <f t="shared" si="96"/>
        <v>660000</v>
      </c>
      <c r="M230" s="8">
        <f>500</f>
        <v>500</v>
      </c>
      <c r="N230" s="8">
        <f>L230-M230</f>
        <v>659500</v>
      </c>
      <c r="O230" s="15">
        <f t="shared" si="97"/>
        <v>416.66666058878997</v>
      </c>
      <c r="P230" s="15">
        <f t="shared" si="98"/>
        <v>83.333339411210005</v>
      </c>
      <c r="Q230" s="136">
        <f>M230/L230</f>
        <v>7.5757575757575758E-4</v>
      </c>
      <c r="R230" s="136"/>
      <c r="S230" s="7" t="s">
        <v>1780</v>
      </c>
      <c r="T230" s="7" t="s">
        <v>154</v>
      </c>
      <c r="U230" s="7" t="s">
        <v>1781</v>
      </c>
      <c r="V230" s="7">
        <v>1</v>
      </c>
      <c r="W230" s="9" t="s">
        <v>1782</v>
      </c>
      <c r="X230" s="10">
        <v>45321</v>
      </c>
      <c r="Y230" s="7" t="s">
        <v>41</v>
      </c>
      <c r="Z230" s="7"/>
      <c r="AA230" s="65"/>
      <c r="AB230" s="7">
        <v>274</v>
      </c>
      <c r="AC230" s="9">
        <v>239</v>
      </c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>
        <v>276</v>
      </c>
      <c r="AO230" s="9"/>
      <c r="AP230" s="9">
        <f t="shared" si="87"/>
        <v>3</v>
      </c>
      <c r="AQ230" s="62">
        <f t="shared" si="88"/>
        <v>263</v>
      </c>
      <c r="AR230" s="11" t="str">
        <f>IF(AQ230&gt;='Aprovados Recursos do Fundo'!$AQ$1,"APROVADO","REPROVADO")</f>
        <v>APROVADO</v>
      </c>
      <c r="AS230" s="65"/>
      <c r="AT230" s="65"/>
      <c r="AU230" s="151"/>
      <c r="AV230" s="65"/>
      <c r="AW230" s="65"/>
      <c r="AX230" s="65"/>
      <c r="AY230" s="65"/>
      <c r="AZ230" s="65"/>
      <c r="BA230" s="65"/>
      <c r="BB230" s="65"/>
      <c r="BC230" s="34"/>
      <c r="BD230" s="65"/>
    </row>
    <row r="231" spans="2:56" s="64" customFormat="1" ht="39.950000000000003" hidden="1" customHeight="1" x14ac:dyDescent="0.25">
      <c r="B231" s="5">
        <v>351</v>
      </c>
      <c r="C231" s="6" t="s">
        <v>1783</v>
      </c>
      <c r="D231" s="101" t="s">
        <v>4162</v>
      </c>
      <c r="E231" s="5" t="s">
        <v>33</v>
      </c>
      <c r="F231" s="58" t="s">
        <v>1773</v>
      </c>
      <c r="G231" s="7" t="s">
        <v>1784</v>
      </c>
      <c r="H231" s="7" t="s">
        <v>36</v>
      </c>
      <c r="I231" s="8">
        <v>329780</v>
      </c>
      <c r="J231" s="8"/>
      <c r="K231" s="8"/>
      <c r="L231" s="8">
        <f t="shared" si="96"/>
        <v>395736</v>
      </c>
      <c r="M231" s="8"/>
      <c r="N231" s="8"/>
      <c r="O231" s="15">
        <f t="shared" si="97"/>
        <v>0</v>
      </c>
      <c r="P231" s="15">
        <f t="shared" si="98"/>
        <v>0</v>
      </c>
      <c r="Q231" s="8"/>
      <c r="R231" s="8"/>
      <c r="S231" s="7" t="s">
        <v>73</v>
      </c>
      <c r="T231" s="5" t="s">
        <v>74</v>
      </c>
      <c r="U231" s="7" t="s">
        <v>1775</v>
      </c>
      <c r="V231" s="7"/>
      <c r="W231" s="9" t="s">
        <v>1776</v>
      </c>
      <c r="X231" s="10">
        <v>45321</v>
      </c>
      <c r="Y231" s="7" t="s">
        <v>67</v>
      </c>
      <c r="Z231" s="7"/>
      <c r="AA231" s="65"/>
      <c r="AB231" s="7">
        <v>294</v>
      </c>
      <c r="AC231" s="9"/>
      <c r="AD231" s="9"/>
      <c r="AE231" s="9"/>
      <c r="AF231" s="9"/>
      <c r="AG231" s="9"/>
      <c r="AH231" s="9">
        <v>300</v>
      </c>
      <c r="AI231" s="9"/>
      <c r="AJ231" s="9"/>
      <c r="AK231" s="9"/>
      <c r="AL231" s="9"/>
      <c r="AM231" s="9"/>
      <c r="AN231" s="9">
        <v>289</v>
      </c>
      <c r="AO231" s="9"/>
      <c r="AP231" s="9">
        <f t="shared" si="87"/>
        <v>3</v>
      </c>
      <c r="AQ231" s="62">
        <f t="shared" si="88"/>
        <v>294.33333333333331</v>
      </c>
      <c r="AR231" s="11" t="str">
        <f>IF(AQ231&gt;=$AR$1,"APROVADO","REPROVADO")</f>
        <v>APROVADO</v>
      </c>
      <c r="AS231" s="65"/>
      <c r="AT231" s="65"/>
      <c r="AU231" s="151"/>
      <c r="AV231" s="65"/>
      <c r="AW231" s="65"/>
      <c r="AX231" s="65"/>
      <c r="AY231" s="65"/>
      <c r="AZ231" s="65"/>
      <c r="BA231" s="65"/>
      <c r="BB231" s="65"/>
      <c r="BC231" s="34"/>
      <c r="BD231" s="65"/>
    </row>
    <row r="232" spans="2:56" s="64" customFormat="1" ht="39.950000000000003" hidden="1" customHeight="1" x14ac:dyDescent="0.25">
      <c r="B232" s="5">
        <v>353</v>
      </c>
      <c r="C232" s="27" t="s">
        <v>1790</v>
      </c>
      <c r="D232" s="101" t="s">
        <v>4163</v>
      </c>
      <c r="E232" s="5" t="s">
        <v>33</v>
      </c>
      <c r="F232" s="58" t="s">
        <v>1786</v>
      </c>
      <c r="G232" s="7" t="s">
        <v>1791</v>
      </c>
      <c r="H232" s="5" t="s">
        <v>62</v>
      </c>
      <c r="I232" s="8">
        <v>779206</v>
      </c>
      <c r="J232" s="8"/>
      <c r="K232" s="8"/>
      <c r="L232" s="8">
        <f t="shared" si="96"/>
        <v>935047.2</v>
      </c>
      <c r="M232" s="8"/>
      <c r="N232" s="8"/>
      <c r="O232" s="15">
        <f t="shared" si="97"/>
        <v>0</v>
      </c>
      <c r="P232" s="15">
        <f t="shared" si="98"/>
        <v>0</v>
      </c>
      <c r="Q232" s="8"/>
      <c r="R232" s="8"/>
      <c r="S232" s="7" t="s">
        <v>73</v>
      </c>
      <c r="T232" s="7" t="s">
        <v>74</v>
      </c>
      <c r="U232" s="7" t="s">
        <v>1788</v>
      </c>
      <c r="V232" s="7"/>
      <c r="W232" s="9" t="s">
        <v>1789</v>
      </c>
      <c r="X232" s="10">
        <v>45321</v>
      </c>
      <c r="Y232" s="7" t="s">
        <v>41</v>
      </c>
      <c r="Z232" s="7"/>
      <c r="AA232" s="65"/>
      <c r="AB232" s="7">
        <v>340</v>
      </c>
      <c r="AC232" s="9">
        <v>216</v>
      </c>
      <c r="AD232" s="9"/>
      <c r="AE232" s="9"/>
      <c r="AF232" s="9"/>
      <c r="AG232" s="9"/>
      <c r="AH232" s="9"/>
      <c r="AI232" s="9"/>
      <c r="AJ232" s="9"/>
      <c r="AK232" s="9"/>
      <c r="AL232" s="9"/>
      <c r="AM232" s="9">
        <v>294</v>
      </c>
      <c r="AN232" s="9"/>
      <c r="AO232" s="9"/>
      <c r="AP232" s="9">
        <f t="shared" si="87"/>
        <v>3</v>
      </c>
      <c r="AQ232" s="62">
        <f t="shared" si="88"/>
        <v>283.33333333333331</v>
      </c>
      <c r="AR232" s="11" t="str">
        <f>IF(AQ232&gt;=$AR$1,"APROVADO","REPROVADO")</f>
        <v>APROVADO</v>
      </c>
      <c r="AS232" s="65"/>
      <c r="AT232" s="65"/>
      <c r="AU232" s="151"/>
      <c r="AV232" s="65"/>
      <c r="AW232" s="65"/>
      <c r="AX232" s="65"/>
      <c r="AY232" s="65"/>
      <c r="AZ232" s="65"/>
      <c r="BA232" s="65"/>
      <c r="BB232" s="65"/>
      <c r="BC232" s="34"/>
      <c r="BD232" s="65"/>
    </row>
    <row r="233" spans="2:56" s="64" customFormat="1" ht="39.950000000000003" hidden="1" customHeight="1" x14ac:dyDescent="0.25">
      <c r="B233" s="5">
        <v>354</v>
      </c>
      <c r="C233" s="22" t="s">
        <v>1792</v>
      </c>
      <c r="D233" s="9"/>
      <c r="E233" s="5" t="s">
        <v>51</v>
      </c>
      <c r="F233" s="9" t="s">
        <v>1793</v>
      </c>
      <c r="G233" s="11" t="s">
        <v>1794</v>
      </c>
      <c r="H233" s="11" t="s">
        <v>36</v>
      </c>
      <c r="I233" s="41">
        <v>2321073.5299999998</v>
      </c>
      <c r="J233" s="41"/>
      <c r="K233" s="41"/>
      <c r="L233" s="8">
        <v>2785288.2359999996</v>
      </c>
      <c r="M233" s="41"/>
      <c r="N233" s="41"/>
      <c r="O233" s="41"/>
      <c r="P233" s="41"/>
      <c r="Q233" s="41"/>
      <c r="R233" s="41"/>
      <c r="S233" s="9" t="s">
        <v>1795</v>
      </c>
      <c r="T233" s="11" t="s">
        <v>254</v>
      </c>
      <c r="U233" s="9" t="s">
        <v>1796</v>
      </c>
      <c r="V233" s="9"/>
      <c r="W233" s="67" t="s">
        <v>1797</v>
      </c>
      <c r="X233" s="34">
        <v>45321</v>
      </c>
      <c r="Y233" s="9" t="s">
        <v>57</v>
      </c>
      <c r="Z233" s="9"/>
      <c r="AA233" s="65"/>
      <c r="AB233" s="9">
        <v>192</v>
      </c>
      <c r="AC233" s="9"/>
      <c r="AD233" s="9"/>
      <c r="AE233" s="9"/>
      <c r="AF233" s="9"/>
      <c r="AG233" s="9">
        <v>217</v>
      </c>
      <c r="AH233" s="9">
        <v>222</v>
      </c>
      <c r="AI233" s="9"/>
      <c r="AJ233" s="9"/>
      <c r="AK233" s="9"/>
      <c r="AL233" s="9"/>
      <c r="AM233" s="9"/>
      <c r="AN233" s="65"/>
      <c r="AO233" s="65"/>
      <c r="AP233" s="9">
        <f t="shared" si="87"/>
        <v>3</v>
      </c>
      <c r="AQ233" s="62">
        <f t="shared" si="88"/>
        <v>210.33333333333334</v>
      </c>
      <c r="AR233" s="11" t="str">
        <f>IF(AQ233&gt;='Aprovados Recursos do Fundo'!$AQ$1,"APROVADO","REPROVADO")</f>
        <v>APROVADO</v>
      </c>
      <c r="AS233" s="65"/>
      <c r="AT233" s="65"/>
      <c r="AU233" s="151"/>
      <c r="AV233" s="65"/>
      <c r="AW233" s="65"/>
      <c r="AX233" s="65"/>
      <c r="AY233" s="65"/>
      <c r="AZ233" s="65"/>
      <c r="BA233" s="65"/>
      <c r="BB233" s="65"/>
      <c r="BC233" s="34"/>
      <c r="BD233" s="65"/>
    </row>
    <row r="234" spans="2:56" s="64" customFormat="1" ht="39.950000000000003" hidden="1" customHeight="1" x14ac:dyDescent="0.25">
      <c r="B234" s="5">
        <v>359</v>
      </c>
      <c r="C234" s="22" t="s">
        <v>1818</v>
      </c>
      <c r="D234" s="9"/>
      <c r="E234" s="5" t="s">
        <v>51</v>
      </c>
      <c r="F234" s="9" t="s">
        <v>1809</v>
      </c>
      <c r="G234" s="9" t="s">
        <v>1819</v>
      </c>
      <c r="H234" s="11" t="s">
        <v>107</v>
      </c>
      <c r="I234" s="41">
        <v>251480.5</v>
      </c>
      <c r="J234" s="41"/>
      <c r="K234" s="41"/>
      <c r="L234" s="8">
        <v>301776.59999999998</v>
      </c>
      <c r="M234" s="41"/>
      <c r="N234" s="41"/>
      <c r="O234" s="41"/>
      <c r="P234" s="41"/>
      <c r="Q234" s="41"/>
      <c r="R234" s="41"/>
      <c r="S234" s="9" t="s">
        <v>1214</v>
      </c>
      <c r="T234" s="11" t="s">
        <v>181</v>
      </c>
      <c r="U234" s="9" t="s">
        <v>1811</v>
      </c>
      <c r="V234" s="9"/>
      <c r="W234" s="21" t="s">
        <v>1812</v>
      </c>
      <c r="X234" s="34">
        <v>45321</v>
      </c>
      <c r="Y234" s="9" t="s">
        <v>57</v>
      </c>
      <c r="Z234" s="65"/>
      <c r="AA234" s="65"/>
      <c r="AB234" s="9">
        <v>257</v>
      </c>
      <c r="AC234" s="9"/>
      <c r="AD234" s="9"/>
      <c r="AE234" s="9"/>
      <c r="AF234" s="9"/>
      <c r="AG234" s="9">
        <v>262</v>
      </c>
      <c r="AH234" s="9">
        <v>301</v>
      </c>
      <c r="AI234" s="9"/>
      <c r="AJ234" s="9"/>
      <c r="AK234" s="9"/>
      <c r="AL234" s="9"/>
      <c r="AM234" s="9"/>
      <c r="AN234" s="65"/>
      <c r="AO234" s="65"/>
      <c r="AP234" s="9">
        <f t="shared" si="87"/>
        <v>3</v>
      </c>
      <c r="AQ234" s="62">
        <f t="shared" si="88"/>
        <v>273.33333333333331</v>
      </c>
      <c r="AR234" s="11" t="str">
        <f>IF(AQ234&gt;='Aprovados Recursos do Fundo'!$AQ$1,"APROVADO","REPROVADO")</f>
        <v>APROVADO</v>
      </c>
      <c r="AS234" s="65"/>
      <c r="AT234" s="65"/>
      <c r="AU234" s="151"/>
      <c r="AV234" s="65"/>
      <c r="AW234" s="65"/>
      <c r="AX234" s="65"/>
      <c r="AY234" s="65"/>
      <c r="AZ234" s="65"/>
      <c r="BA234" s="65"/>
      <c r="BB234" s="65"/>
      <c r="BC234" s="34"/>
      <c r="BD234" s="65"/>
    </row>
    <row r="235" spans="2:56" s="64" customFormat="1" ht="39.950000000000003" hidden="1" customHeight="1" x14ac:dyDescent="0.25">
      <c r="B235" s="5">
        <v>360</v>
      </c>
      <c r="C235" s="6" t="s">
        <v>1820</v>
      </c>
      <c r="D235" s="101" t="s">
        <v>4164</v>
      </c>
      <c r="E235" s="5" t="s">
        <v>33</v>
      </c>
      <c r="F235" s="5" t="s">
        <v>1821</v>
      </c>
      <c r="G235" s="5" t="s">
        <v>1822</v>
      </c>
      <c r="H235" s="5" t="s">
        <v>62</v>
      </c>
      <c r="I235" s="17">
        <v>277666.61</v>
      </c>
      <c r="J235" s="17"/>
      <c r="K235" s="17"/>
      <c r="L235" s="8">
        <f>I235*1.2</f>
        <v>333199.93199999997</v>
      </c>
      <c r="M235" s="17"/>
      <c r="N235" s="17"/>
      <c r="O235" s="15">
        <f>M235*0.83333332117758</f>
        <v>0</v>
      </c>
      <c r="P235" s="15">
        <f>M235*0.16666667882242</f>
        <v>0</v>
      </c>
      <c r="Q235" s="17"/>
      <c r="R235" s="17"/>
      <c r="S235" s="7" t="s">
        <v>73</v>
      </c>
      <c r="T235" s="5" t="s">
        <v>74</v>
      </c>
      <c r="U235" s="5" t="s">
        <v>1823</v>
      </c>
      <c r="V235" s="5"/>
      <c r="W235" s="9" t="s">
        <v>1824</v>
      </c>
      <c r="X235" s="10">
        <v>45321</v>
      </c>
      <c r="Y235" s="5" t="s">
        <v>67</v>
      </c>
      <c r="Z235" s="7" t="s">
        <v>1825</v>
      </c>
      <c r="AA235" s="65"/>
      <c r="AB235" s="5">
        <v>302</v>
      </c>
      <c r="AC235" s="9">
        <v>112</v>
      </c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>
        <v>296</v>
      </c>
      <c r="AO235" s="9"/>
      <c r="AP235" s="9">
        <f t="shared" si="87"/>
        <v>3</v>
      </c>
      <c r="AQ235" s="62">
        <f t="shared" si="88"/>
        <v>236.66666666666666</v>
      </c>
      <c r="AR235" s="11" t="str">
        <f>IF(AQ235&gt;='Aprovados Recursos do Fundo'!$AQ$1,"APROVADO","REPROVADO")</f>
        <v>APROVADO</v>
      </c>
      <c r="AS235" s="65"/>
      <c r="AT235" s="65"/>
      <c r="AU235" s="151"/>
      <c r="AV235" s="65"/>
      <c r="AW235" s="65"/>
      <c r="AX235" s="65"/>
      <c r="AY235" s="65"/>
      <c r="AZ235" s="65"/>
      <c r="BA235" s="65"/>
      <c r="BB235" s="65"/>
      <c r="BC235" s="34"/>
      <c r="BD235" s="65"/>
    </row>
    <row r="236" spans="2:56" s="64" customFormat="1" ht="39.950000000000003" hidden="1" customHeight="1" x14ac:dyDescent="0.25">
      <c r="B236" s="5">
        <v>362</v>
      </c>
      <c r="C236" s="22" t="s">
        <v>1832</v>
      </c>
      <c r="D236" s="99"/>
      <c r="E236" s="5" t="s">
        <v>51</v>
      </c>
      <c r="F236" s="59" t="s">
        <v>1827</v>
      </c>
      <c r="G236" s="9" t="s">
        <v>1833</v>
      </c>
      <c r="H236" s="11" t="s">
        <v>36</v>
      </c>
      <c r="I236" s="41">
        <v>267800</v>
      </c>
      <c r="J236" s="41"/>
      <c r="K236" s="41"/>
      <c r="L236" s="8">
        <v>321360</v>
      </c>
      <c r="M236" s="41"/>
      <c r="N236" s="41"/>
      <c r="O236" s="41"/>
      <c r="P236" s="41"/>
      <c r="Q236" s="41"/>
      <c r="R236" s="41"/>
      <c r="S236" s="9" t="s">
        <v>1829</v>
      </c>
      <c r="T236" s="11" t="s">
        <v>181</v>
      </c>
      <c r="U236" s="9" t="s">
        <v>1830</v>
      </c>
      <c r="V236" s="9"/>
      <c r="W236" s="66" t="s">
        <v>1831</v>
      </c>
      <c r="X236" s="34">
        <v>45321</v>
      </c>
      <c r="Y236" s="9" t="s">
        <v>57</v>
      </c>
      <c r="Z236" s="65"/>
      <c r="AA236" s="65"/>
      <c r="AB236" s="9">
        <v>271</v>
      </c>
      <c r="AC236" s="9"/>
      <c r="AD236" s="9"/>
      <c r="AE236" s="9"/>
      <c r="AF236" s="9"/>
      <c r="AG236" s="9"/>
      <c r="AH236" s="9"/>
      <c r="AI236" s="9">
        <v>300</v>
      </c>
      <c r="AJ236" s="9">
        <v>298</v>
      </c>
      <c r="AK236" s="9"/>
      <c r="AL236" s="9"/>
      <c r="AM236" s="9"/>
      <c r="AN236" s="65"/>
      <c r="AO236" s="65"/>
      <c r="AP236" s="9">
        <f t="shared" si="87"/>
        <v>3</v>
      </c>
      <c r="AQ236" s="62">
        <f t="shared" si="88"/>
        <v>289.66666666666669</v>
      </c>
      <c r="AR236" s="11" t="str">
        <f>IF(AQ236&gt;=$AR$1,"APROVADO","REPROVADO")</f>
        <v>APROVADO</v>
      </c>
      <c r="AS236" s="65"/>
      <c r="AT236" s="65"/>
      <c r="AU236" s="151"/>
      <c r="AV236" s="65"/>
      <c r="AW236" s="65"/>
      <c r="AX236" s="65"/>
      <c r="AY236" s="65"/>
      <c r="AZ236" s="65"/>
      <c r="BA236" s="65"/>
      <c r="BB236" s="65"/>
      <c r="BC236" s="34"/>
      <c r="BD236" s="65"/>
    </row>
    <row r="237" spans="2:56" s="64" customFormat="1" ht="39.950000000000003" hidden="1" customHeight="1" x14ac:dyDescent="0.25">
      <c r="B237" s="5">
        <v>367</v>
      </c>
      <c r="C237" s="22" t="s">
        <v>1851</v>
      </c>
      <c r="D237" s="9"/>
      <c r="E237" s="5" t="s">
        <v>51</v>
      </c>
      <c r="F237" s="9" t="s">
        <v>1852</v>
      </c>
      <c r="G237" s="11" t="s">
        <v>1853</v>
      </c>
      <c r="H237" s="11" t="s">
        <v>36</v>
      </c>
      <c r="I237" s="41">
        <v>150000</v>
      </c>
      <c r="J237" s="41"/>
      <c r="K237" s="41"/>
      <c r="L237" s="8">
        <v>180000</v>
      </c>
      <c r="M237" s="41"/>
      <c r="N237" s="41"/>
      <c r="O237" s="41"/>
      <c r="P237" s="41"/>
      <c r="Q237" s="41"/>
      <c r="R237" s="41"/>
      <c r="S237" s="9" t="s">
        <v>1854</v>
      </c>
      <c r="T237" s="11" t="s">
        <v>241</v>
      </c>
      <c r="U237" s="11" t="s">
        <v>1855</v>
      </c>
      <c r="V237" s="11"/>
      <c r="W237" s="21" t="s">
        <v>1856</v>
      </c>
      <c r="X237" s="34">
        <v>45321</v>
      </c>
      <c r="Y237" s="9" t="s">
        <v>41</v>
      </c>
      <c r="Z237" s="9"/>
      <c r="AA237" s="65"/>
      <c r="AB237" s="9">
        <v>330</v>
      </c>
      <c r="AC237" s="9">
        <v>209</v>
      </c>
      <c r="AD237" s="9"/>
      <c r="AE237" s="9">
        <v>229</v>
      </c>
      <c r="AF237" s="9"/>
      <c r="AG237" s="9"/>
      <c r="AH237" s="9"/>
      <c r="AI237" s="9"/>
      <c r="AJ237" s="9"/>
      <c r="AK237" s="9"/>
      <c r="AL237" s="9"/>
      <c r="AM237" s="9"/>
      <c r="AN237" s="65"/>
      <c r="AO237" s="65"/>
      <c r="AP237" s="9">
        <f t="shared" si="87"/>
        <v>3</v>
      </c>
      <c r="AQ237" s="62">
        <f t="shared" si="88"/>
        <v>256</v>
      </c>
      <c r="AR237" s="11" t="str">
        <f>IF(AQ237&gt;='Aprovados Recursos do Fundo'!$AQ$1,"APROVADO","REPROVADO")</f>
        <v>APROVADO</v>
      </c>
      <c r="AS237" s="65"/>
      <c r="AT237" s="65"/>
      <c r="AU237" s="151"/>
      <c r="AV237" s="65"/>
      <c r="AW237" s="65"/>
      <c r="AX237" s="65"/>
      <c r="AY237" s="65"/>
      <c r="AZ237" s="65"/>
      <c r="BA237" s="65"/>
      <c r="BB237" s="65"/>
      <c r="BC237" s="34"/>
      <c r="BD237" s="65"/>
    </row>
    <row r="238" spans="2:56" s="64" customFormat="1" ht="39.950000000000003" hidden="1" customHeight="1" x14ac:dyDescent="0.25">
      <c r="B238" s="5">
        <v>368</v>
      </c>
      <c r="C238" s="27" t="s">
        <v>1857</v>
      </c>
      <c r="D238" s="101" t="s">
        <v>4165</v>
      </c>
      <c r="E238" s="5" t="s">
        <v>33</v>
      </c>
      <c r="F238" s="5" t="s">
        <v>1858</v>
      </c>
      <c r="G238" s="7" t="s">
        <v>1859</v>
      </c>
      <c r="H238" s="7" t="s">
        <v>36</v>
      </c>
      <c r="I238" s="8">
        <v>47071.72</v>
      </c>
      <c r="J238" s="8"/>
      <c r="K238" s="8"/>
      <c r="L238" s="8">
        <f>I238*1.2</f>
        <v>56486.063999999998</v>
      </c>
      <c r="M238" s="8"/>
      <c r="N238" s="8"/>
      <c r="O238" s="15">
        <f>M238*0.83333332117758</f>
        <v>0</v>
      </c>
      <c r="P238" s="15">
        <f>M238*0.16666667882242</f>
        <v>0</v>
      </c>
      <c r="Q238" s="8"/>
      <c r="R238" s="8"/>
      <c r="S238" s="7" t="s">
        <v>538</v>
      </c>
      <c r="T238" s="7" t="s">
        <v>115</v>
      </c>
      <c r="U238" s="7" t="s">
        <v>1860</v>
      </c>
      <c r="V238" s="7"/>
      <c r="W238" s="9" t="s">
        <v>1861</v>
      </c>
      <c r="X238" s="10">
        <v>45321</v>
      </c>
      <c r="Y238" s="7" t="s">
        <v>41</v>
      </c>
      <c r="Z238" s="7"/>
      <c r="AA238" s="65"/>
      <c r="AB238" s="7">
        <v>340</v>
      </c>
      <c r="AC238" s="9">
        <v>211</v>
      </c>
      <c r="AD238" s="9"/>
      <c r="AE238" s="9">
        <v>232</v>
      </c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>
        <f t="shared" si="87"/>
        <v>3</v>
      </c>
      <c r="AQ238" s="62">
        <f t="shared" si="88"/>
        <v>261</v>
      </c>
      <c r="AR238" s="11" t="str">
        <f>IF(AQ238&gt;='Aprovados Recursos do Fundo'!$AQ$1,"APROVADO","REPROVADO")</f>
        <v>APROVADO</v>
      </c>
      <c r="AS238" s="65"/>
      <c r="AT238" s="65"/>
      <c r="AU238" s="151"/>
      <c r="AV238" s="65"/>
      <c r="AW238" s="65"/>
      <c r="AX238" s="65"/>
      <c r="AY238" s="65"/>
      <c r="AZ238" s="65"/>
      <c r="BA238" s="65"/>
      <c r="BB238" s="65"/>
      <c r="BC238" s="34"/>
      <c r="BD238" s="65"/>
    </row>
    <row r="239" spans="2:56" s="64" customFormat="1" ht="39.950000000000003" hidden="1" customHeight="1" x14ac:dyDescent="0.25">
      <c r="B239" s="5">
        <v>370</v>
      </c>
      <c r="C239" s="22" t="s">
        <v>1864</v>
      </c>
      <c r="D239" s="9"/>
      <c r="E239" s="5" t="s">
        <v>51</v>
      </c>
      <c r="F239" s="9" t="s">
        <v>1865</v>
      </c>
      <c r="G239" s="9" t="s">
        <v>1866</v>
      </c>
      <c r="H239" s="11" t="s">
        <v>107</v>
      </c>
      <c r="I239" s="41">
        <v>364200</v>
      </c>
      <c r="J239" s="41"/>
      <c r="K239" s="41"/>
      <c r="L239" s="8">
        <v>437040</v>
      </c>
      <c r="M239" s="41"/>
      <c r="N239" s="41"/>
      <c r="O239" s="41"/>
      <c r="P239" s="41"/>
      <c r="Q239" s="41"/>
      <c r="R239" s="41"/>
      <c r="S239" s="9" t="s">
        <v>1867</v>
      </c>
      <c r="T239" s="11" t="s">
        <v>223</v>
      </c>
      <c r="U239" s="11" t="s">
        <v>1868</v>
      </c>
      <c r="V239" s="11"/>
      <c r="W239" s="21" t="s">
        <v>1869</v>
      </c>
      <c r="X239" s="34">
        <v>45321</v>
      </c>
      <c r="Y239" s="9" t="s">
        <v>41</v>
      </c>
      <c r="Z239" s="9"/>
      <c r="AA239" s="65"/>
      <c r="AB239" s="9">
        <v>337</v>
      </c>
      <c r="AC239" s="9">
        <v>150</v>
      </c>
      <c r="AD239" s="9"/>
      <c r="AE239" s="9">
        <v>215</v>
      </c>
      <c r="AF239" s="9"/>
      <c r="AG239" s="9"/>
      <c r="AH239" s="9"/>
      <c r="AI239" s="9"/>
      <c r="AJ239" s="9"/>
      <c r="AK239" s="9"/>
      <c r="AL239" s="9"/>
      <c r="AM239" s="9"/>
      <c r="AN239" s="65"/>
      <c r="AO239" s="65"/>
      <c r="AP239" s="9">
        <f t="shared" si="87"/>
        <v>3</v>
      </c>
      <c r="AQ239" s="62">
        <f t="shared" si="88"/>
        <v>234</v>
      </c>
      <c r="AR239" s="11" t="str">
        <f>IF(AQ239&gt;='Aprovados Recursos do Fundo'!$AQ$1,"APROVADO","REPROVADO")</f>
        <v>APROVADO</v>
      </c>
      <c r="AS239" s="65"/>
      <c r="AT239" s="65"/>
      <c r="AU239" s="151"/>
      <c r="AV239" s="65"/>
      <c r="AW239" s="65"/>
      <c r="AX239" s="65"/>
      <c r="AY239" s="65"/>
      <c r="AZ239" s="65"/>
      <c r="BA239" s="65"/>
      <c r="BB239" s="65"/>
      <c r="BC239" s="34"/>
      <c r="BD239" s="65"/>
    </row>
    <row r="240" spans="2:56" s="64" customFormat="1" ht="39.950000000000003" hidden="1" customHeight="1" x14ac:dyDescent="0.25">
      <c r="B240" s="5">
        <v>371</v>
      </c>
      <c r="C240" s="6" t="s">
        <v>1870</v>
      </c>
      <c r="D240" s="101" t="s">
        <v>4166</v>
      </c>
      <c r="E240" s="5" t="s">
        <v>33</v>
      </c>
      <c r="F240" s="5" t="s">
        <v>1871</v>
      </c>
      <c r="G240" s="5" t="s">
        <v>1872</v>
      </c>
      <c r="H240" s="7" t="s">
        <v>36</v>
      </c>
      <c r="I240" s="17">
        <v>749942.88</v>
      </c>
      <c r="J240" s="17"/>
      <c r="K240" s="17"/>
      <c r="L240" s="8">
        <f t="shared" ref="L240:L243" si="99">I240*1.2</f>
        <v>899931.45600000001</v>
      </c>
      <c r="M240" s="17"/>
      <c r="N240" s="17"/>
      <c r="O240" s="15">
        <f t="shared" ref="O240:O243" si="100">M240*0.83333332117758</f>
        <v>0</v>
      </c>
      <c r="P240" s="15">
        <f t="shared" ref="P240:P243" si="101">M240*0.16666667882242</f>
        <v>0</v>
      </c>
      <c r="Q240" s="17"/>
      <c r="R240" s="17"/>
      <c r="S240" s="7" t="s">
        <v>73</v>
      </c>
      <c r="T240" s="5" t="s">
        <v>74</v>
      </c>
      <c r="U240" s="5" t="s">
        <v>1873</v>
      </c>
      <c r="V240" s="5"/>
      <c r="W240" s="9" t="s">
        <v>1874</v>
      </c>
      <c r="X240" s="10">
        <v>45321</v>
      </c>
      <c r="Y240" s="5" t="s">
        <v>67</v>
      </c>
      <c r="Z240" s="7" t="s">
        <v>90</v>
      </c>
      <c r="AA240" s="65"/>
      <c r="AB240" s="5">
        <v>277</v>
      </c>
      <c r="AC240" s="9">
        <v>142</v>
      </c>
      <c r="AD240" s="9"/>
      <c r="AE240" s="9"/>
      <c r="AF240" s="9"/>
      <c r="AG240" s="9">
        <v>264</v>
      </c>
      <c r="AH240" s="9"/>
      <c r="AI240" s="9"/>
      <c r="AJ240" s="9"/>
      <c r="AK240" s="9"/>
      <c r="AL240" s="9"/>
      <c r="AM240" s="9"/>
      <c r="AN240" s="9"/>
      <c r="AO240" s="9"/>
      <c r="AP240" s="9">
        <f t="shared" si="87"/>
        <v>3</v>
      </c>
      <c r="AQ240" s="62">
        <f t="shared" si="88"/>
        <v>227.66666666666666</v>
      </c>
      <c r="AR240" s="11" t="str">
        <f>IF(AQ240&gt;='Aprovados Recursos do Fundo'!$AQ$1,"APROVADO","REPROVADO")</f>
        <v>APROVADO</v>
      </c>
      <c r="AS240" s="65"/>
      <c r="AT240" s="65"/>
      <c r="AU240" s="151"/>
      <c r="AV240" s="65"/>
      <c r="AW240" s="65"/>
      <c r="AX240" s="65"/>
      <c r="AY240" s="65"/>
      <c r="AZ240" s="65"/>
      <c r="BA240" s="65"/>
      <c r="BB240" s="65"/>
      <c r="BC240" s="34"/>
      <c r="BD240" s="65"/>
    </row>
    <row r="241" spans="2:58" s="64" customFormat="1" ht="39.950000000000003" customHeight="1" x14ac:dyDescent="0.25">
      <c r="B241" s="5">
        <v>373</v>
      </c>
      <c r="C241" s="27" t="s">
        <v>1880</v>
      </c>
      <c r="D241" s="100" t="s">
        <v>4167</v>
      </c>
      <c r="E241" s="5" t="s">
        <v>33</v>
      </c>
      <c r="F241" s="5" t="s">
        <v>1881</v>
      </c>
      <c r="G241" s="7" t="s">
        <v>1882</v>
      </c>
      <c r="H241" s="7" t="s">
        <v>36</v>
      </c>
      <c r="I241" s="8">
        <v>980304</v>
      </c>
      <c r="J241" s="8"/>
      <c r="K241" s="8"/>
      <c r="L241" s="8">
        <f t="shared" si="99"/>
        <v>1176364.8</v>
      </c>
      <c r="M241" s="8">
        <f>21500+178500+180000+100000+39130+56263+67750+11174+90000+14050+51719+28000+213000+100000+17049.69+207.19+1460.34+706.02+2000+2167+1688.56</f>
        <v>1176364.8</v>
      </c>
      <c r="N241" s="8">
        <f>L241-M241</f>
        <v>0</v>
      </c>
      <c r="O241" s="15">
        <f t="shared" si="100"/>
        <v>980303.98570039961</v>
      </c>
      <c r="P241" s="15">
        <f t="shared" si="101"/>
        <v>196060.81429960034</v>
      </c>
      <c r="Q241" s="136">
        <f t="shared" ref="Q241" si="102">M241/L241</f>
        <v>1</v>
      </c>
      <c r="R241" s="136"/>
      <c r="S241" s="7" t="s">
        <v>73</v>
      </c>
      <c r="T241" s="7" t="s">
        <v>74</v>
      </c>
      <c r="U241" s="7" t="s">
        <v>1883</v>
      </c>
      <c r="V241" s="7">
        <v>1</v>
      </c>
      <c r="W241" s="9" t="s">
        <v>1884</v>
      </c>
      <c r="X241" s="10">
        <v>45321</v>
      </c>
      <c r="Y241" s="7" t="s">
        <v>41</v>
      </c>
      <c r="Z241" s="7"/>
      <c r="AA241" s="65"/>
      <c r="AB241" s="7">
        <v>332</v>
      </c>
      <c r="AC241" s="9">
        <v>147</v>
      </c>
      <c r="AD241" s="9"/>
      <c r="AE241" s="9">
        <v>197</v>
      </c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>
        <f t="shared" si="87"/>
        <v>3</v>
      </c>
      <c r="AQ241" s="62">
        <f t="shared" si="88"/>
        <v>225.33333333333334</v>
      </c>
      <c r="AR241" s="11" t="str">
        <f>IF(AQ241&gt;='Aprovados Recursos do Fundo'!$AQ$1,"APROVADO","REPROVADO")</f>
        <v>APROVADO</v>
      </c>
      <c r="AS241" s="7" t="s">
        <v>4168</v>
      </c>
      <c r="AT241" s="7" t="s">
        <v>3387</v>
      </c>
      <c r="AU241" s="151" t="s">
        <v>3924</v>
      </c>
      <c r="AV241" s="65"/>
      <c r="AW241" s="65"/>
      <c r="AX241" s="65"/>
      <c r="AY241" s="65"/>
      <c r="AZ241" s="65"/>
      <c r="BA241" s="65"/>
      <c r="BB241" s="65"/>
      <c r="BC241" s="34">
        <v>46086</v>
      </c>
      <c r="BD241" s="140">
        <f t="shared" ref="BD241" si="103">_xlfn.DAYS($BD$2,BC241)</f>
        <v>15</v>
      </c>
      <c r="BE241" s="146" t="s">
        <v>4169</v>
      </c>
      <c r="BF241" s="64" t="s">
        <v>4170</v>
      </c>
    </row>
    <row r="242" spans="2:58" s="64" customFormat="1" ht="29.25" hidden="1" customHeight="1" x14ac:dyDescent="0.25">
      <c r="B242" s="5">
        <v>375</v>
      </c>
      <c r="C242" s="27" t="s">
        <v>1891</v>
      </c>
      <c r="D242" s="101" t="s">
        <v>4171</v>
      </c>
      <c r="E242" s="5" t="s">
        <v>33</v>
      </c>
      <c r="F242" s="58" t="s">
        <v>904</v>
      </c>
      <c r="G242" s="7" t="s">
        <v>1892</v>
      </c>
      <c r="H242" s="7" t="s">
        <v>36</v>
      </c>
      <c r="I242" s="8">
        <v>40000</v>
      </c>
      <c r="J242" s="8"/>
      <c r="K242" s="8"/>
      <c r="L242" s="8">
        <f t="shared" si="99"/>
        <v>48000</v>
      </c>
      <c r="M242" s="8"/>
      <c r="N242" s="8"/>
      <c r="O242" s="15">
        <f t="shared" si="100"/>
        <v>0</v>
      </c>
      <c r="P242" s="15">
        <f t="shared" si="101"/>
        <v>0</v>
      </c>
      <c r="Q242" s="8"/>
      <c r="R242" s="8"/>
      <c r="S242" s="7" t="s">
        <v>1887</v>
      </c>
      <c r="T242" s="7" t="s">
        <v>223</v>
      </c>
      <c r="U242" s="7" t="s">
        <v>1888</v>
      </c>
      <c r="V242" s="7"/>
      <c r="W242" s="9" t="s">
        <v>1889</v>
      </c>
      <c r="X242" s="10">
        <v>45322</v>
      </c>
      <c r="Y242" s="7" t="s">
        <v>41</v>
      </c>
      <c r="Z242" s="7"/>
      <c r="AA242" s="65"/>
      <c r="AB242" s="7">
        <v>340</v>
      </c>
      <c r="AC242" s="9">
        <v>216</v>
      </c>
      <c r="AD242" s="9"/>
      <c r="AE242" s="9">
        <v>223</v>
      </c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>
        <f t="shared" si="87"/>
        <v>3</v>
      </c>
      <c r="AQ242" s="62">
        <f t="shared" si="88"/>
        <v>259.66666666666669</v>
      </c>
      <c r="AR242" s="11" t="str">
        <f>IF(AQ242&gt;=$AR$1,"APROVADO","REPROVADO")</f>
        <v>APROVADO</v>
      </c>
      <c r="AS242" s="65"/>
      <c r="AT242" s="65"/>
      <c r="AU242" s="151"/>
      <c r="AV242" s="65"/>
      <c r="AW242" s="65"/>
      <c r="AX242" s="65"/>
      <c r="AY242" s="65"/>
      <c r="AZ242" s="65"/>
      <c r="BA242" s="65"/>
      <c r="BB242" s="65"/>
      <c r="BC242" s="34"/>
      <c r="BD242" s="65"/>
    </row>
    <row r="243" spans="2:58" s="64" customFormat="1" ht="39.950000000000003" hidden="1" customHeight="1" x14ac:dyDescent="0.25">
      <c r="B243" s="5">
        <v>376</v>
      </c>
      <c r="C243" s="6" t="s">
        <v>1893</v>
      </c>
      <c r="D243" s="101" t="s">
        <v>4172</v>
      </c>
      <c r="E243" s="5" t="s">
        <v>33</v>
      </c>
      <c r="F243" s="5" t="s">
        <v>1894</v>
      </c>
      <c r="G243" s="7" t="s">
        <v>1895</v>
      </c>
      <c r="H243" s="7" t="s">
        <v>36</v>
      </c>
      <c r="I243" s="8">
        <v>120000</v>
      </c>
      <c r="J243" s="8"/>
      <c r="K243" s="8"/>
      <c r="L243" s="8">
        <f t="shared" si="99"/>
        <v>144000</v>
      </c>
      <c r="M243" s="8"/>
      <c r="N243" s="8"/>
      <c r="O243" s="15">
        <f t="shared" si="100"/>
        <v>0</v>
      </c>
      <c r="P243" s="15">
        <f t="shared" si="101"/>
        <v>0</v>
      </c>
      <c r="Q243" s="8"/>
      <c r="R243" s="8"/>
      <c r="S243" s="7" t="s">
        <v>1896</v>
      </c>
      <c r="T243" s="7" t="s">
        <v>154</v>
      </c>
      <c r="U243" s="7" t="s">
        <v>1897</v>
      </c>
      <c r="V243" s="7"/>
      <c r="W243" s="9" t="s">
        <v>1898</v>
      </c>
      <c r="X243" s="10">
        <v>45322</v>
      </c>
      <c r="Y243" s="7" t="s">
        <v>67</v>
      </c>
      <c r="Z243" s="7"/>
      <c r="AA243" s="65"/>
      <c r="AB243" s="7">
        <v>267</v>
      </c>
      <c r="AC243" s="9"/>
      <c r="AD243" s="9"/>
      <c r="AE243" s="9"/>
      <c r="AF243" s="9"/>
      <c r="AG243" s="9">
        <v>260</v>
      </c>
      <c r="AH243" s="9">
        <v>279</v>
      </c>
      <c r="AI243" s="9"/>
      <c r="AJ243" s="9"/>
      <c r="AK243" s="9"/>
      <c r="AL243" s="9"/>
      <c r="AM243" s="9"/>
      <c r="AN243" s="9"/>
      <c r="AO243" s="9"/>
      <c r="AP243" s="9">
        <f t="shared" si="87"/>
        <v>3</v>
      </c>
      <c r="AQ243" s="62">
        <f t="shared" si="88"/>
        <v>268.66666666666669</v>
      </c>
      <c r="AR243" s="11" t="str">
        <f>IF(AQ243&gt;='Aprovados Recursos do Fundo'!$AQ$1,"APROVADO","REPROVADO")</f>
        <v>APROVADO</v>
      </c>
      <c r="AS243" s="65"/>
      <c r="AT243" s="65"/>
      <c r="AU243" s="151"/>
      <c r="AV243" s="65"/>
      <c r="AW243" s="65"/>
      <c r="AX243" s="65"/>
      <c r="AY243" s="65"/>
      <c r="AZ243" s="65"/>
      <c r="BA243" s="65"/>
      <c r="BB243" s="65"/>
      <c r="BC243" s="34"/>
      <c r="BD243" s="65"/>
    </row>
    <row r="244" spans="2:58" s="64" customFormat="1" ht="39.950000000000003" hidden="1" customHeight="1" x14ac:dyDescent="0.25">
      <c r="B244" s="5">
        <v>377</v>
      </c>
      <c r="C244" s="6" t="s">
        <v>1899</v>
      </c>
      <c r="D244" s="99"/>
      <c r="E244" s="5" t="s">
        <v>51</v>
      </c>
      <c r="F244" s="5" t="s">
        <v>1900</v>
      </c>
      <c r="G244" s="7" t="s">
        <v>1901</v>
      </c>
      <c r="H244" s="7" t="s">
        <v>107</v>
      </c>
      <c r="I244" s="41">
        <v>66000</v>
      </c>
      <c r="J244" s="41"/>
      <c r="K244" s="41"/>
      <c r="L244" s="8">
        <v>79200</v>
      </c>
      <c r="M244" s="41"/>
      <c r="N244" s="41"/>
      <c r="O244" s="41"/>
      <c r="P244" s="41"/>
      <c r="Q244" s="41"/>
      <c r="R244" s="41"/>
      <c r="S244" s="9" t="s">
        <v>1902</v>
      </c>
      <c r="T244" s="11" t="s">
        <v>189</v>
      </c>
      <c r="U244" s="9" t="s">
        <v>1903</v>
      </c>
      <c r="V244" s="9"/>
      <c r="W244" s="67" t="s">
        <v>1904</v>
      </c>
      <c r="X244" s="34">
        <v>45322</v>
      </c>
      <c r="Y244" s="9" t="s">
        <v>57</v>
      </c>
      <c r="Z244" s="9"/>
      <c r="AA244" s="65"/>
      <c r="AB244" s="9">
        <v>300</v>
      </c>
      <c r="AC244" s="9"/>
      <c r="AD244" s="9"/>
      <c r="AE244" s="9"/>
      <c r="AF244" s="9"/>
      <c r="AG244" s="9">
        <v>251</v>
      </c>
      <c r="AH244" s="9">
        <v>291</v>
      </c>
      <c r="AI244" s="9"/>
      <c r="AJ244" s="9"/>
      <c r="AK244" s="9"/>
      <c r="AL244" s="9"/>
      <c r="AM244" s="9"/>
      <c r="AN244" s="65"/>
      <c r="AO244" s="65"/>
      <c r="AP244" s="9">
        <f t="shared" si="87"/>
        <v>3</v>
      </c>
      <c r="AQ244" s="62">
        <f t="shared" si="88"/>
        <v>280.66666666666669</v>
      </c>
      <c r="AR244" s="11" t="str">
        <f>IF(AQ244&gt;='Aprovados Recursos do Fundo'!$AQ$1,"APROVADO","REPROVADO")</f>
        <v>APROVADO</v>
      </c>
      <c r="AS244" s="65"/>
      <c r="AT244" s="65"/>
      <c r="AU244" s="151"/>
      <c r="AV244" s="65"/>
      <c r="AW244" s="65"/>
      <c r="AX244" s="65"/>
      <c r="AY244" s="65"/>
      <c r="AZ244" s="65"/>
      <c r="BA244" s="65"/>
      <c r="BB244" s="65"/>
      <c r="BC244" s="34"/>
      <c r="BD244" s="65"/>
    </row>
    <row r="245" spans="2:58" s="64" customFormat="1" ht="39.950000000000003" hidden="1" customHeight="1" x14ac:dyDescent="0.25">
      <c r="B245" s="5">
        <v>380</v>
      </c>
      <c r="C245" s="6" t="s">
        <v>1913</v>
      </c>
      <c r="D245" s="99"/>
      <c r="E245" s="5" t="s">
        <v>51</v>
      </c>
      <c r="F245" s="58" t="s">
        <v>1906</v>
      </c>
      <c r="G245" s="7" t="s">
        <v>1914</v>
      </c>
      <c r="H245" s="7" t="s">
        <v>174</v>
      </c>
      <c r="I245" s="41">
        <v>100000</v>
      </c>
      <c r="J245" s="41"/>
      <c r="K245" s="41"/>
      <c r="L245" s="8">
        <v>120000</v>
      </c>
      <c r="M245" s="41"/>
      <c r="N245" s="41"/>
      <c r="O245" s="41"/>
      <c r="P245" s="41"/>
      <c r="Q245" s="41"/>
      <c r="R245" s="41"/>
      <c r="S245" s="9" t="s">
        <v>1908</v>
      </c>
      <c r="T245" s="11" t="s">
        <v>348</v>
      </c>
      <c r="U245" s="9" t="s">
        <v>1909</v>
      </c>
      <c r="V245" s="9"/>
      <c r="W245" s="67" t="s">
        <v>1910</v>
      </c>
      <c r="X245" s="34">
        <v>45322</v>
      </c>
      <c r="Y245" s="9" t="s">
        <v>57</v>
      </c>
      <c r="Z245" s="9"/>
      <c r="AA245" s="65"/>
      <c r="AB245" s="9">
        <v>334</v>
      </c>
      <c r="AC245" s="9"/>
      <c r="AD245" s="9"/>
      <c r="AE245" s="9"/>
      <c r="AF245" s="9"/>
      <c r="AG245" s="9"/>
      <c r="AH245" s="9"/>
      <c r="AI245" s="9"/>
      <c r="AJ245" s="9"/>
      <c r="AK245" s="9"/>
      <c r="AL245" s="9">
        <v>252</v>
      </c>
      <c r="AM245" s="9"/>
      <c r="AN245" s="65">
        <v>334</v>
      </c>
      <c r="AO245" s="65"/>
      <c r="AP245" s="9">
        <f t="shared" si="87"/>
        <v>3</v>
      </c>
      <c r="AQ245" s="62">
        <f t="shared" si="88"/>
        <v>306.66666666666669</v>
      </c>
      <c r="AR245" s="11" t="str">
        <f>IF(AQ245&gt;=$AR$1,"APROVADO","REPROVADO")</f>
        <v>APROVADO</v>
      </c>
      <c r="AS245" s="65"/>
      <c r="AT245" s="65"/>
      <c r="AU245" s="151"/>
      <c r="AV245" s="65"/>
      <c r="AW245" s="65"/>
      <c r="AX245" s="65"/>
      <c r="AY245" s="65"/>
      <c r="AZ245" s="65"/>
      <c r="BA245" s="65"/>
      <c r="BB245" s="65"/>
      <c r="BC245" s="34"/>
      <c r="BD245" s="65"/>
    </row>
    <row r="246" spans="2:58" s="64" customFormat="1" ht="39.950000000000003" hidden="1" customHeight="1" x14ac:dyDescent="0.25">
      <c r="B246" s="5">
        <v>381</v>
      </c>
      <c r="C246" s="6" t="s">
        <v>1915</v>
      </c>
      <c r="D246" s="101" t="s">
        <v>4173</v>
      </c>
      <c r="E246" s="5" t="s">
        <v>33</v>
      </c>
      <c r="F246" s="5" t="s">
        <v>1916</v>
      </c>
      <c r="G246" s="5" t="s">
        <v>1917</v>
      </c>
      <c r="H246" s="7" t="s">
        <v>36</v>
      </c>
      <c r="I246" s="8">
        <v>64900</v>
      </c>
      <c r="J246" s="8"/>
      <c r="K246" s="8"/>
      <c r="L246" s="8">
        <f t="shared" ref="L246:L251" si="104">I246*1.2</f>
        <v>77880</v>
      </c>
      <c r="M246" s="8"/>
      <c r="N246" s="8"/>
      <c r="O246" s="15">
        <f t="shared" ref="O246:O251" si="105">M246*0.83333332117758</f>
        <v>0</v>
      </c>
      <c r="P246" s="15">
        <f t="shared" ref="P246:P251" si="106">M246*0.16666667882242</f>
        <v>0</v>
      </c>
      <c r="Q246" s="8"/>
      <c r="R246" s="8"/>
      <c r="S246" s="7" t="s">
        <v>1908</v>
      </c>
      <c r="T246" s="7" t="s">
        <v>348</v>
      </c>
      <c r="U246" s="7" t="s">
        <v>1918</v>
      </c>
      <c r="V246" s="7"/>
      <c r="W246" s="9" t="s">
        <v>1919</v>
      </c>
      <c r="X246" s="10">
        <v>45322</v>
      </c>
      <c r="Y246" s="5" t="s">
        <v>67</v>
      </c>
      <c r="Z246" s="7"/>
      <c r="AA246" s="65"/>
      <c r="AB246" s="5">
        <v>340</v>
      </c>
      <c r="AC246" s="9">
        <v>222</v>
      </c>
      <c r="AD246" s="9"/>
      <c r="AE246" s="9"/>
      <c r="AF246" s="9"/>
      <c r="AG246" s="9"/>
      <c r="AH246" s="9">
        <v>340</v>
      </c>
      <c r="AI246" s="9"/>
      <c r="AJ246" s="9"/>
      <c r="AK246" s="9"/>
      <c r="AL246" s="9"/>
      <c r="AM246" s="9"/>
      <c r="AN246" s="9"/>
      <c r="AO246" s="9"/>
      <c r="AP246" s="9">
        <f t="shared" si="87"/>
        <v>3</v>
      </c>
      <c r="AQ246" s="62">
        <f t="shared" si="88"/>
        <v>300.66666666666669</v>
      </c>
      <c r="AR246" s="11" t="str">
        <f>IF(AQ246&gt;='Aprovados Recursos do Fundo'!$AQ$1,"APROVADO","REPROVADO")</f>
        <v>APROVADO</v>
      </c>
      <c r="AS246" s="65"/>
      <c r="AT246" s="65"/>
      <c r="AU246" s="151"/>
      <c r="AV246" s="65"/>
      <c r="AW246" s="65"/>
      <c r="AX246" s="65"/>
      <c r="AY246" s="65"/>
      <c r="AZ246" s="65"/>
      <c r="BA246" s="65"/>
      <c r="BB246" s="65"/>
      <c r="BC246" s="34"/>
      <c r="BD246" s="65"/>
    </row>
    <row r="247" spans="2:58" s="64" customFormat="1" ht="39.950000000000003" hidden="1" customHeight="1" x14ac:dyDescent="0.25">
      <c r="B247" s="5">
        <v>387</v>
      </c>
      <c r="C247" s="6" t="s">
        <v>1945</v>
      </c>
      <c r="D247" s="101" t="s">
        <v>4174</v>
      </c>
      <c r="E247" s="5" t="s">
        <v>33</v>
      </c>
      <c r="F247" s="58" t="s">
        <v>1946</v>
      </c>
      <c r="G247" s="5" t="s">
        <v>1947</v>
      </c>
      <c r="H247" s="7" t="s">
        <v>107</v>
      </c>
      <c r="I247" s="8">
        <v>79200</v>
      </c>
      <c r="J247" s="8"/>
      <c r="K247" s="8"/>
      <c r="L247" s="8">
        <f t="shared" si="104"/>
        <v>95040</v>
      </c>
      <c r="M247" s="8"/>
      <c r="N247" s="8"/>
      <c r="O247" s="15">
        <f t="shared" si="105"/>
        <v>0</v>
      </c>
      <c r="P247" s="15">
        <f t="shared" si="106"/>
        <v>0</v>
      </c>
      <c r="Q247" s="8"/>
      <c r="R247" s="8"/>
      <c r="S247" s="7" t="s">
        <v>728</v>
      </c>
      <c r="T247" s="7" t="s">
        <v>123</v>
      </c>
      <c r="U247" s="7" t="s">
        <v>1948</v>
      </c>
      <c r="V247" s="7"/>
      <c r="W247" s="9" t="s">
        <v>1949</v>
      </c>
      <c r="X247" s="10">
        <v>45322</v>
      </c>
      <c r="Y247" s="5" t="s">
        <v>67</v>
      </c>
      <c r="Z247" s="7"/>
      <c r="AA247" s="65"/>
      <c r="AB247" s="5">
        <v>310</v>
      </c>
      <c r="AC247" s="9">
        <v>250</v>
      </c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>
        <v>336</v>
      </c>
      <c r="AO247" s="9"/>
      <c r="AP247" s="9">
        <f t="shared" si="87"/>
        <v>3</v>
      </c>
      <c r="AQ247" s="62">
        <f t="shared" si="88"/>
        <v>298.66666666666669</v>
      </c>
      <c r="AR247" s="11" t="str">
        <f>IF(AQ247&gt;=$AR$1,"APROVADO","REPROVADO")</f>
        <v>APROVADO</v>
      </c>
      <c r="AS247" s="65"/>
      <c r="AT247" s="65"/>
      <c r="AU247" s="151"/>
      <c r="AV247" s="65"/>
      <c r="AW247" s="65"/>
      <c r="AX247" s="65"/>
      <c r="AY247" s="65"/>
      <c r="AZ247" s="65"/>
      <c r="BA247" s="65"/>
      <c r="BB247" s="65"/>
      <c r="BC247" s="34"/>
      <c r="BD247" s="65"/>
    </row>
    <row r="248" spans="2:58" s="64" customFormat="1" ht="39.950000000000003" customHeight="1" x14ac:dyDescent="0.25">
      <c r="B248" s="5">
        <v>390</v>
      </c>
      <c r="C248" s="27" t="s">
        <v>1958</v>
      </c>
      <c r="D248" s="100" t="s">
        <v>4175</v>
      </c>
      <c r="E248" s="5" t="s">
        <v>33</v>
      </c>
      <c r="F248" s="5" t="s">
        <v>1959</v>
      </c>
      <c r="G248" s="7" t="s">
        <v>1960</v>
      </c>
      <c r="H248" s="7" t="s">
        <v>107</v>
      </c>
      <c r="I248" s="8">
        <f>J248+K248</f>
        <v>1931974.57</v>
      </c>
      <c r="J248" s="8">
        <v>1869981.29</v>
      </c>
      <c r="K248" s="8">
        <v>61993.279999999999</v>
      </c>
      <c r="L248" s="8">
        <f t="shared" si="104"/>
        <v>2318369.4840000002</v>
      </c>
      <c r="M248" s="8">
        <f>4737+4737+28500+70000+13500+306000+1000000+851000+126500+9994.22</f>
        <v>2414968.2200000002</v>
      </c>
      <c r="N248" s="8">
        <f>L248-M248</f>
        <v>-96598.736000000034</v>
      </c>
      <c r="O248" s="15">
        <f t="shared" si="105"/>
        <v>2012473.4873109087</v>
      </c>
      <c r="P248" s="15">
        <f t="shared" si="106"/>
        <v>402494.73268909135</v>
      </c>
      <c r="Q248" s="143">
        <f>M248/L248</f>
        <v>1.041666669901699</v>
      </c>
      <c r="R248" s="136"/>
      <c r="S248" s="7" t="s">
        <v>290</v>
      </c>
      <c r="T248" s="7" t="s">
        <v>154</v>
      </c>
      <c r="U248" s="7" t="s">
        <v>1961</v>
      </c>
      <c r="V248" s="7">
        <v>1</v>
      </c>
      <c r="W248" s="9" t="s">
        <v>1962</v>
      </c>
      <c r="X248" s="10">
        <v>45322</v>
      </c>
      <c r="Y248" s="7" t="s">
        <v>41</v>
      </c>
      <c r="Z248" s="7"/>
      <c r="AA248" s="65"/>
      <c r="AB248" s="7">
        <v>332</v>
      </c>
      <c r="AC248" s="9">
        <v>239</v>
      </c>
      <c r="AD248" s="9"/>
      <c r="AE248" s="9">
        <v>247</v>
      </c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>
        <f t="shared" si="87"/>
        <v>3</v>
      </c>
      <c r="AQ248" s="62">
        <f t="shared" si="88"/>
        <v>272.66666666666669</v>
      </c>
      <c r="AR248" s="11" t="str">
        <f>IF(AQ248&gt;=$AR$1,"APROVADO","REPROVADO")</f>
        <v>APROVADO</v>
      </c>
      <c r="AS248" s="5" t="s">
        <v>4176</v>
      </c>
      <c r="AT248" s="11" t="s">
        <v>3387</v>
      </c>
      <c r="AU248" s="151" t="s">
        <v>4177</v>
      </c>
      <c r="AV248" s="7"/>
      <c r="AW248" s="7"/>
      <c r="AX248" s="7"/>
      <c r="AY248" s="7"/>
      <c r="AZ248" s="7"/>
      <c r="BA248" s="7"/>
      <c r="BB248" s="7"/>
      <c r="BC248" s="34">
        <v>46092</v>
      </c>
      <c r="BD248" s="113">
        <f>_xlfn.DAYS(BD2,BC248)</f>
        <v>9</v>
      </c>
      <c r="BE248" s="146"/>
    </row>
    <row r="249" spans="2:58" s="64" customFormat="1" ht="39.950000000000003" hidden="1" customHeight="1" x14ac:dyDescent="0.25">
      <c r="B249" s="5">
        <v>391</v>
      </c>
      <c r="C249" s="6" t="s">
        <v>1963</v>
      </c>
      <c r="D249" s="100" t="s">
        <v>4178</v>
      </c>
      <c r="E249" s="5" t="s">
        <v>33</v>
      </c>
      <c r="F249" s="58" t="s">
        <v>1964</v>
      </c>
      <c r="G249" s="5" t="s">
        <v>1965</v>
      </c>
      <c r="H249" s="7" t="s">
        <v>36</v>
      </c>
      <c r="I249" s="17">
        <v>180000</v>
      </c>
      <c r="J249" s="17"/>
      <c r="K249" s="17"/>
      <c r="L249" s="8">
        <f t="shared" si="104"/>
        <v>216000</v>
      </c>
      <c r="M249" s="17"/>
      <c r="N249" s="17"/>
      <c r="O249" s="15">
        <f t="shared" si="105"/>
        <v>0</v>
      </c>
      <c r="P249" s="15">
        <f t="shared" si="106"/>
        <v>0</v>
      </c>
      <c r="Q249" s="17"/>
      <c r="R249" s="17"/>
      <c r="S249" s="7" t="s">
        <v>728</v>
      </c>
      <c r="T249" s="7" t="s">
        <v>123</v>
      </c>
      <c r="U249" s="5" t="s">
        <v>1966</v>
      </c>
      <c r="V249" s="7">
        <v>1</v>
      </c>
      <c r="W249" s="31" t="s">
        <v>1967</v>
      </c>
      <c r="X249" s="10">
        <v>45322</v>
      </c>
      <c r="Y249" s="5" t="s">
        <v>67</v>
      </c>
      <c r="Z249" s="7"/>
      <c r="AA249" s="65"/>
      <c r="AB249" s="5">
        <v>303</v>
      </c>
      <c r="AC249" s="9">
        <v>210</v>
      </c>
      <c r="AD249" s="9"/>
      <c r="AE249" s="9"/>
      <c r="AF249" s="9"/>
      <c r="AG249" s="9">
        <v>307</v>
      </c>
      <c r="AH249" s="9"/>
      <c r="AI249" s="9"/>
      <c r="AJ249" s="9"/>
      <c r="AK249" s="9"/>
      <c r="AL249" s="9"/>
      <c r="AM249" s="9"/>
      <c r="AN249" s="9"/>
      <c r="AO249" s="9"/>
      <c r="AP249" s="9">
        <f t="shared" si="87"/>
        <v>3</v>
      </c>
      <c r="AQ249" s="62">
        <f t="shared" si="88"/>
        <v>273.33333333333331</v>
      </c>
      <c r="AR249" s="11" t="str">
        <f>IF(AQ249&gt;=$AR$1,"APROVADO","REPROVADO")</f>
        <v>APROVADO</v>
      </c>
      <c r="AS249" s="65"/>
      <c r="AT249" s="65"/>
      <c r="AU249" s="151"/>
      <c r="AV249" s="65"/>
      <c r="AW249" s="65"/>
      <c r="AX249" s="65"/>
      <c r="AY249" s="65"/>
      <c r="AZ249" s="65"/>
      <c r="BA249" s="65"/>
      <c r="BB249" s="65"/>
      <c r="BC249" s="34"/>
      <c r="BD249" s="65"/>
    </row>
    <row r="250" spans="2:58" s="64" customFormat="1" ht="39.950000000000003" hidden="1" customHeight="1" x14ac:dyDescent="0.25">
      <c r="B250" s="5">
        <v>393</v>
      </c>
      <c r="C250" s="27" t="s">
        <v>1972</v>
      </c>
      <c r="D250" s="101" t="s">
        <v>4179</v>
      </c>
      <c r="E250" s="5" t="s">
        <v>33</v>
      </c>
      <c r="F250" s="5" t="s">
        <v>1973</v>
      </c>
      <c r="G250" s="7" t="s">
        <v>1974</v>
      </c>
      <c r="H250" s="7" t="s">
        <v>36</v>
      </c>
      <c r="I250" s="8">
        <v>552712</v>
      </c>
      <c r="J250" s="8"/>
      <c r="K250" s="8"/>
      <c r="L250" s="8">
        <f t="shared" si="104"/>
        <v>663254.4</v>
      </c>
      <c r="M250" s="8"/>
      <c r="N250" s="8"/>
      <c r="O250" s="15">
        <f t="shared" si="105"/>
        <v>0</v>
      </c>
      <c r="P250" s="15">
        <f t="shared" si="106"/>
        <v>0</v>
      </c>
      <c r="Q250" s="8"/>
      <c r="R250" s="8"/>
      <c r="S250" s="7" t="s">
        <v>425</v>
      </c>
      <c r="T250" s="7" t="s">
        <v>348</v>
      </c>
      <c r="U250" s="7" t="s">
        <v>1975</v>
      </c>
      <c r="V250" s="7"/>
      <c r="W250" s="9" t="s">
        <v>1976</v>
      </c>
      <c r="X250" s="10">
        <v>45322</v>
      </c>
      <c r="Y250" s="7" t="s">
        <v>41</v>
      </c>
      <c r="Z250" s="7"/>
      <c r="AA250" s="65"/>
      <c r="AB250" s="7">
        <v>321</v>
      </c>
      <c r="AC250" s="9">
        <v>194</v>
      </c>
      <c r="AD250" s="9"/>
      <c r="AE250" s="9">
        <v>194</v>
      </c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>
        <f t="shared" si="87"/>
        <v>3</v>
      </c>
      <c r="AQ250" s="62">
        <f t="shared" si="88"/>
        <v>236.33333333333334</v>
      </c>
      <c r="AR250" s="11" t="str">
        <f>IF(AQ250&gt;='Aprovados Recursos do Fundo'!$AQ$1,"APROVADO","REPROVADO")</f>
        <v>APROVADO</v>
      </c>
      <c r="AS250" s="65"/>
      <c r="AT250" s="65"/>
      <c r="AU250" s="151"/>
      <c r="AV250" s="65"/>
      <c r="AW250" s="65"/>
      <c r="AX250" s="65"/>
      <c r="AY250" s="65"/>
      <c r="AZ250" s="65"/>
      <c r="BA250" s="65"/>
      <c r="BB250" s="65"/>
      <c r="BC250" s="34"/>
      <c r="BD250" s="65"/>
    </row>
    <row r="251" spans="2:58" s="64" customFormat="1" ht="39.950000000000003" hidden="1" customHeight="1" x14ac:dyDescent="0.25">
      <c r="B251" s="5">
        <v>396</v>
      </c>
      <c r="C251" s="6" t="s">
        <v>1981</v>
      </c>
      <c r="D251" s="101" t="s">
        <v>4180</v>
      </c>
      <c r="E251" s="5" t="s">
        <v>33</v>
      </c>
      <c r="F251" s="58" t="s">
        <v>1946</v>
      </c>
      <c r="G251" s="5" t="s">
        <v>1982</v>
      </c>
      <c r="H251" s="7" t="s">
        <v>107</v>
      </c>
      <c r="I251" s="8">
        <v>148800</v>
      </c>
      <c r="J251" s="8"/>
      <c r="K251" s="8"/>
      <c r="L251" s="8">
        <f t="shared" si="104"/>
        <v>178560</v>
      </c>
      <c r="M251" s="8"/>
      <c r="N251" s="8"/>
      <c r="O251" s="15">
        <f t="shared" si="105"/>
        <v>0</v>
      </c>
      <c r="P251" s="15">
        <f t="shared" si="106"/>
        <v>0</v>
      </c>
      <c r="Q251" s="8"/>
      <c r="R251" s="8"/>
      <c r="S251" s="7" t="s">
        <v>728</v>
      </c>
      <c r="T251" s="7" t="s">
        <v>123</v>
      </c>
      <c r="U251" s="7" t="s">
        <v>1948</v>
      </c>
      <c r="V251" s="7"/>
      <c r="W251" s="9" t="s">
        <v>1949</v>
      </c>
      <c r="X251" s="10">
        <v>45322</v>
      </c>
      <c r="Y251" s="5" t="s">
        <v>67</v>
      </c>
      <c r="Z251" s="7"/>
      <c r="AA251" s="65"/>
      <c r="AB251" s="5">
        <v>299</v>
      </c>
      <c r="AC251" s="9">
        <v>229</v>
      </c>
      <c r="AD251" s="9"/>
      <c r="AE251" s="9"/>
      <c r="AF251" s="9"/>
      <c r="AG251" s="9"/>
      <c r="AH251" s="9">
        <v>284</v>
      </c>
      <c r="AI251" s="9"/>
      <c r="AJ251" s="9"/>
      <c r="AK251" s="9"/>
      <c r="AL251" s="9"/>
      <c r="AM251" s="9"/>
      <c r="AN251" s="9"/>
      <c r="AO251" s="9"/>
      <c r="AP251" s="9">
        <f t="shared" si="87"/>
        <v>3</v>
      </c>
      <c r="AQ251" s="62">
        <f t="shared" si="88"/>
        <v>270.66666666666669</v>
      </c>
      <c r="AR251" s="11" t="str">
        <f>IF(AQ251&gt;=$AR$1,"APROVADO","REPROVADO")</f>
        <v>APROVADO</v>
      </c>
      <c r="AS251" s="65"/>
      <c r="AT251" s="65"/>
      <c r="AU251" s="151"/>
      <c r="AV251" s="65"/>
      <c r="AW251" s="65"/>
      <c r="AX251" s="65"/>
      <c r="AY251" s="65"/>
      <c r="AZ251" s="65"/>
      <c r="BA251" s="65"/>
      <c r="BB251" s="65"/>
      <c r="BC251" s="34"/>
      <c r="BD251" s="65"/>
    </row>
    <row r="252" spans="2:58" s="64" customFormat="1" ht="39.950000000000003" hidden="1" customHeight="1" x14ac:dyDescent="0.25">
      <c r="B252" s="5">
        <v>398</v>
      </c>
      <c r="C252" s="22" t="s">
        <v>1984</v>
      </c>
      <c r="D252" s="9"/>
      <c r="E252" s="5" t="s">
        <v>51</v>
      </c>
      <c r="F252" s="9" t="s">
        <v>1985</v>
      </c>
      <c r="G252" s="9" t="s">
        <v>1986</v>
      </c>
      <c r="H252" s="11" t="s">
        <v>36</v>
      </c>
      <c r="I252" s="41">
        <v>162450</v>
      </c>
      <c r="J252" s="41"/>
      <c r="K252" s="41"/>
      <c r="L252" s="8">
        <v>194940</v>
      </c>
      <c r="M252" s="41"/>
      <c r="N252" s="41"/>
      <c r="O252" s="41"/>
      <c r="P252" s="41"/>
      <c r="Q252" s="41"/>
      <c r="R252" s="41"/>
      <c r="S252" s="9" t="s">
        <v>1987</v>
      </c>
      <c r="T252" s="11" t="s">
        <v>189</v>
      </c>
      <c r="U252" s="9" t="s">
        <v>1988</v>
      </c>
      <c r="V252" s="9"/>
      <c r="W252" s="67" t="s">
        <v>1989</v>
      </c>
      <c r="X252" s="34">
        <v>45322</v>
      </c>
      <c r="Y252" s="9" t="s">
        <v>57</v>
      </c>
      <c r="Z252" s="9"/>
      <c r="AA252" s="65"/>
      <c r="AB252" s="9">
        <v>260</v>
      </c>
      <c r="AC252" s="9"/>
      <c r="AD252" s="9"/>
      <c r="AE252" s="9"/>
      <c r="AF252" s="9"/>
      <c r="AG252" s="9">
        <v>284</v>
      </c>
      <c r="AH252" s="9">
        <v>279</v>
      </c>
      <c r="AI252" s="9"/>
      <c r="AJ252" s="9"/>
      <c r="AK252" s="9"/>
      <c r="AL252" s="9"/>
      <c r="AM252" s="9"/>
      <c r="AN252" s="65"/>
      <c r="AO252" s="65"/>
      <c r="AP252" s="9">
        <f t="shared" si="87"/>
        <v>3</v>
      </c>
      <c r="AQ252" s="62">
        <f t="shared" si="88"/>
        <v>274.33333333333331</v>
      </c>
      <c r="AR252" s="11" t="str">
        <f>IF(AQ252&gt;='Aprovados Recursos do Fundo'!$AQ$1,"APROVADO","REPROVADO")</f>
        <v>APROVADO</v>
      </c>
      <c r="AS252" s="65"/>
      <c r="AT252" s="65"/>
      <c r="AU252" s="151"/>
      <c r="AV252" s="65"/>
      <c r="AW252" s="65"/>
      <c r="AX252" s="65"/>
      <c r="AY252" s="65"/>
      <c r="AZ252" s="65"/>
      <c r="BA252" s="65"/>
      <c r="BB252" s="65"/>
      <c r="BC252" s="34"/>
      <c r="BD252" s="65"/>
    </row>
    <row r="253" spans="2:58" s="64" customFormat="1" ht="39.950000000000003" customHeight="1" x14ac:dyDescent="0.25">
      <c r="B253" s="5">
        <v>399</v>
      </c>
      <c r="C253" s="27" t="s">
        <v>1990</v>
      </c>
      <c r="D253" s="100" t="s">
        <v>4181</v>
      </c>
      <c r="E253" s="5" t="s">
        <v>33</v>
      </c>
      <c r="F253" s="5" t="s">
        <v>1959</v>
      </c>
      <c r="G253" s="7" t="s">
        <v>1991</v>
      </c>
      <c r="H253" s="7" t="s">
        <v>107</v>
      </c>
      <c r="I253" s="8">
        <v>1318600</v>
      </c>
      <c r="J253" s="8">
        <f>I253-K253</f>
        <v>1280600</v>
      </c>
      <c r="K253" s="8">
        <v>38000</v>
      </c>
      <c r="L253" s="8">
        <f t="shared" ref="L253:L256" si="107">I253*1.2</f>
        <v>1582320</v>
      </c>
      <c r="M253" s="8">
        <f>80000+1000000+323000+75000+104320</f>
        <v>1582320</v>
      </c>
      <c r="N253" s="8">
        <f>L253-M253</f>
        <v>0</v>
      </c>
      <c r="O253" s="15">
        <f t="shared" ref="O253:O256" si="108">M253*0.83333332117758</f>
        <v>1318599.9807657083</v>
      </c>
      <c r="P253" s="15">
        <f t="shared" ref="P253:P256" si="109">M253*0.16666667882242</f>
        <v>263720.01923429163</v>
      </c>
      <c r="Q253" s="143">
        <f t="shared" ref="Q253" si="110">M253/L253</f>
        <v>1</v>
      </c>
      <c r="R253" s="136"/>
      <c r="S253" s="7" t="s">
        <v>290</v>
      </c>
      <c r="T253" s="7" t="s">
        <v>154</v>
      </c>
      <c r="U253" s="7" t="s">
        <v>1961</v>
      </c>
      <c r="V253" s="7">
        <v>1</v>
      </c>
      <c r="W253" s="9" t="s">
        <v>1962</v>
      </c>
      <c r="X253" s="10">
        <v>45322</v>
      </c>
      <c r="Y253" s="7" t="s">
        <v>41</v>
      </c>
      <c r="Z253" s="7"/>
      <c r="AA253" s="65"/>
      <c r="AB253" s="7">
        <v>294</v>
      </c>
      <c r="AC253" s="9">
        <v>218</v>
      </c>
      <c r="AD253" s="9"/>
      <c r="AE253" s="9">
        <v>254</v>
      </c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>
        <f t="shared" si="87"/>
        <v>3</v>
      </c>
      <c r="AQ253" s="62">
        <f t="shared" si="88"/>
        <v>255.33333333333334</v>
      </c>
      <c r="AR253" s="11" t="str">
        <f>IF(AQ253&gt;=$AR$1,"APROVADO","REPROVADO")</f>
        <v>APROVADO</v>
      </c>
      <c r="AS253" s="5" t="s">
        <v>4182</v>
      </c>
      <c r="AT253" s="11" t="s">
        <v>3387</v>
      </c>
      <c r="AU253" s="151" t="s">
        <v>4177</v>
      </c>
      <c r="AV253" s="65"/>
      <c r="AW253" s="65"/>
      <c r="AX253" s="65"/>
      <c r="AY253" s="65"/>
      <c r="AZ253" s="65"/>
      <c r="BA253" s="65"/>
      <c r="BB253" s="65"/>
      <c r="BC253" s="34">
        <v>46041</v>
      </c>
      <c r="BD253" s="140">
        <f>DAYS360(BC253,BD2)</f>
        <v>61</v>
      </c>
      <c r="BE253" s="64" t="s">
        <v>4183</v>
      </c>
    </row>
    <row r="254" spans="2:58" s="64" customFormat="1" ht="39.950000000000003" hidden="1" customHeight="1" x14ac:dyDescent="0.25">
      <c r="B254" s="5">
        <v>400</v>
      </c>
      <c r="C254" s="27" t="s">
        <v>1992</v>
      </c>
      <c r="D254" s="101" t="s">
        <v>4184</v>
      </c>
      <c r="E254" s="5" t="s">
        <v>33</v>
      </c>
      <c r="F254" s="5" t="s">
        <v>1993</v>
      </c>
      <c r="G254" s="7" t="s">
        <v>1994</v>
      </c>
      <c r="H254" s="7" t="s">
        <v>174</v>
      </c>
      <c r="I254" s="8">
        <v>206291.5</v>
      </c>
      <c r="J254" s="8"/>
      <c r="K254" s="8"/>
      <c r="L254" s="8">
        <f t="shared" si="107"/>
        <v>247549.8</v>
      </c>
      <c r="M254" s="8"/>
      <c r="N254" s="8"/>
      <c r="O254" s="15">
        <f t="shared" si="108"/>
        <v>0</v>
      </c>
      <c r="P254" s="15">
        <f t="shared" si="109"/>
        <v>0</v>
      </c>
      <c r="Q254" s="8"/>
      <c r="R254" s="8"/>
      <c r="S254" s="7" t="s">
        <v>1995</v>
      </c>
      <c r="T254" s="7" t="s">
        <v>1414</v>
      </c>
      <c r="U254" s="7" t="s">
        <v>1996</v>
      </c>
      <c r="V254" s="7"/>
      <c r="W254" s="9" t="s">
        <v>1997</v>
      </c>
      <c r="X254" s="10">
        <v>45322</v>
      </c>
      <c r="Y254" s="7" t="s">
        <v>41</v>
      </c>
      <c r="Z254" s="7"/>
      <c r="AA254" s="65"/>
      <c r="AB254" s="7">
        <v>340</v>
      </c>
      <c r="AC254" s="9">
        <v>189</v>
      </c>
      <c r="AD254" s="9"/>
      <c r="AE254" s="9"/>
      <c r="AF254" s="9"/>
      <c r="AG254" s="9"/>
      <c r="AH254" s="9"/>
      <c r="AI254" s="9"/>
      <c r="AJ254" s="9"/>
      <c r="AK254" s="9"/>
      <c r="AL254" s="9"/>
      <c r="AM254" s="9">
        <v>321</v>
      </c>
      <c r="AN254" s="9"/>
      <c r="AO254" s="9"/>
      <c r="AP254" s="9">
        <f t="shared" si="87"/>
        <v>3</v>
      </c>
      <c r="AQ254" s="62">
        <f t="shared" si="88"/>
        <v>283.33333333333331</v>
      </c>
      <c r="AR254" s="11" t="str">
        <f>IF(AQ254&gt;='Aprovados Recursos do Fundo'!$AQ$1,"APROVADO","REPROVADO")</f>
        <v>APROVADO</v>
      </c>
      <c r="AS254" s="65"/>
      <c r="AT254" s="65"/>
      <c r="AU254" s="151"/>
      <c r="AV254" s="65"/>
      <c r="AW254" s="65"/>
      <c r="AX254" s="65"/>
      <c r="AY254" s="65"/>
      <c r="AZ254" s="65"/>
      <c r="BA254" s="65"/>
      <c r="BB254" s="65"/>
      <c r="BC254" s="34"/>
      <c r="BD254" s="65"/>
    </row>
    <row r="255" spans="2:58" s="64" customFormat="1" ht="39.950000000000003" customHeight="1" x14ac:dyDescent="0.25">
      <c r="B255" s="5">
        <v>401</v>
      </c>
      <c r="C255" s="27" t="s">
        <v>1998</v>
      </c>
      <c r="D255" s="100" t="s">
        <v>4185</v>
      </c>
      <c r="E255" s="5" t="s">
        <v>33</v>
      </c>
      <c r="F255" s="5" t="s">
        <v>1999</v>
      </c>
      <c r="G255" s="7" t="s">
        <v>2000</v>
      </c>
      <c r="H255" s="7" t="s">
        <v>36</v>
      </c>
      <c r="I255" s="8">
        <v>250000</v>
      </c>
      <c r="J255" s="8">
        <f>I255</f>
        <v>250000</v>
      </c>
      <c r="K255" s="8">
        <v>0</v>
      </c>
      <c r="L255" s="8">
        <f t="shared" si="107"/>
        <v>300000</v>
      </c>
      <c r="M255" s="8">
        <v>300000</v>
      </c>
      <c r="N255" s="8">
        <f>L255-M255</f>
        <v>0</v>
      </c>
      <c r="O255" s="15">
        <f t="shared" si="108"/>
        <v>249999.99635327398</v>
      </c>
      <c r="P255" s="15">
        <f t="shared" si="109"/>
        <v>50000.003646726</v>
      </c>
      <c r="Q255" s="143">
        <f>M255/L255</f>
        <v>1</v>
      </c>
      <c r="R255" s="8"/>
      <c r="S255" s="7" t="s">
        <v>94</v>
      </c>
      <c r="T255" s="5" t="s">
        <v>95</v>
      </c>
      <c r="U255" s="7" t="s">
        <v>2001</v>
      </c>
      <c r="V255" s="7">
        <v>1</v>
      </c>
      <c r="W255" s="9" t="s">
        <v>2002</v>
      </c>
      <c r="X255" s="10">
        <v>45322</v>
      </c>
      <c r="Y255" s="7" t="s">
        <v>41</v>
      </c>
      <c r="Z255" s="7"/>
      <c r="AA255" s="65"/>
      <c r="AB255" s="7">
        <v>312</v>
      </c>
      <c r="AC255" s="9">
        <v>161</v>
      </c>
      <c r="AD255" s="9"/>
      <c r="AE255" s="9">
        <v>202</v>
      </c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>
        <f t="shared" si="87"/>
        <v>3</v>
      </c>
      <c r="AQ255" s="62">
        <f t="shared" si="88"/>
        <v>225</v>
      </c>
      <c r="AR255" s="11" t="str">
        <f>IF(AQ255&gt;=$AR$1,"APROVADO","REPROVADO")</f>
        <v>APROVADO</v>
      </c>
      <c r="AS255" s="7" t="s">
        <v>4186</v>
      </c>
      <c r="AT255" s="11" t="s">
        <v>4187</v>
      </c>
      <c r="AU255" s="151" t="s">
        <v>2973</v>
      </c>
      <c r="AV255" s="65"/>
      <c r="AW255" s="65"/>
      <c r="AX255" s="65"/>
      <c r="AY255" s="65"/>
      <c r="AZ255" s="65"/>
      <c r="BA255" s="65"/>
      <c r="BB255" s="65"/>
      <c r="BC255" s="34">
        <v>46093</v>
      </c>
      <c r="BD255" s="140">
        <f>DAYS360(BC255,BD2)</f>
        <v>8</v>
      </c>
      <c r="BE255" s="146" t="s">
        <v>4188</v>
      </c>
    </row>
    <row r="256" spans="2:58" s="64" customFormat="1" ht="39.950000000000003" customHeight="1" x14ac:dyDescent="0.25">
      <c r="B256" s="5">
        <v>402</v>
      </c>
      <c r="C256" s="27" t="s">
        <v>2003</v>
      </c>
      <c r="D256" s="100" t="s">
        <v>4189</v>
      </c>
      <c r="E256" s="5" t="s">
        <v>33</v>
      </c>
      <c r="F256" s="5" t="s">
        <v>1999</v>
      </c>
      <c r="G256" s="7" t="s">
        <v>2004</v>
      </c>
      <c r="H256" s="7" t="s">
        <v>36</v>
      </c>
      <c r="I256" s="8">
        <v>136400</v>
      </c>
      <c r="J256" s="8">
        <v>0</v>
      </c>
      <c r="K256" s="8">
        <f>I256</f>
        <v>136400</v>
      </c>
      <c r="L256" s="8">
        <f t="shared" si="107"/>
        <v>163680</v>
      </c>
      <c r="M256" s="8">
        <v>163680</v>
      </c>
      <c r="N256" s="8">
        <f>L256-M256</f>
        <v>0</v>
      </c>
      <c r="O256" s="15">
        <f t="shared" si="108"/>
        <v>136399.99801034629</v>
      </c>
      <c r="P256" s="15">
        <f t="shared" si="109"/>
        <v>27280.001989653705</v>
      </c>
      <c r="Q256" s="143">
        <f>M256/L256</f>
        <v>1</v>
      </c>
      <c r="R256" s="8"/>
      <c r="S256" s="7" t="s">
        <v>94</v>
      </c>
      <c r="T256" s="5" t="s">
        <v>95</v>
      </c>
      <c r="U256" s="7" t="s">
        <v>2001</v>
      </c>
      <c r="V256" s="7">
        <v>1</v>
      </c>
      <c r="W256" s="9" t="s">
        <v>2002</v>
      </c>
      <c r="X256" s="10">
        <v>45322</v>
      </c>
      <c r="Y256" s="7" t="s">
        <v>41</v>
      </c>
      <c r="Z256" s="7"/>
      <c r="AA256" s="65"/>
      <c r="AB256" s="7">
        <v>340</v>
      </c>
      <c r="AC256" s="9">
        <v>195</v>
      </c>
      <c r="AD256" s="9"/>
      <c r="AE256" s="9">
        <v>208</v>
      </c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>
        <f t="shared" si="87"/>
        <v>3</v>
      </c>
      <c r="AQ256" s="62">
        <f t="shared" si="88"/>
        <v>247.66666666666666</v>
      </c>
      <c r="AR256" s="11" t="str">
        <f>IF(AQ256&gt;='Aprovados Recursos do Fundo'!$AQ$1,"APROVADO","REPROVADO")</f>
        <v>APROVADO</v>
      </c>
      <c r="AS256" s="7" t="s">
        <v>4190</v>
      </c>
      <c r="AT256" s="65" t="s">
        <v>3631</v>
      </c>
      <c r="AU256" s="151" t="s">
        <v>3632</v>
      </c>
      <c r="AV256" s="171">
        <v>46059</v>
      </c>
      <c r="AW256" s="171">
        <f>EDATE(AV256,12)</f>
        <v>46424</v>
      </c>
      <c r="AX256" s="171">
        <v>46062</v>
      </c>
      <c r="AY256" s="65"/>
      <c r="AZ256" s="65"/>
      <c r="BA256" s="5" t="s">
        <v>4191</v>
      </c>
      <c r="BB256" s="65"/>
      <c r="BC256" s="34">
        <v>46063</v>
      </c>
      <c r="BD256" s="140">
        <f>_xlfn.DAYS(BD2,BC256)</f>
        <v>38</v>
      </c>
      <c r="BE256" s="158" t="s">
        <v>4192</v>
      </c>
      <c r="BF256" s="64" t="s">
        <v>4193</v>
      </c>
    </row>
    <row r="257" spans="2:56" s="64" customFormat="1" ht="39.950000000000003" hidden="1" customHeight="1" x14ac:dyDescent="0.25">
      <c r="B257" s="5">
        <v>403</v>
      </c>
      <c r="C257" s="27" t="s">
        <v>2005</v>
      </c>
      <c r="D257" s="99"/>
      <c r="E257" s="5" t="s">
        <v>51</v>
      </c>
      <c r="F257" s="5" t="s">
        <v>2006</v>
      </c>
      <c r="G257" s="7" t="s">
        <v>2007</v>
      </c>
      <c r="H257" s="7" t="s">
        <v>107</v>
      </c>
      <c r="I257" s="41">
        <v>200000</v>
      </c>
      <c r="J257" s="41"/>
      <c r="K257" s="41"/>
      <c r="L257" s="8">
        <v>240000</v>
      </c>
      <c r="M257" s="41"/>
      <c r="N257" s="41"/>
      <c r="O257" s="41"/>
      <c r="P257" s="41"/>
      <c r="Q257" s="143"/>
      <c r="R257" s="41"/>
      <c r="S257" s="9" t="s">
        <v>2008</v>
      </c>
      <c r="T257" s="11" t="s">
        <v>141</v>
      </c>
      <c r="U257" s="9" t="s">
        <v>2009</v>
      </c>
      <c r="V257" s="9"/>
      <c r="W257" s="67" t="s">
        <v>2010</v>
      </c>
      <c r="X257" s="34">
        <v>45322</v>
      </c>
      <c r="Y257" s="9" t="s">
        <v>41</v>
      </c>
      <c r="Z257" s="9"/>
      <c r="AA257" s="65"/>
      <c r="AB257" s="9">
        <v>322</v>
      </c>
      <c r="AC257" s="9">
        <v>175</v>
      </c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>
        <v>340</v>
      </c>
      <c r="AO257" s="65"/>
      <c r="AP257" s="9">
        <f t="shared" si="87"/>
        <v>3</v>
      </c>
      <c r="AQ257" s="62">
        <f t="shared" si="88"/>
        <v>279</v>
      </c>
      <c r="AR257" s="11" t="str">
        <f>IF(AQ257&gt;='Aprovados Recursos do Fundo'!$AQ$1,"APROVADO","REPROVADO")</f>
        <v>APROVADO</v>
      </c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34"/>
      <c r="BD257" s="65"/>
    </row>
    <row r="258" spans="2:56" s="64" customFormat="1" ht="39.950000000000003" hidden="1" customHeight="1" x14ac:dyDescent="0.25">
      <c r="B258" s="5">
        <v>405</v>
      </c>
      <c r="C258" s="6" t="s">
        <v>2016</v>
      </c>
      <c r="D258" s="100" t="s">
        <v>4194</v>
      </c>
      <c r="E258" s="5" t="s">
        <v>33</v>
      </c>
      <c r="F258" s="5" t="s">
        <v>2017</v>
      </c>
      <c r="G258" s="7" t="s">
        <v>2018</v>
      </c>
      <c r="H258" s="7" t="s">
        <v>107</v>
      </c>
      <c r="I258" s="8">
        <v>718800</v>
      </c>
      <c r="J258" s="8"/>
      <c r="K258" s="8"/>
      <c r="L258" s="8">
        <f t="shared" ref="L258:L264" si="111">I258*1.2</f>
        <v>862560</v>
      </c>
      <c r="M258" s="8"/>
      <c r="N258" s="8"/>
      <c r="O258" s="15">
        <f t="shared" ref="O258:O264" si="112">M258*0.83333332117758</f>
        <v>0</v>
      </c>
      <c r="P258" s="15">
        <f t="shared" ref="P258:P264" si="113">M258*0.16666667882242</f>
        <v>0</v>
      </c>
      <c r="Q258" s="143"/>
      <c r="R258" s="8"/>
      <c r="S258" s="7" t="s">
        <v>73</v>
      </c>
      <c r="T258" s="7" t="s">
        <v>74</v>
      </c>
      <c r="U258" s="7" t="s">
        <v>2019</v>
      </c>
      <c r="V258" s="7">
        <v>1</v>
      </c>
      <c r="W258" s="9" t="s">
        <v>2020</v>
      </c>
      <c r="X258" s="10">
        <v>45322</v>
      </c>
      <c r="Y258" s="7" t="s">
        <v>67</v>
      </c>
      <c r="Z258" s="7"/>
      <c r="AA258" s="65"/>
      <c r="AB258" s="7">
        <v>257</v>
      </c>
      <c r="AC258" s="9"/>
      <c r="AD258" s="9"/>
      <c r="AE258" s="9"/>
      <c r="AF258" s="9"/>
      <c r="AG258" s="9"/>
      <c r="AH258" s="9">
        <v>275</v>
      </c>
      <c r="AI258" s="9"/>
      <c r="AJ258" s="9">
        <v>340</v>
      </c>
      <c r="AK258" s="9"/>
      <c r="AL258" s="9"/>
      <c r="AM258" s="9"/>
      <c r="AN258" s="9"/>
      <c r="AO258" s="9"/>
      <c r="AP258" s="9">
        <f t="shared" si="87"/>
        <v>3</v>
      </c>
      <c r="AQ258" s="62">
        <f t="shared" si="88"/>
        <v>290.66666666666669</v>
      </c>
      <c r="AR258" s="11" t="str">
        <f>IF(AQ258&gt;='Aprovados Recursos do Fundo'!$AQ$1,"APROVADO","REPROVADO")</f>
        <v>APROVADO</v>
      </c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34"/>
      <c r="BD258" s="65"/>
    </row>
    <row r="259" spans="2:56" s="64" customFormat="1" ht="39.950000000000003" hidden="1" customHeight="1" x14ac:dyDescent="0.25">
      <c r="B259" s="5">
        <v>406</v>
      </c>
      <c r="C259" s="27" t="s">
        <v>2021</v>
      </c>
      <c r="D259" s="100" t="s">
        <v>4195</v>
      </c>
      <c r="E259" s="5" t="s">
        <v>33</v>
      </c>
      <c r="F259" s="5" t="s">
        <v>2022</v>
      </c>
      <c r="G259" s="7" t="s">
        <v>2023</v>
      </c>
      <c r="H259" s="7" t="s">
        <v>36</v>
      </c>
      <c r="I259" s="8">
        <v>168000</v>
      </c>
      <c r="J259" s="8"/>
      <c r="K259" s="8"/>
      <c r="L259" s="8">
        <f t="shared" si="111"/>
        <v>201600</v>
      </c>
      <c r="M259" s="8"/>
      <c r="N259" s="8"/>
      <c r="O259" s="15">
        <f t="shared" si="112"/>
        <v>0</v>
      </c>
      <c r="P259" s="15">
        <f t="shared" si="113"/>
        <v>0</v>
      </c>
      <c r="Q259" s="143"/>
      <c r="R259" s="8"/>
      <c r="S259" s="7" t="s">
        <v>2024</v>
      </c>
      <c r="T259" s="7" t="s">
        <v>47</v>
      </c>
      <c r="U259" s="7" t="s">
        <v>2025</v>
      </c>
      <c r="V259" s="7">
        <v>1</v>
      </c>
      <c r="W259" s="9" t="s">
        <v>2026</v>
      </c>
      <c r="X259" s="10">
        <v>45322</v>
      </c>
      <c r="Y259" s="7" t="s">
        <v>41</v>
      </c>
      <c r="Z259" s="7"/>
      <c r="AA259" s="65"/>
      <c r="AB259" s="7">
        <v>340</v>
      </c>
      <c r="AC259" s="9">
        <v>177</v>
      </c>
      <c r="AD259" s="9"/>
      <c r="AE259" s="9">
        <v>203</v>
      </c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>
        <f t="shared" si="87"/>
        <v>3</v>
      </c>
      <c r="AQ259" s="62">
        <f t="shared" si="88"/>
        <v>240</v>
      </c>
      <c r="AR259" s="11" t="str">
        <f>IF(AQ259&gt;='Aprovados Recursos do Fundo'!$AQ$1,"APROVADO","REPROVADO")</f>
        <v>APROVADO</v>
      </c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34"/>
      <c r="BD259" s="65"/>
    </row>
    <row r="260" spans="2:56" s="64" customFormat="1" ht="39.950000000000003" hidden="1" customHeight="1" x14ac:dyDescent="0.25">
      <c r="B260" s="5">
        <v>407</v>
      </c>
      <c r="C260" s="6" t="s">
        <v>2027</v>
      </c>
      <c r="D260" s="101" t="s">
        <v>4196</v>
      </c>
      <c r="E260" s="5" t="s">
        <v>33</v>
      </c>
      <c r="F260" s="58" t="s">
        <v>2028</v>
      </c>
      <c r="G260" s="7" t="s">
        <v>2029</v>
      </c>
      <c r="H260" s="7" t="s">
        <v>107</v>
      </c>
      <c r="I260" s="8">
        <v>400000</v>
      </c>
      <c r="J260" s="8"/>
      <c r="K260" s="8"/>
      <c r="L260" s="8">
        <f t="shared" si="111"/>
        <v>480000</v>
      </c>
      <c r="M260" s="8"/>
      <c r="N260" s="8"/>
      <c r="O260" s="15">
        <f t="shared" si="112"/>
        <v>0</v>
      </c>
      <c r="P260" s="15">
        <f t="shared" si="113"/>
        <v>0</v>
      </c>
      <c r="Q260" s="143"/>
      <c r="R260" s="8"/>
      <c r="S260" s="7" t="s">
        <v>73</v>
      </c>
      <c r="T260" s="5" t="s">
        <v>74</v>
      </c>
      <c r="U260" s="7" t="s">
        <v>2030</v>
      </c>
      <c r="V260" s="7"/>
      <c r="W260" s="9" t="s">
        <v>2031</v>
      </c>
      <c r="X260" s="10">
        <v>45322</v>
      </c>
      <c r="Y260" s="7" t="s">
        <v>67</v>
      </c>
      <c r="Z260" s="7"/>
      <c r="AA260" s="65"/>
      <c r="AB260" s="7">
        <v>285</v>
      </c>
      <c r="AC260" s="9"/>
      <c r="AD260" s="9"/>
      <c r="AE260" s="9"/>
      <c r="AF260" s="9"/>
      <c r="AG260" s="9"/>
      <c r="AH260" s="9"/>
      <c r="AI260" s="9">
        <v>320</v>
      </c>
      <c r="AJ260" s="9"/>
      <c r="AK260" s="9"/>
      <c r="AL260" s="9"/>
      <c r="AM260" s="9"/>
      <c r="AN260" s="9">
        <v>152</v>
      </c>
      <c r="AO260" s="9"/>
      <c r="AP260" s="9">
        <f t="shared" ref="AP260:AP323" si="114">COUNT(AB260:AO260)</f>
        <v>3</v>
      </c>
      <c r="AQ260" s="62">
        <f t="shared" ref="AQ260:AQ323" si="115">AVERAGE(AB260:AO260)</f>
        <v>252.33333333333334</v>
      </c>
      <c r="AR260" s="11" t="str">
        <f>IF(AQ260&gt;=$AR$1,"APROVADO","REPROVADO")</f>
        <v>APROVADO</v>
      </c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34"/>
      <c r="BD260" s="65"/>
    </row>
    <row r="261" spans="2:56" s="64" customFormat="1" ht="25.5" hidden="1" x14ac:dyDescent="0.25">
      <c r="B261" s="5">
        <v>409</v>
      </c>
      <c r="C261" s="6" t="s">
        <v>2034</v>
      </c>
      <c r="D261" s="100" t="s">
        <v>4197</v>
      </c>
      <c r="E261" s="5" t="s">
        <v>33</v>
      </c>
      <c r="F261" s="58" t="s">
        <v>2028</v>
      </c>
      <c r="G261" s="7" t="s">
        <v>2035</v>
      </c>
      <c r="H261" s="7" t="s">
        <v>107</v>
      </c>
      <c r="I261" s="8">
        <v>300000</v>
      </c>
      <c r="J261" s="8"/>
      <c r="K261" s="8"/>
      <c r="L261" s="8">
        <f t="shared" si="111"/>
        <v>360000</v>
      </c>
      <c r="M261" s="8"/>
      <c r="N261" s="8"/>
      <c r="O261" s="15">
        <f t="shared" si="112"/>
        <v>0</v>
      </c>
      <c r="P261" s="15">
        <f t="shared" si="113"/>
        <v>0</v>
      </c>
      <c r="Q261" s="143"/>
      <c r="R261" s="8"/>
      <c r="S261" s="7" t="s">
        <v>73</v>
      </c>
      <c r="T261" s="5" t="s">
        <v>74</v>
      </c>
      <c r="U261" s="7" t="s">
        <v>2030</v>
      </c>
      <c r="V261" s="7">
        <v>1</v>
      </c>
      <c r="W261" s="9" t="s">
        <v>2031</v>
      </c>
      <c r="X261" s="10">
        <v>45322</v>
      </c>
      <c r="Y261" s="7" t="s">
        <v>67</v>
      </c>
      <c r="Z261" s="7"/>
      <c r="AA261" s="65"/>
      <c r="AB261" s="7">
        <v>284</v>
      </c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>
        <v>275</v>
      </c>
      <c r="AN261" s="9">
        <v>175</v>
      </c>
      <c r="AO261" s="9"/>
      <c r="AP261" s="9">
        <f t="shared" si="114"/>
        <v>3</v>
      </c>
      <c r="AQ261" s="62">
        <f t="shared" si="115"/>
        <v>244.66666666666666</v>
      </c>
      <c r="AR261" s="11" t="str">
        <f>IF(AQ261&gt;=$AR$1,"APROVADO","REPROVADO")</f>
        <v>APROVADO</v>
      </c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34"/>
      <c r="BD261" s="65"/>
    </row>
    <row r="262" spans="2:56" s="64" customFormat="1" ht="39.950000000000003" hidden="1" customHeight="1" x14ac:dyDescent="0.25">
      <c r="B262" s="5">
        <v>411</v>
      </c>
      <c r="C262" s="27" t="s">
        <v>2038</v>
      </c>
      <c r="D262" s="100" t="s">
        <v>4198</v>
      </c>
      <c r="E262" s="5" t="s">
        <v>33</v>
      </c>
      <c r="F262" s="5" t="s">
        <v>2039</v>
      </c>
      <c r="G262" s="7" t="s">
        <v>2040</v>
      </c>
      <c r="H262" s="7" t="s">
        <v>36</v>
      </c>
      <c r="I262" s="8">
        <v>78400</v>
      </c>
      <c r="J262" s="8"/>
      <c r="K262" s="8"/>
      <c r="L262" s="8">
        <f t="shared" si="111"/>
        <v>94080</v>
      </c>
      <c r="M262" s="8"/>
      <c r="N262" s="8"/>
      <c r="O262" s="15">
        <f t="shared" si="112"/>
        <v>0</v>
      </c>
      <c r="P262" s="15">
        <f t="shared" si="113"/>
        <v>0</v>
      </c>
      <c r="Q262" s="143"/>
      <c r="R262" s="8"/>
      <c r="S262" s="7" t="s">
        <v>2024</v>
      </c>
      <c r="T262" s="7" t="s">
        <v>47</v>
      </c>
      <c r="U262" s="7" t="s">
        <v>2041</v>
      </c>
      <c r="V262" s="7">
        <v>1</v>
      </c>
      <c r="W262" s="9" t="s">
        <v>2042</v>
      </c>
      <c r="X262" s="10">
        <v>45322</v>
      </c>
      <c r="Y262" s="7" t="s">
        <v>41</v>
      </c>
      <c r="Z262" s="7"/>
      <c r="AA262" s="65"/>
      <c r="AB262" s="7">
        <v>335</v>
      </c>
      <c r="AC262" s="9">
        <v>177</v>
      </c>
      <c r="AD262" s="9"/>
      <c r="AE262" s="9">
        <v>201</v>
      </c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>
        <f t="shared" si="114"/>
        <v>3</v>
      </c>
      <c r="AQ262" s="62">
        <f t="shared" si="115"/>
        <v>237.66666666666666</v>
      </c>
      <c r="AR262" s="11" t="str">
        <f>IF(AQ262&gt;='Aprovados Recursos do Fundo'!$AQ$1,"APROVADO","REPROVADO")</f>
        <v>APROVADO</v>
      </c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34"/>
      <c r="BD262" s="65"/>
    </row>
    <row r="263" spans="2:56" s="64" customFormat="1" ht="39.950000000000003" hidden="1" customHeight="1" x14ac:dyDescent="0.25">
      <c r="B263" s="5">
        <v>416</v>
      </c>
      <c r="C263" s="27" t="s">
        <v>2057</v>
      </c>
      <c r="D263" s="101" t="s">
        <v>4199</v>
      </c>
      <c r="E263" s="5" t="s">
        <v>33</v>
      </c>
      <c r="F263" s="5" t="s">
        <v>2053</v>
      </c>
      <c r="G263" s="7" t="s">
        <v>2058</v>
      </c>
      <c r="H263" s="7" t="s">
        <v>36</v>
      </c>
      <c r="I263" s="49">
        <v>323278.44</v>
      </c>
      <c r="J263" s="49"/>
      <c r="K263" s="49"/>
      <c r="L263" s="8">
        <f t="shared" si="111"/>
        <v>387934.12799999997</v>
      </c>
      <c r="M263" s="49">
        <v>385000</v>
      </c>
      <c r="N263" s="8">
        <f>L263-M263</f>
        <v>2934.1279999999679</v>
      </c>
      <c r="O263" s="15">
        <f t="shared" si="112"/>
        <v>320833.32865336828</v>
      </c>
      <c r="P263" s="15">
        <f t="shared" si="113"/>
        <v>64166.671346631701</v>
      </c>
      <c r="Q263" s="143">
        <f>M263/L263</f>
        <v>0.99243653035857682</v>
      </c>
      <c r="R263" s="49"/>
      <c r="S263" s="7" t="s">
        <v>253</v>
      </c>
      <c r="T263" s="7" t="s">
        <v>254</v>
      </c>
      <c r="U263" s="9" t="s">
        <v>2055</v>
      </c>
      <c r="V263" s="9"/>
      <c r="W263" s="31" t="s">
        <v>2056</v>
      </c>
      <c r="X263" s="10">
        <v>45322</v>
      </c>
      <c r="Y263" s="7" t="s">
        <v>41</v>
      </c>
      <c r="Z263" s="9"/>
      <c r="AA263" s="65"/>
      <c r="AB263" s="7">
        <v>334</v>
      </c>
      <c r="AC263" s="9">
        <v>86</v>
      </c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>
        <v>319</v>
      </c>
      <c r="AO263" s="9"/>
      <c r="AP263" s="9">
        <f t="shared" si="114"/>
        <v>3</v>
      </c>
      <c r="AQ263" s="62">
        <f t="shared" si="115"/>
        <v>246.33333333333334</v>
      </c>
      <c r="AR263" s="11" t="str">
        <f>IF(AQ263&gt;='Aprovados Recursos do Fundo'!$AQ$1,"APROVADO","REPROVADO")</f>
        <v>APROVADO</v>
      </c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34"/>
      <c r="BD263" s="65"/>
    </row>
    <row r="264" spans="2:56" s="64" customFormat="1" ht="39.950000000000003" hidden="1" customHeight="1" x14ac:dyDescent="0.25">
      <c r="B264" s="5">
        <v>419</v>
      </c>
      <c r="C264" s="6" t="s">
        <v>2069</v>
      </c>
      <c r="D264" s="101" t="s">
        <v>4200</v>
      </c>
      <c r="E264" s="5" t="s">
        <v>33</v>
      </c>
      <c r="F264" s="5" t="s">
        <v>2070</v>
      </c>
      <c r="G264" s="5" t="s">
        <v>2071</v>
      </c>
      <c r="H264" s="5" t="s">
        <v>36</v>
      </c>
      <c r="I264" s="17">
        <v>240000</v>
      </c>
      <c r="J264" s="17"/>
      <c r="K264" s="17"/>
      <c r="L264" s="8">
        <f t="shared" si="111"/>
        <v>288000</v>
      </c>
      <c r="M264" s="17"/>
      <c r="N264" s="17"/>
      <c r="O264" s="15">
        <f t="shared" si="112"/>
        <v>0</v>
      </c>
      <c r="P264" s="15">
        <f t="shared" si="113"/>
        <v>0</v>
      </c>
      <c r="Q264" s="143"/>
      <c r="R264" s="17"/>
      <c r="S264" s="7" t="s">
        <v>648</v>
      </c>
      <c r="T264" s="7" t="s">
        <v>254</v>
      </c>
      <c r="U264" s="5" t="s">
        <v>2072</v>
      </c>
      <c r="V264" s="5"/>
      <c r="W264" s="9" t="s">
        <v>2073</v>
      </c>
      <c r="X264" s="10">
        <v>45322</v>
      </c>
      <c r="Y264" s="5" t="s">
        <v>67</v>
      </c>
      <c r="Z264" s="7" t="s">
        <v>1357</v>
      </c>
      <c r="AA264" s="65"/>
      <c r="AB264" s="5">
        <v>183</v>
      </c>
      <c r="AC264" s="9"/>
      <c r="AD264" s="9"/>
      <c r="AE264" s="9"/>
      <c r="AF264" s="9"/>
      <c r="AG264" s="9">
        <v>249</v>
      </c>
      <c r="AH264" s="9">
        <v>249</v>
      </c>
      <c r="AI264" s="9"/>
      <c r="AJ264" s="9"/>
      <c r="AK264" s="9"/>
      <c r="AL264" s="9"/>
      <c r="AM264" s="9"/>
      <c r="AN264" s="9"/>
      <c r="AO264" s="9"/>
      <c r="AP264" s="9">
        <f t="shared" si="114"/>
        <v>3</v>
      </c>
      <c r="AQ264" s="62">
        <f t="shared" si="115"/>
        <v>227</v>
      </c>
      <c r="AR264" s="11" t="str">
        <f>IF(AQ264&gt;='Aprovados Recursos do Fundo'!$AQ$1,"APROVADO","REPROVADO")</f>
        <v>APROVADO</v>
      </c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34"/>
      <c r="BD264" s="65"/>
    </row>
    <row r="265" spans="2:56" s="64" customFormat="1" ht="39.950000000000003" hidden="1" customHeight="1" x14ac:dyDescent="0.25">
      <c r="B265" s="5">
        <v>422</v>
      </c>
      <c r="C265" s="27" t="s">
        <v>2085</v>
      </c>
      <c r="D265" s="99"/>
      <c r="E265" s="5" t="s">
        <v>51</v>
      </c>
      <c r="F265" s="58" t="s">
        <v>2086</v>
      </c>
      <c r="G265" s="7" t="s">
        <v>2087</v>
      </c>
      <c r="H265" s="7" t="s">
        <v>36</v>
      </c>
      <c r="I265" s="41">
        <v>1046576.89</v>
      </c>
      <c r="J265" s="41"/>
      <c r="K265" s="41"/>
      <c r="L265" s="8">
        <v>1255892.2679999999</v>
      </c>
      <c r="M265" s="41"/>
      <c r="N265" s="41"/>
      <c r="O265" s="41"/>
      <c r="P265" s="41"/>
      <c r="Q265" s="143"/>
      <c r="R265" s="41"/>
      <c r="S265" s="7" t="s">
        <v>2088</v>
      </c>
      <c r="T265" s="7" t="s">
        <v>95</v>
      </c>
      <c r="U265" s="9" t="s">
        <v>2089</v>
      </c>
      <c r="V265" s="9"/>
      <c r="W265" s="21" t="s">
        <v>2090</v>
      </c>
      <c r="X265" s="34">
        <v>45322</v>
      </c>
      <c r="Y265" s="9" t="s">
        <v>41</v>
      </c>
      <c r="Z265" s="9"/>
      <c r="AA265" s="65"/>
      <c r="AB265" s="9">
        <v>340</v>
      </c>
      <c r="AC265" s="9">
        <v>84</v>
      </c>
      <c r="AD265" s="9"/>
      <c r="AE265" s="9"/>
      <c r="AF265" s="9"/>
      <c r="AG265" s="9"/>
      <c r="AH265" s="9"/>
      <c r="AI265" s="9"/>
      <c r="AJ265" s="9"/>
      <c r="AK265" s="9">
        <v>253</v>
      </c>
      <c r="AL265" s="9"/>
      <c r="AM265" s="9"/>
      <c r="AN265" s="65"/>
      <c r="AO265" s="65"/>
      <c r="AP265" s="9">
        <f t="shared" si="114"/>
        <v>3</v>
      </c>
      <c r="AQ265" s="62">
        <f t="shared" si="115"/>
        <v>225.66666666666666</v>
      </c>
      <c r="AR265" s="11" t="str">
        <f>IF(AQ265&gt;=$AR$1,"APROVADO","REPROVADO")</f>
        <v>APROVADO</v>
      </c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34"/>
      <c r="BD265" s="65"/>
    </row>
    <row r="266" spans="2:56" s="64" customFormat="1" ht="39.950000000000003" hidden="1" customHeight="1" x14ac:dyDescent="0.25">
      <c r="B266" s="5">
        <v>423</v>
      </c>
      <c r="C266" s="27" t="s">
        <v>2091</v>
      </c>
      <c r="D266" s="99"/>
      <c r="E266" s="5" t="s">
        <v>51</v>
      </c>
      <c r="F266" s="58" t="s">
        <v>2086</v>
      </c>
      <c r="G266" s="7" t="s">
        <v>2092</v>
      </c>
      <c r="H266" s="7" t="s">
        <v>1453</v>
      </c>
      <c r="I266" s="41">
        <v>250000</v>
      </c>
      <c r="J266" s="41"/>
      <c r="K266" s="41"/>
      <c r="L266" s="8">
        <v>300000</v>
      </c>
      <c r="M266" s="41"/>
      <c r="N266" s="41"/>
      <c r="O266" s="41"/>
      <c r="P266" s="41"/>
      <c r="Q266" s="143"/>
      <c r="R266" s="41"/>
      <c r="S266" s="7" t="s">
        <v>2088</v>
      </c>
      <c r="T266" s="7" t="s">
        <v>95</v>
      </c>
      <c r="U266" s="9" t="s">
        <v>2089</v>
      </c>
      <c r="V266" s="9"/>
      <c r="W266" s="21" t="s">
        <v>2090</v>
      </c>
      <c r="X266" s="34">
        <v>45322</v>
      </c>
      <c r="Y266" s="9" t="s">
        <v>41</v>
      </c>
      <c r="Z266" s="9"/>
      <c r="AA266" s="65"/>
      <c r="AB266" s="9">
        <v>312</v>
      </c>
      <c r="AC266" s="9">
        <v>84</v>
      </c>
      <c r="AD266" s="9"/>
      <c r="AE266" s="9"/>
      <c r="AF266" s="9"/>
      <c r="AG266" s="9"/>
      <c r="AH266" s="9"/>
      <c r="AI266" s="9"/>
      <c r="AJ266" s="9"/>
      <c r="AK266" s="9">
        <v>259</v>
      </c>
      <c r="AL266" s="9"/>
      <c r="AM266" s="9"/>
      <c r="AN266" s="65"/>
      <c r="AO266" s="65"/>
      <c r="AP266" s="9">
        <f t="shared" si="114"/>
        <v>3</v>
      </c>
      <c r="AQ266" s="62">
        <f t="shared" si="115"/>
        <v>218.33333333333334</v>
      </c>
      <c r="AR266" s="11" t="str">
        <f>IF(AQ266&gt;=$AR$1,"APROVADO","REPROVADO")</f>
        <v>APROVADO</v>
      </c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34"/>
      <c r="BD266" s="65"/>
    </row>
    <row r="267" spans="2:56" s="64" customFormat="1" ht="39.950000000000003" hidden="1" customHeight="1" x14ac:dyDescent="0.25">
      <c r="B267" s="5">
        <v>424</v>
      </c>
      <c r="C267" s="27" t="s">
        <v>2093</v>
      </c>
      <c r="D267" s="60"/>
      <c r="E267" s="5" t="s">
        <v>51</v>
      </c>
      <c r="F267" s="7" t="s">
        <v>2086</v>
      </c>
      <c r="G267" s="7" t="s">
        <v>2094</v>
      </c>
      <c r="H267" s="7" t="s">
        <v>107</v>
      </c>
      <c r="I267" s="41">
        <v>177890</v>
      </c>
      <c r="J267" s="41"/>
      <c r="K267" s="41"/>
      <c r="L267" s="8">
        <v>213468</v>
      </c>
      <c r="M267" s="41"/>
      <c r="N267" s="41"/>
      <c r="O267" s="41"/>
      <c r="P267" s="41"/>
      <c r="Q267" s="143"/>
      <c r="R267" s="41"/>
      <c r="S267" s="7" t="s">
        <v>2088</v>
      </c>
      <c r="T267" s="7" t="s">
        <v>95</v>
      </c>
      <c r="U267" s="9" t="s">
        <v>2089</v>
      </c>
      <c r="V267" s="9"/>
      <c r="W267" s="21" t="s">
        <v>2090</v>
      </c>
      <c r="X267" s="34">
        <v>45322</v>
      </c>
      <c r="Y267" s="9" t="s">
        <v>41</v>
      </c>
      <c r="Z267" s="9"/>
      <c r="AA267" s="65"/>
      <c r="AB267" s="9">
        <v>309</v>
      </c>
      <c r="AC267" s="9">
        <v>78</v>
      </c>
      <c r="AD267" s="9"/>
      <c r="AE267" s="9"/>
      <c r="AF267" s="9"/>
      <c r="AG267" s="9"/>
      <c r="AH267" s="9"/>
      <c r="AI267" s="9"/>
      <c r="AJ267" s="9"/>
      <c r="AK267" s="9">
        <v>302</v>
      </c>
      <c r="AL267" s="9"/>
      <c r="AM267" s="9"/>
      <c r="AN267" s="65"/>
      <c r="AO267" s="65"/>
      <c r="AP267" s="9">
        <f t="shared" si="114"/>
        <v>3</v>
      </c>
      <c r="AQ267" s="62">
        <f t="shared" si="115"/>
        <v>229.66666666666666</v>
      </c>
      <c r="AR267" s="11" t="str">
        <f>IF(AQ267&gt;='Aprovados Recursos do Fundo'!$AQ$1,"APROVADO","REPROVADO")</f>
        <v>APROVADO</v>
      </c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34"/>
      <c r="BD267" s="65"/>
    </row>
    <row r="268" spans="2:56" s="64" customFormat="1" ht="39.950000000000003" hidden="1" customHeight="1" x14ac:dyDescent="0.25">
      <c r="B268" s="5">
        <v>428</v>
      </c>
      <c r="C268" s="6" t="s">
        <v>2108</v>
      </c>
      <c r="D268" s="101" t="s">
        <v>4201</v>
      </c>
      <c r="E268" s="5" t="s">
        <v>33</v>
      </c>
      <c r="F268" s="58" t="s">
        <v>3623</v>
      </c>
      <c r="G268" s="5" t="s">
        <v>2109</v>
      </c>
      <c r="H268" s="5" t="s">
        <v>36</v>
      </c>
      <c r="I268" s="17">
        <v>5500000</v>
      </c>
      <c r="J268" s="17"/>
      <c r="K268" s="17"/>
      <c r="L268" s="8">
        <f>I268*1.2</f>
        <v>6600000</v>
      </c>
      <c r="M268" s="17"/>
      <c r="N268" s="17"/>
      <c r="O268" s="15">
        <f>M268*0.83333332117758</f>
        <v>0</v>
      </c>
      <c r="P268" s="15">
        <f>M268*0.16666667882242</f>
        <v>0</v>
      </c>
      <c r="Q268" s="143"/>
      <c r="R268" s="17"/>
      <c r="S268" s="7" t="s">
        <v>73</v>
      </c>
      <c r="T268" s="5" t="s">
        <v>74</v>
      </c>
      <c r="U268" s="5" t="s">
        <v>2110</v>
      </c>
      <c r="V268" s="5"/>
      <c r="W268" s="9" t="s">
        <v>2107</v>
      </c>
      <c r="X268" s="10">
        <v>45322</v>
      </c>
      <c r="Y268" s="5" t="s">
        <v>67</v>
      </c>
      <c r="Z268" s="7" t="s">
        <v>2111</v>
      </c>
      <c r="AA268" s="65"/>
      <c r="AB268" s="5">
        <v>301</v>
      </c>
      <c r="AC268" s="9"/>
      <c r="AD268" s="9"/>
      <c r="AE268" s="9"/>
      <c r="AF268" s="9"/>
      <c r="AG268" s="9"/>
      <c r="AH268" s="9"/>
      <c r="AI268" s="9">
        <v>292</v>
      </c>
      <c r="AJ268" s="9">
        <v>303</v>
      </c>
      <c r="AK268" s="9"/>
      <c r="AL268" s="9"/>
      <c r="AM268" s="9"/>
      <c r="AN268" s="9"/>
      <c r="AO268" s="9"/>
      <c r="AP268" s="9">
        <f t="shared" si="114"/>
        <v>3</v>
      </c>
      <c r="AQ268" s="62">
        <f t="shared" si="115"/>
        <v>298.66666666666669</v>
      </c>
      <c r="AR268" s="11" t="str">
        <f>IF(AQ268&gt;=$AR$1,"APROVADO","REPROVADO")</f>
        <v>APROVADO</v>
      </c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34"/>
      <c r="BD268" s="65"/>
    </row>
    <row r="269" spans="2:56" s="64" customFormat="1" ht="39.950000000000003" hidden="1" customHeight="1" x14ac:dyDescent="0.25">
      <c r="B269" s="5">
        <v>433</v>
      </c>
      <c r="C269" s="6" t="s">
        <v>2131</v>
      </c>
      <c r="D269" s="99"/>
      <c r="E269" s="5" t="s">
        <v>51</v>
      </c>
      <c r="F269" s="7" t="s">
        <v>594</v>
      </c>
      <c r="G269" s="7" t="s">
        <v>2132</v>
      </c>
      <c r="H269" s="7" t="s">
        <v>36</v>
      </c>
      <c r="I269" s="41">
        <v>1764030</v>
      </c>
      <c r="J269" s="41"/>
      <c r="K269" s="41"/>
      <c r="L269" s="8">
        <v>2116836</v>
      </c>
      <c r="M269" s="41"/>
      <c r="N269" s="41"/>
      <c r="O269" s="41"/>
      <c r="P269" s="41"/>
      <c r="Q269" s="143"/>
      <c r="R269" s="41"/>
      <c r="S269" s="9" t="s">
        <v>596</v>
      </c>
      <c r="T269" s="11" t="s">
        <v>597</v>
      </c>
      <c r="U269" s="9" t="s">
        <v>2133</v>
      </c>
      <c r="V269" s="9"/>
      <c r="W269" s="67" t="s">
        <v>2134</v>
      </c>
      <c r="X269" s="34">
        <v>45322</v>
      </c>
      <c r="Y269" s="9" t="s">
        <v>57</v>
      </c>
      <c r="Z269" s="9"/>
      <c r="AA269" s="65"/>
      <c r="AB269" s="9">
        <v>253</v>
      </c>
      <c r="AC269" s="9"/>
      <c r="AD269" s="9">
        <v>265</v>
      </c>
      <c r="AE269" s="9"/>
      <c r="AF269" s="9"/>
      <c r="AG269" s="9"/>
      <c r="AH269" s="9"/>
      <c r="AI269" s="9">
        <v>335</v>
      </c>
      <c r="AJ269" s="9"/>
      <c r="AK269" s="9"/>
      <c r="AL269" s="9"/>
      <c r="AM269" s="9"/>
      <c r="AN269" s="65"/>
      <c r="AO269" s="65"/>
      <c r="AP269" s="9">
        <f t="shared" si="114"/>
        <v>3</v>
      </c>
      <c r="AQ269" s="62">
        <f t="shared" si="115"/>
        <v>284.33333333333331</v>
      </c>
      <c r="AR269" s="11" t="str">
        <f>IF(AQ269&gt;='Aprovados Recursos do Fundo'!$AQ$1,"APROVADO","REPROVADO")</f>
        <v>APROVADO</v>
      </c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34"/>
      <c r="BD269" s="65"/>
    </row>
    <row r="270" spans="2:56" s="64" customFormat="1" ht="39.950000000000003" customHeight="1" x14ac:dyDescent="0.25">
      <c r="B270" s="5">
        <v>435</v>
      </c>
      <c r="C270" s="6" t="s">
        <v>2141</v>
      </c>
      <c r="D270" s="100" t="s">
        <v>4202</v>
      </c>
      <c r="E270" s="5" t="s">
        <v>33</v>
      </c>
      <c r="F270" s="5" t="s">
        <v>2136</v>
      </c>
      <c r="G270" s="7" t="s">
        <v>2142</v>
      </c>
      <c r="H270" s="7" t="s">
        <v>336</v>
      </c>
      <c r="I270" s="8">
        <v>238400</v>
      </c>
      <c r="J270" s="8"/>
      <c r="K270" s="8"/>
      <c r="L270" s="8">
        <f t="shared" ref="L270:L279" si="116">I270*1.2</f>
        <v>286080</v>
      </c>
      <c r="M270" s="8">
        <f>200000+159000+127080</f>
        <v>486080</v>
      </c>
      <c r="N270" s="8">
        <f>L270-M270</f>
        <v>-200000</v>
      </c>
      <c r="O270" s="15">
        <f t="shared" ref="O270:O279" si="117">M270*0.83333332117758</f>
        <v>405066.66075799806</v>
      </c>
      <c r="P270" s="15">
        <f t="shared" ref="P270:P279" si="118">M270*0.16666667882242</f>
        <v>81013.339242001923</v>
      </c>
      <c r="Q270" s="143">
        <f>M270/L270</f>
        <v>1.6991051454138701</v>
      </c>
      <c r="R270" s="136"/>
      <c r="S270" s="7" t="s">
        <v>2138</v>
      </c>
      <c r="T270" s="7" t="s">
        <v>254</v>
      </c>
      <c r="U270" s="7" t="s">
        <v>2139</v>
      </c>
      <c r="V270" s="7">
        <v>1</v>
      </c>
      <c r="W270" s="9" t="s">
        <v>2140</v>
      </c>
      <c r="X270" s="10">
        <v>45322</v>
      </c>
      <c r="Y270" s="7" t="s">
        <v>67</v>
      </c>
      <c r="Z270" s="9"/>
      <c r="AA270" s="65"/>
      <c r="AB270" s="7">
        <v>309</v>
      </c>
      <c r="AC270" s="9"/>
      <c r="AD270" s="9"/>
      <c r="AE270" s="9"/>
      <c r="AF270" s="9"/>
      <c r="AG270" s="9">
        <v>340</v>
      </c>
      <c r="AH270" s="9">
        <v>313</v>
      </c>
      <c r="AI270" s="9"/>
      <c r="AJ270" s="9"/>
      <c r="AK270" s="9"/>
      <c r="AL270" s="9"/>
      <c r="AM270" s="9"/>
      <c r="AN270" s="9"/>
      <c r="AO270" s="9"/>
      <c r="AP270" s="9">
        <f t="shared" si="114"/>
        <v>3</v>
      </c>
      <c r="AQ270" s="62">
        <f t="shared" si="115"/>
        <v>320.66666666666669</v>
      </c>
      <c r="AR270" s="11" t="str">
        <f>IF(AQ270&gt;=$AR$1,"APROVADO","REPROVADO")</f>
        <v>APROVADO</v>
      </c>
      <c r="AS270" s="8" t="s">
        <v>4203</v>
      </c>
      <c r="AT270" s="8" t="s">
        <v>3387</v>
      </c>
      <c r="AU270" s="156" t="s">
        <v>3924</v>
      </c>
      <c r="AV270" s="65"/>
      <c r="AW270" s="65"/>
      <c r="AX270" s="65"/>
      <c r="AY270" s="65"/>
      <c r="AZ270" s="65"/>
      <c r="BA270" s="65"/>
      <c r="BB270" s="65"/>
      <c r="BC270" s="34">
        <v>46099</v>
      </c>
      <c r="BD270" s="140">
        <f>_xlfn.DAYS(BD2,BC270)</f>
        <v>2</v>
      </c>
    </row>
    <row r="271" spans="2:56" s="64" customFormat="1" ht="39.950000000000003" hidden="1" customHeight="1" x14ac:dyDescent="0.25">
      <c r="B271" s="5">
        <v>436</v>
      </c>
      <c r="C271" s="6" t="s">
        <v>2143</v>
      </c>
      <c r="D271" s="100" t="s">
        <v>4204</v>
      </c>
      <c r="E271" s="5" t="s">
        <v>33</v>
      </c>
      <c r="F271" s="58" t="s">
        <v>2136</v>
      </c>
      <c r="G271" s="5" t="s">
        <v>2144</v>
      </c>
      <c r="H271" s="7" t="s">
        <v>107</v>
      </c>
      <c r="I271" s="8">
        <v>580000</v>
      </c>
      <c r="J271" s="8"/>
      <c r="K271" s="8"/>
      <c r="L271" s="8">
        <f t="shared" si="116"/>
        <v>696000</v>
      </c>
      <c r="M271" s="8"/>
      <c r="N271" s="8"/>
      <c r="O271" s="15">
        <f t="shared" si="117"/>
        <v>0</v>
      </c>
      <c r="P271" s="15">
        <f t="shared" si="118"/>
        <v>0</v>
      </c>
      <c r="Q271" s="143"/>
      <c r="R271" s="8"/>
      <c r="S271" s="7" t="s">
        <v>2138</v>
      </c>
      <c r="T271" s="7" t="s">
        <v>254</v>
      </c>
      <c r="U271" s="7" t="s">
        <v>2139</v>
      </c>
      <c r="V271" s="7">
        <v>1</v>
      </c>
      <c r="W271" s="9" t="s">
        <v>2140</v>
      </c>
      <c r="X271" s="10">
        <v>45322</v>
      </c>
      <c r="Y271" s="5" t="s">
        <v>67</v>
      </c>
      <c r="Z271" s="9"/>
      <c r="AA271" s="65"/>
      <c r="AB271" s="5">
        <v>311</v>
      </c>
      <c r="AC271" s="9"/>
      <c r="AD271" s="9"/>
      <c r="AE271" s="9"/>
      <c r="AF271" s="9"/>
      <c r="AG271" s="9"/>
      <c r="AH271" s="9">
        <v>317</v>
      </c>
      <c r="AI271" s="9">
        <v>327</v>
      </c>
      <c r="AJ271" s="9"/>
      <c r="AK271" s="9"/>
      <c r="AL271" s="9"/>
      <c r="AM271" s="9"/>
      <c r="AN271" s="9"/>
      <c r="AO271" s="9"/>
      <c r="AP271" s="9">
        <f t="shared" si="114"/>
        <v>3</v>
      </c>
      <c r="AQ271" s="62">
        <f t="shared" si="115"/>
        <v>318.33333333333331</v>
      </c>
      <c r="AR271" s="11" t="str">
        <f>IF(AQ271&gt;=$AR$1,"APROVADO","REPROVADO")</f>
        <v>APROVADO</v>
      </c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34"/>
      <c r="BD271" s="65"/>
    </row>
    <row r="272" spans="2:56" s="64" customFormat="1" ht="39.950000000000003" hidden="1" customHeight="1" x14ac:dyDescent="0.25">
      <c r="B272" s="5">
        <v>437</v>
      </c>
      <c r="C272" s="6" t="s">
        <v>2145</v>
      </c>
      <c r="D272" s="101" t="s">
        <v>4205</v>
      </c>
      <c r="E272" s="5" t="s">
        <v>33</v>
      </c>
      <c r="F272" s="58" t="s">
        <v>2146</v>
      </c>
      <c r="G272" s="7" t="s">
        <v>2147</v>
      </c>
      <c r="H272" s="7" t="s">
        <v>107</v>
      </c>
      <c r="I272" s="8">
        <v>424690</v>
      </c>
      <c r="J272" s="8"/>
      <c r="K272" s="8"/>
      <c r="L272" s="8">
        <f t="shared" si="116"/>
        <v>509628</v>
      </c>
      <c r="M272" s="8"/>
      <c r="N272" s="8"/>
      <c r="O272" s="15">
        <f t="shared" si="117"/>
        <v>0</v>
      </c>
      <c r="P272" s="15">
        <f t="shared" si="118"/>
        <v>0</v>
      </c>
      <c r="Q272" s="143"/>
      <c r="R272" s="8"/>
      <c r="S272" s="7" t="s">
        <v>73</v>
      </c>
      <c r="T272" s="5" t="s">
        <v>74</v>
      </c>
      <c r="U272" s="7" t="s">
        <v>2148</v>
      </c>
      <c r="V272" s="7"/>
      <c r="W272" s="9" t="s">
        <v>2149</v>
      </c>
      <c r="X272" s="10">
        <v>45322</v>
      </c>
      <c r="Y272" s="7" t="s">
        <v>67</v>
      </c>
      <c r="Z272" s="9"/>
      <c r="AA272" s="65"/>
      <c r="AB272" s="7">
        <v>279</v>
      </c>
      <c r="AC272" s="9"/>
      <c r="AD272" s="9"/>
      <c r="AE272" s="9"/>
      <c r="AF272" s="9"/>
      <c r="AG272" s="9">
        <v>283</v>
      </c>
      <c r="AH272" s="9">
        <v>299</v>
      </c>
      <c r="AI272" s="9"/>
      <c r="AJ272" s="9"/>
      <c r="AK272" s="9"/>
      <c r="AL272" s="9"/>
      <c r="AM272" s="9"/>
      <c r="AN272" s="9"/>
      <c r="AO272" s="9"/>
      <c r="AP272" s="9">
        <f t="shared" si="114"/>
        <v>3</v>
      </c>
      <c r="AQ272" s="62">
        <f t="shared" si="115"/>
        <v>287</v>
      </c>
      <c r="AR272" s="11" t="str">
        <f>IF(AQ272&gt;=$AR$1,"APROVADO","REPROVADO")</f>
        <v>APROVADO</v>
      </c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34"/>
      <c r="BD272" s="65"/>
    </row>
    <row r="273" spans="2:56" s="64" customFormat="1" ht="38.25" hidden="1" x14ac:dyDescent="0.25">
      <c r="B273" s="5">
        <v>439</v>
      </c>
      <c r="C273" s="6" t="s">
        <v>2152</v>
      </c>
      <c r="D273" s="101" t="s">
        <v>4206</v>
      </c>
      <c r="E273" s="5" t="s">
        <v>33</v>
      </c>
      <c r="F273" s="58" t="s">
        <v>2146</v>
      </c>
      <c r="G273" s="7" t="s">
        <v>2153</v>
      </c>
      <c r="H273" s="7" t="s">
        <v>107</v>
      </c>
      <c r="I273" s="8">
        <v>358226</v>
      </c>
      <c r="J273" s="8"/>
      <c r="K273" s="8"/>
      <c r="L273" s="8">
        <f t="shared" si="116"/>
        <v>429871.2</v>
      </c>
      <c r="M273" s="8"/>
      <c r="N273" s="8"/>
      <c r="O273" s="15">
        <f t="shared" si="117"/>
        <v>0</v>
      </c>
      <c r="P273" s="15">
        <f t="shared" si="118"/>
        <v>0</v>
      </c>
      <c r="Q273" s="143"/>
      <c r="R273" s="8"/>
      <c r="S273" s="7" t="s">
        <v>73</v>
      </c>
      <c r="T273" s="5" t="s">
        <v>74</v>
      </c>
      <c r="U273" s="7" t="s">
        <v>2148</v>
      </c>
      <c r="V273" s="7"/>
      <c r="W273" s="9" t="s">
        <v>2149</v>
      </c>
      <c r="X273" s="10">
        <v>45322</v>
      </c>
      <c r="Y273" s="7" t="s">
        <v>67</v>
      </c>
      <c r="Z273" s="9"/>
      <c r="AA273" s="65"/>
      <c r="AB273" s="7">
        <v>279</v>
      </c>
      <c r="AC273" s="9"/>
      <c r="AD273" s="9"/>
      <c r="AE273" s="9"/>
      <c r="AF273" s="9"/>
      <c r="AG273" s="9">
        <v>269</v>
      </c>
      <c r="AH273" s="9">
        <v>286</v>
      </c>
      <c r="AI273" s="9"/>
      <c r="AJ273" s="9"/>
      <c r="AK273" s="9"/>
      <c r="AL273" s="9"/>
      <c r="AM273" s="9"/>
      <c r="AN273" s="9"/>
      <c r="AO273" s="9"/>
      <c r="AP273" s="9">
        <f t="shared" si="114"/>
        <v>3</v>
      </c>
      <c r="AQ273" s="62">
        <f t="shared" si="115"/>
        <v>278</v>
      </c>
      <c r="AR273" s="11" t="str">
        <f>IF(AQ273&gt;=$AR$1,"APROVADO","REPROVADO")</f>
        <v>APROVADO</v>
      </c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34"/>
      <c r="BD273" s="65"/>
    </row>
    <row r="274" spans="2:56" s="64" customFormat="1" ht="39.950000000000003" customHeight="1" x14ac:dyDescent="0.25">
      <c r="B274" s="5">
        <v>440</v>
      </c>
      <c r="C274" s="27" t="s">
        <v>2154</v>
      </c>
      <c r="D274" s="100" t="s">
        <v>4207</v>
      </c>
      <c r="E274" s="5" t="s">
        <v>33</v>
      </c>
      <c r="F274" s="5" t="s">
        <v>3932</v>
      </c>
      <c r="G274" s="7" t="s">
        <v>2156</v>
      </c>
      <c r="H274" s="7" t="s">
        <v>36</v>
      </c>
      <c r="I274" s="8">
        <v>307058.67</v>
      </c>
      <c r="J274" s="8">
        <f>I274</f>
        <v>307058.67</v>
      </c>
      <c r="K274" s="8">
        <v>0</v>
      </c>
      <c r="L274" s="8">
        <f t="shared" si="116"/>
        <v>368470.40399999998</v>
      </c>
      <c r="M274" s="8">
        <f>368470.4</f>
        <v>368470.4</v>
      </c>
      <c r="N274" s="8">
        <f>L274-M274</f>
        <v>3.9999999571591616E-3</v>
      </c>
      <c r="O274" s="15">
        <f t="shared" si="117"/>
        <v>307058.66218763136</v>
      </c>
      <c r="P274" s="15">
        <f t="shared" si="118"/>
        <v>61411.737812368636</v>
      </c>
      <c r="Q274" s="143">
        <f>M274/L274</f>
        <v>0.99999998914431143</v>
      </c>
      <c r="R274" s="8"/>
      <c r="S274" s="7" t="s">
        <v>73</v>
      </c>
      <c r="T274" s="7" t="s">
        <v>74</v>
      </c>
      <c r="U274" s="7" t="s">
        <v>2157</v>
      </c>
      <c r="V274" s="7">
        <v>1</v>
      </c>
      <c r="W274" s="9" t="s">
        <v>2158</v>
      </c>
      <c r="X274" s="10">
        <v>45322</v>
      </c>
      <c r="Y274" s="7" t="s">
        <v>41</v>
      </c>
      <c r="Z274" s="9"/>
      <c r="AA274" s="65"/>
      <c r="AB274" s="7">
        <v>326</v>
      </c>
      <c r="AC274" s="9">
        <v>140</v>
      </c>
      <c r="AD274" s="9"/>
      <c r="AE274" s="9">
        <v>149</v>
      </c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>
        <f t="shared" si="114"/>
        <v>3</v>
      </c>
      <c r="AQ274" s="62">
        <f t="shared" si="115"/>
        <v>205</v>
      </c>
      <c r="AR274" s="11" t="str">
        <f>IF(AQ274&gt;=$AR$1,"APROVADO","REPROVADO")</f>
        <v>APROVADO</v>
      </c>
      <c r="AS274" s="5" t="s">
        <v>4208</v>
      </c>
      <c r="AT274" s="7" t="s">
        <v>4209</v>
      </c>
      <c r="AU274" s="151" t="s">
        <v>2973</v>
      </c>
      <c r="AV274" s="65"/>
      <c r="AW274" s="65"/>
      <c r="AX274" s="65"/>
      <c r="AY274" s="65"/>
      <c r="AZ274" s="65"/>
      <c r="BA274" s="65"/>
      <c r="BB274" s="65"/>
      <c r="BC274" s="34">
        <v>45974</v>
      </c>
      <c r="BD274" s="140">
        <f>_xlfn.DAYS(BD2,BC274)</f>
        <v>127</v>
      </c>
    </row>
    <row r="275" spans="2:56" s="64" customFormat="1" ht="39.950000000000003" customHeight="1" x14ac:dyDescent="0.25">
      <c r="B275" s="5">
        <v>441</v>
      </c>
      <c r="C275" s="27" t="s">
        <v>2159</v>
      </c>
      <c r="D275" s="100" t="s">
        <v>4210</v>
      </c>
      <c r="E275" s="5" t="s">
        <v>33</v>
      </c>
      <c r="F275" s="7" t="s">
        <v>3932</v>
      </c>
      <c r="G275" s="7" t="s">
        <v>2160</v>
      </c>
      <c r="H275" s="7" t="s">
        <v>36</v>
      </c>
      <c r="I275" s="8">
        <v>106832</v>
      </c>
      <c r="J275" s="8">
        <f>I275</f>
        <v>106832</v>
      </c>
      <c r="K275" s="8">
        <v>0</v>
      </c>
      <c r="L275" s="8">
        <f t="shared" si="116"/>
        <v>128198.39999999999</v>
      </c>
      <c r="M275" s="8">
        <f>106448.59+27749.81</f>
        <v>134198.39999999999</v>
      </c>
      <c r="N275" s="8">
        <f>L275-M275</f>
        <v>-6000</v>
      </c>
      <c r="O275" s="15">
        <f t="shared" si="117"/>
        <v>111831.99836871734</v>
      </c>
      <c r="P275" s="15">
        <f t="shared" si="118"/>
        <v>22366.401631282646</v>
      </c>
      <c r="Q275" s="143">
        <f t="shared" ref="Q275" si="119">M275/L275</f>
        <v>1.046802456192901</v>
      </c>
      <c r="R275" s="136"/>
      <c r="S275" s="7" t="s">
        <v>73</v>
      </c>
      <c r="T275" s="7" t="s">
        <v>74</v>
      </c>
      <c r="U275" s="7" t="s">
        <v>2157</v>
      </c>
      <c r="V275" s="7">
        <v>1</v>
      </c>
      <c r="W275" s="9" t="s">
        <v>2158</v>
      </c>
      <c r="X275" s="10">
        <v>45322</v>
      </c>
      <c r="Y275" s="7" t="s">
        <v>41</v>
      </c>
      <c r="Z275" s="9"/>
      <c r="AA275" s="65"/>
      <c r="AB275" s="7">
        <v>330</v>
      </c>
      <c r="AC275" s="9">
        <v>147</v>
      </c>
      <c r="AD275" s="9"/>
      <c r="AE275" s="9">
        <v>152</v>
      </c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>
        <f t="shared" si="114"/>
        <v>3</v>
      </c>
      <c r="AQ275" s="62">
        <f t="shared" si="115"/>
        <v>209.66666666666666</v>
      </c>
      <c r="AR275" s="11" t="str">
        <f>IF(AQ275&gt;='Aprovados Recursos do Fundo'!$AQ$1,"APROVADO","REPROVADO")</f>
        <v>APROVADO</v>
      </c>
      <c r="AS275" s="5" t="s">
        <v>4211</v>
      </c>
      <c r="AT275" s="7" t="s">
        <v>4212</v>
      </c>
      <c r="AU275" s="151" t="s">
        <v>2973</v>
      </c>
      <c r="AV275" s="65"/>
      <c r="AW275" s="65"/>
      <c r="AX275" s="65"/>
      <c r="AY275" s="65"/>
      <c r="AZ275" s="65"/>
      <c r="BA275" s="65"/>
      <c r="BB275" s="65"/>
      <c r="BC275" s="34">
        <v>45972</v>
      </c>
      <c r="BD275" s="140">
        <f>_xlfn.DAYS(BD2,BC275)</f>
        <v>129</v>
      </c>
    </row>
    <row r="276" spans="2:56" s="64" customFormat="1" ht="39.950000000000003" hidden="1" customHeight="1" x14ac:dyDescent="0.25">
      <c r="B276" s="5">
        <v>442</v>
      </c>
      <c r="C276" s="27" t="s">
        <v>2161</v>
      </c>
      <c r="D276" s="100" t="s">
        <v>4213</v>
      </c>
      <c r="E276" s="5" t="s">
        <v>33</v>
      </c>
      <c r="F276" s="5" t="s">
        <v>2162</v>
      </c>
      <c r="G276" s="7" t="s">
        <v>2163</v>
      </c>
      <c r="H276" s="7" t="s">
        <v>107</v>
      </c>
      <c r="I276" s="8">
        <v>500000</v>
      </c>
      <c r="J276" s="8"/>
      <c r="K276" s="8"/>
      <c r="L276" s="8">
        <f t="shared" si="116"/>
        <v>600000</v>
      </c>
      <c r="M276" s="8"/>
      <c r="N276" s="8"/>
      <c r="O276" s="15">
        <f t="shared" si="117"/>
        <v>0</v>
      </c>
      <c r="P276" s="15">
        <f t="shared" si="118"/>
        <v>0</v>
      </c>
      <c r="Q276" s="143"/>
      <c r="R276" s="8"/>
      <c r="S276" s="7" t="s">
        <v>253</v>
      </c>
      <c r="T276" s="7" t="s">
        <v>254</v>
      </c>
      <c r="U276" s="7" t="s">
        <v>2164</v>
      </c>
      <c r="V276" s="7">
        <v>1</v>
      </c>
      <c r="W276" s="31" t="s">
        <v>2165</v>
      </c>
      <c r="X276" s="10">
        <v>45322</v>
      </c>
      <c r="Y276" s="7" t="s">
        <v>41</v>
      </c>
      <c r="Z276" s="9"/>
      <c r="AA276" s="65"/>
      <c r="AB276" s="7">
        <v>294</v>
      </c>
      <c r="AC276" s="9">
        <v>207</v>
      </c>
      <c r="AD276" s="9"/>
      <c r="AE276" s="9">
        <v>227</v>
      </c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>
        <f t="shared" si="114"/>
        <v>3</v>
      </c>
      <c r="AQ276" s="62">
        <f t="shared" si="115"/>
        <v>242.66666666666666</v>
      </c>
      <c r="AR276" s="11" t="str">
        <f>IF(AQ276&gt;='Aprovados Recursos do Fundo'!$AQ$1,"APROVADO","REPROVADO")</f>
        <v>APROVADO</v>
      </c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34"/>
      <c r="BD276" s="65"/>
    </row>
    <row r="277" spans="2:56" s="64" customFormat="1" ht="39.950000000000003" hidden="1" customHeight="1" x14ac:dyDescent="0.25">
      <c r="B277" s="5">
        <v>444</v>
      </c>
      <c r="C277" s="6" t="s">
        <v>2172</v>
      </c>
      <c r="D277" s="100" t="s">
        <v>4214</v>
      </c>
      <c r="E277" s="5" t="s">
        <v>33</v>
      </c>
      <c r="F277" s="5" t="s">
        <v>2173</v>
      </c>
      <c r="G277" s="7" t="s">
        <v>2174</v>
      </c>
      <c r="H277" s="7" t="s">
        <v>336</v>
      </c>
      <c r="I277" s="49">
        <v>2997082.04</v>
      </c>
      <c r="J277" s="49"/>
      <c r="K277" s="49"/>
      <c r="L277" s="8">
        <f t="shared" si="116"/>
        <v>3596498.4479999999</v>
      </c>
      <c r="M277" s="49">
        <f>23212.39+500000+6500+70000+25000+6037.71+4459.8+7572+5936.8+5507.78+6131.25+3754.6+1489+17612+72851+50000+600000+914907.77+350000+50000+20389+15090+179611+12960+6305+705.41+5602.3+2480+5508+67965+112998+15000+10000+20000+21790.04+1907.08+1643.33+2500+800+4044.83</f>
        <v>3228271.0900000003</v>
      </c>
      <c r="N277" s="49">
        <f>L277-M277</f>
        <v>368227.35799999954</v>
      </c>
      <c r="O277" s="15">
        <f t="shared" si="117"/>
        <v>2690225.8690912663</v>
      </c>
      <c r="P277" s="15">
        <f t="shared" si="118"/>
        <v>538045.22090873378</v>
      </c>
      <c r="Q277" s="143">
        <f t="shared" ref="Q277:Q278" si="120">M277/L277</f>
        <v>0.8976150377029164</v>
      </c>
      <c r="R277" s="136"/>
      <c r="S277" s="7" t="s">
        <v>73</v>
      </c>
      <c r="T277" s="5" t="s">
        <v>74</v>
      </c>
      <c r="U277" s="9" t="s">
        <v>2175</v>
      </c>
      <c r="V277" s="7">
        <v>1</v>
      </c>
      <c r="W277" s="9" t="s">
        <v>2176</v>
      </c>
      <c r="X277" s="10">
        <v>45322</v>
      </c>
      <c r="Y277" s="7" t="s">
        <v>67</v>
      </c>
      <c r="Z277" s="9"/>
      <c r="AA277" s="65"/>
      <c r="AB277" s="7">
        <v>293</v>
      </c>
      <c r="AC277" s="9"/>
      <c r="AD277" s="9"/>
      <c r="AE277" s="9"/>
      <c r="AF277" s="9"/>
      <c r="AG277" s="9">
        <v>296</v>
      </c>
      <c r="AH277" s="9">
        <v>307</v>
      </c>
      <c r="AI277" s="9"/>
      <c r="AJ277" s="9"/>
      <c r="AK277" s="9"/>
      <c r="AL277" s="9"/>
      <c r="AM277" s="9"/>
      <c r="AN277" s="9"/>
      <c r="AO277" s="9"/>
      <c r="AP277" s="9">
        <f t="shared" si="114"/>
        <v>3</v>
      </c>
      <c r="AQ277" s="62">
        <f t="shared" si="115"/>
        <v>298.66666666666669</v>
      </c>
      <c r="AR277" s="11" t="str">
        <f>IF(AQ277&gt;='Aprovados Recursos do Fundo'!$AQ$1,"APROVADO","REPROVADO")</f>
        <v>APROVADO</v>
      </c>
      <c r="AS277" s="138"/>
      <c r="AT277" s="65"/>
      <c r="AU277" s="65"/>
      <c r="AV277" s="65"/>
      <c r="AW277" s="65"/>
      <c r="AX277" s="65"/>
      <c r="AY277" s="65"/>
      <c r="AZ277" s="65"/>
      <c r="BA277" s="65"/>
      <c r="BB277" s="65"/>
      <c r="BC277" s="34"/>
      <c r="BD277" s="65"/>
    </row>
    <row r="278" spans="2:56" s="64" customFormat="1" ht="39.950000000000003" customHeight="1" x14ac:dyDescent="0.25">
      <c r="B278" s="5">
        <v>447</v>
      </c>
      <c r="C278" s="27" t="s">
        <v>2188</v>
      </c>
      <c r="D278" s="100" t="s">
        <v>4215</v>
      </c>
      <c r="E278" s="5" t="s">
        <v>33</v>
      </c>
      <c r="F278" s="9" t="s">
        <v>2189</v>
      </c>
      <c r="G278" s="9" t="s">
        <v>2190</v>
      </c>
      <c r="H278" s="9" t="s">
        <v>300</v>
      </c>
      <c r="I278" s="49">
        <v>927704.17</v>
      </c>
      <c r="J278" s="49">
        <f>I278-K278</f>
        <v>875694.31</v>
      </c>
      <c r="K278" s="49">
        <v>52009.86</v>
      </c>
      <c r="L278" s="8">
        <f t="shared" si="116"/>
        <v>1113245.004</v>
      </c>
      <c r="M278" s="49">
        <f>334000+500000+300000+150000</f>
        <v>1284000</v>
      </c>
      <c r="N278" s="150">
        <f>L278-M278</f>
        <v>-170754.99600000004</v>
      </c>
      <c r="O278" s="15">
        <f t="shared" si="117"/>
        <v>1069999.9843920127</v>
      </c>
      <c r="P278" s="15">
        <f t="shared" si="118"/>
        <v>214000.0156079873</v>
      </c>
      <c r="Q278" s="143">
        <f t="shared" si="120"/>
        <v>1.1533849201087454</v>
      </c>
      <c r="R278" s="136"/>
      <c r="S278" s="7" t="s">
        <v>73</v>
      </c>
      <c r="T278" s="7" t="s">
        <v>74</v>
      </c>
      <c r="U278" s="9" t="s">
        <v>2191</v>
      </c>
      <c r="V278" s="7">
        <v>1</v>
      </c>
      <c r="W278" s="9" t="s">
        <v>2192</v>
      </c>
      <c r="X278" s="10">
        <v>45322</v>
      </c>
      <c r="Y278" s="7" t="s">
        <v>41</v>
      </c>
      <c r="Z278" s="9"/>
      <c r="AA278" s="65"/>
      <c r="AB278" s="7">
        <v>328</v>
      </c>
      <c r="AC278" s="9">
        <v>212</v>
      </c>
      <c r="AD278" s="9"/>
      <c r="AE278" s="9">
        <v>236</v>
      </c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>
        <f t="shared" si="114"/>
        <v>3</v>
      </c>
      <c r="AQ278" s="62">
        <f t="shared" si="115"/>
        <v>258.66666666666669</v>
      </c>
      <c r="AR278" s="11" t="str">
        <f>IF(AQ278&gt;='Aprovados Recursos do Fundo'!$AQ$1,"APROVADO","REPROVADO")</f>
        <v>APROVADO</v>
      </c>
      <c r="AS278" s="5" t="s">
        <v>4216</v>
      </c>
      <c r="AT278" s="11" t="s">
        <v>3387</v>
      </c>
      <c r="AU278" s="7" t="s">
        <v>3663</v>
      </c>
      <c r="AV278" s="65"/>
      <c r="AW278" s="65"/>
      <c r="AX278" s="65"/>
      <c r="AY278" s="65"/>
      <c r="AZ278" s="65"/>
      <c r="BA278" s="65"/>
      <c r="BB278" s="65"/>
      <c r="BC278" s="34">
        <v>45897</v>
      </c>
      <c r="BD278" s="140">
        <f>DAYS360(BC278,BD2)</f>
        <v>202</v>
      </c>
    </row>
    <row r="279" spans="2:56" s="64" customFormat="1" ht="39.950000000000003" hidden="1" customHeight="1" x14ac:dyDescent="0.25">
      <c r="B279" s="5">
        <v>450</v>
      </c>
      <c r="C279" s="6" t="s">
        <v>2205</v>
      </c>
      <c r="D279" s="101" t="s">
        <v>4217</v>
      </c>
      <c r="E279" s="5" t="s">
        <v>33</v>
      </c>
      <c r="F279" s="59" t="s">
        <v>2200</v>
      </c>
      <c r="G279" s="11" t="s">
        <v>2206</v>
      </c>
      <c r="H279" s="11" t="s">
        <v>36</v>
      </c>
      <c r="I279" s="49">
        <v>198000</v>
      </c>
      <c r="J279" s="49"/>
      <c r="K279" s="49"/>
      <c r="L279" s="8">
        <f t="shared" si="116"/>
        <v>237600</v>
      </c>
      <c r="M279" s="49"/>
      <c r="N279" s="49"/>
      <c r="O279" s="15">
        <f t="shared" si="117"/>
        <v>0</v>
      </c>
      <c r="P279" s="15">
        <f t="shared" si="118"/>
        <v>0</v>
      </c>
      <c r="Q279" s="143"/>
      <c r="R279" s="49"/>
      <c r="S279" s="7" t="s">
        <v>2202</v>
      </c>
      <c r="T279" s="9" t="s">
        <v>115</v>
      </c>
      <c r="U279" s="9" t="s">
        <v>2203</v>
      </c>
      <c r="V279" s="9"/>
      <c r="W279" s="9" t="s">
        <v>2204</v>
      </c>
      <c r="X279" s="10">
        <v>45322</v>
      </c>
      <c r="Y279" s="7" t="s">
        <v>67</v>
      </c>
      <c r="Z279" s="9"/>
      <c r="AA279" s="65"/>
      <c r="AB279" s="7">
        <v>331</v>
      </c>
      <c r="AC279" s="9"/>
      <c r="AD279" s="9"/>
      <c r="AE279" s="9"/>
      <c r="AF279" s="9"/>
      <c r="AG279" s="9">
        <v>340</v>
      </c>
      <c r="AH279" s="9">
        <v>335</v>
      </c>
      <c r="AI279" s="9"/>
      <c r="AJ279" s="9"/>
      <c r="AK279" s="9"/>
      <c r="AL279" s="9"/>
      <c r="AM279" s="9"/>
      <c r="AN279" s="9"/>
      <c r="AO279" s="9"/>
      <c r="AP279" s="9">
        <f t="shared" si="114"/>
        <v>3</v>
      </c>
      <c r="AQ279" s="62">
        <f t="shared" si="115"/>
        <v>335.33333333333331</v>
      </c>
      <c r="AR279" s="11" t="str">
        <f>IF(AQ279&gt;=$AR$1,"APROVADO","REPROVADO")</f>
        <v>APROVADO</v>
      </c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34"/>
      <c r="BD279" s="65"/>
    </row>
    <row r="280" spans="2:56" s="64" customFormat="1" ht="39.950000000000003" hidden="1" customHeight="1" x14ac:dyDescent="0.25">
      <c r="B280" s="5">
        <v>451</v>
      </c>
      <c r="C280" s="6" t="s">
        <v>2207</v>
      </c>
      <c r="D280" s="99"/>
      <c r="E280" s="5" t="s">
        <v>51</v>
      </c>
      <c r="F280" s="58" t="s">
        <v>2208</v>
      </c>
      <c r="G280" s="7" t="s">
        <v>2209</v>
      </c>
      <c r="H280" s="7" t="s">
        <v>62</v>
      </c>
      <c r="I280" s="41">
        <v>394000</v>
      </c>
      <c r="J280" s="41"/>
      <c r="K280" s="41"/>
      <c r="L280" s="8">
        <v>472800</v>
      </c>
      <c r="M280" s="41"/>
      <c r="N280" s="41"/>
      <c r="O280" s="41"/>
      <c r="P280" s="41"/>
      <c r="Q280" s="143"/>
      <c r="R280" s="41"/>
      <c r="S280" s="9" t="s">
        <v>2210</v>
      </c>
      <c r="T280" s="11" t="s">
        <v>391</v>
      </c>
      <c r="U280" s="9" t="s">
        <v>2211</v>
      </c>
      <c r="V280" s="9"/>
      <c r="W280" s="67" t="s">
        <v>2212</v>
      </c>
      <c r="X280" s="34">
        <v>45322</v>
      </c>
      <c r="Y280" s="9" t="s">
        <v>57</v>
      </c>
      <c r="Z280" s="9"/>
      <c r="AA280" s="65"/>
      <c r="AB280" s="9">
        <v>267</v>
      </c>
      <c r="AC280" s="9"/>
      <c r="AD280" s="9"/>
      <c r="AE280" s="9"/>
      <c r="AF280" s="9"/>
      <c r="AG280" s="9">
        <v>311</v>
      </c>
      <c r="AH280" s="9"/>
      <c r="AI280" s="9">
        <v>311</v>
      </c>
      <c r="AJ280" s="9"/>
      <c r="AK280" s="9"/>
      <c r="AL280" s="9"/>
      <c r="AM280" s="9"/>
      <c r="AN280" s="65"/>
      <c r="AO280" s="65"/>
      <c r="AP280" s="9">
        <f t="shared" si="114"/>
        <v>3</v>
      </c>
      <c r="AQ280" s="62">
        <f t="shared" si="115"/>
        <v>296.33333333333331</v>
      </c>
      <c r="AR280" s="11" t="str">
        <f>IF(AQ280&gt;=$AR$1,"APROVADO","REPROVADO")</f>
        <v>APROVADO</v>
      </c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34"/>
      <c r="BD280" s="65"/>
    </row>
    <row r="281" spans="2:56" s="64" customFormat="1" ht="39.950000000000003" hidden="1" customHeight="1" x14ac:dyDescent="0.25">
      <c r="B281" s="5">
        <v>453</v>
      </c>
      <c r="C281" s="6" t="s">
        <v>2215</v>
      </c>
      <c r="D281" s="99"/>
      <c r="E281" s="5" t="s">
        <v>51</v>
      </c>
      <c r="F281" s="58" t="s">
        <v>2208</v>
      </c>
      <c r="G281" s="7" t="s">
        <v>2216</v>
      </c>
      <c r="H281" s="7" t="s">
        <v>107</v>
      </c>
      <c r="I281" s="41">
        <v>415522</v>
      </c>
      <c r="J281" s="41"/>
      <c r="K281" s="41"/>
      <c r="L281" s="8">
        <v>498626.39999999997</v>
      </c>
      <c r="M281" s="41"/>
      <c r="N281" s="41"/>
      <c r="O281" s="41"/>
      <c r="P281" s="41"/>
      <c r="Q281" s="143"/>
      <c r="R281" s="41"/>
      <c r="S281" s="9" t="s">
        <v>2210</v>
      </c>
      <c r="T281" s="11" t="s">
        <v>391</v>
      </c>
      <c r="U281" s="9" t="s">
        <v>2211</v>
      </c>
      <c r="V281" s="9"/>
      <c r="W281" s="67" t="s">
        <v>2212</v>
      </c>
      <c r="X281" s="34">
        <v>45322</v>
      </c>
      <c r="Y281" s="9" t="s">
        <v>57</v>
      </c>
      <c r="Z281" s="9"/>
      <c r="AA281" s="65"/>
      <c r="AB281" s="9">
        <v>223</v>
      </c>
      <c r="AC281" s="9"/>
      <c r="AD281" s="9"/>
      <c r="AE281" s="9"/>
      <c r="AF281" s="9"/>
      <c r="AG281" s="9">
        <v>221</v>
      </c>
      <c r="AH281" s="9">
        <v>244</v>
      </c>
      <c r="AI281" s="9"/>
      <c r="AJ281" s="9"/>
      <c r="AK281" s="9"/>
      <c r="AL281" s="9"/>
      <c r="AM281" s="9"/>
      <c r="AN281" s="65"/>
      <c r="AO281" s="65"/>
      <c r="AP281" s="9">
        <f t="shared" si="114"/>
        <v>3</v>
      </c>
      <c r="AQ281" s="62">
        <f t="shared" si="115"/>
        <v>229.33333333333334</v>
      </c>
      <c r="AR281" s="11" t="str">
        <f>IF(AQ281&gt;=$AR$1,"APROVADO","REPROVADO")</f>
        <v>APROVADO</v>
      </c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34"/>
      <c r="BD281" s="65"/>
    </row>
    <row r="282" spans="2:56" s="64" customFormat="1" ht="39.950000000000003" hidden="1" customHeight="1" x14ac:dyDescent="0.25">
      <c r="B282" s="5">
        <v>454</v>
      </c>
      <c r="C282" s="6" t="s">
        <v>2217</v>
      </c>
      <c r="D282" s="100" t="s">
        <v>4218</v>
      </c>
      <c r="E282" s="5" t="s">
        <v>33</v>
      </c>
      <c r="F282" s="5" t="s">
        <v>2218</v>
      </c>
      <c r="G282" s="7" t="s">
        <v>2219</v>
      </c>
      <c r="H282" s="7" t="s">
        <v>36</v>
      </c>
      <c r="I282" s="8">
        <v>95000</v>
      </c>
      <c r="J282" s="8"/>
      <c r="K282" s="8"/>
      <c r="L282" s="8">
        <f t="shared" ref="L282:L287" si="121">I282*1.2</f>
        <v>114000</v>
      </c>
      <c r="M282" s="8"/>
      <c r="N282" s="8"/>
      <c r="O282" s="15">
        <f t="shared" ref="O282:O287" si="122">M282*0.83333332117758</f>
        <v>0</v>
      </c>
      <c r="P282" s="15">
        <f t="shared" ref="P282:P287" si="123">M282*0.16666667882242</f>
        <v>0</v>
      </c>
      <c r="Q282" s="143"/>
      <c r="R282" s="8"/>
      <c r="S282" s="7" t="s">
        <v>2220</v>
      </c>
      <c r="T282" s="7" t="s">
        <v>38</v>
      </c>
      <c r="U282" s="7" t="s">
        <v>2221</v>
      </c>
      <c r="V282" s="7">
        <v>1</v>
      </c>
      <c r="W282" s="31" t="s">
        <v>4219</v>
      </c>
      <c r="X282" s="10">
        <v>45322</v>
      </c>
      <c r="Y282" s="9" t="s">
        <v>41</v>
      </c>
      <c r="Z282" s="7" t="s">
        <v>2223</v>
      </c>
      <c r="AA282" s="65"/>
      <c r="AB282" s="7">
        <v>260</v>
      </c>
      <c r="AC282" s="9"/>
      <c r="AD282" s="9"/>
      <c r="AE282" s="9"/>
      <c r="AF282" s="9"/>
      <c r="AG282" s="9"/>
      <c r="AH282" s="9">
        <v>273</v>
      </c>
      <c r="AI282" s="9"/>
      <c r="AJ282" s="9">
        <v>340</v>
      </c>
      <c r="AK282" s="9"/>
      <c r="AL282" s="9"/>
      <c r="AM282" s="9"/>
      <c r="AN282" s="9"/>
      <c r="AO282" s="9"/>
      <c r="AP282" s="9">
        <f t="shared" si="114"/>
        <v>3</v>
      </c>
      <c r="AQ282" s="62">
        <f t="shared" si="115"/>
        <v>291</v>
      </c>
      <c r="AR282" s="11" t="str">
        <f>IF(AQ282&gt;='Aprovados Recursos do Fundo'!$AQ$1,"APROVADO","REPROVADO")</f>
        <v>APROVADO</v>
      </c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34"/>
      <c r="BD282" s="65"/>
    </row>
    <row r="283" spans="2:56" s="64" customFormat="1" ht="39.950000000000003" hidden="1" customHeight="1" x14ac:dyDescent="0.25">
      <c r="B283" s="5">
        <v>456</v>
      </c>
      <c r="C283" s="27" t="s">
        <v>2229</v>
      </c>
      <c r="D283" s="100" t="s">
        <v>4220</v>
      </c>
      <c r="E283" s="5" t="s">
        <v>33</v>
      </c>
      <c r="F283" s="58" t="s">
        <v>2225</v>
      </c>
      <c r="G283" s="7" t="s">
        <v>2230</v>
      </c>
      <c r="H283" s="7" t="s">
        <v>107</v>
      </c>
      <c r="I283" s="8">
        <v>1139100</v>
      </c>
      <c r="J283" s="8"/>
      <c r="K283" s="8"/>
      <c r="L283" s="8">
        <f t="shared" si="121"/>
        <v>1366920</v>
      </c>
      <c r="M283" s="8"/>
      <c r="N283" s="8"/>
      <c r="O283" s="15">
        <f t="shared" si="122"/>
        <v>0</v>
      </c>
      <c r="P283" s="15">
        <f t="shared" si="123"/>
        <v>0</v>
      </c>
      <c r="Q283" s="143"/>
      <c r="R283" s="8"/>
      <c r="S283" s="7" t="s">
        <v>2220</v>
      </c>
      <c r="T283" s="7" t="s">
        <v>38</v>
      </c>
      <c r="U283" s="7" t="s">
        <v>2227</v>
      </c>
      <c r="V283" s="7">
        <v>1</v>
      </c>
      <c r="W283" s="31" t="s">
        <v>2228</v>
      </c>
      <c r="X283" s="10">
        <v>45322</v>
      </c>
      <c r="Y283" s="7" t="s">
        <v>41</v>
      </c>
      <c r="Z283" s="9"/>
      <c r="AA283" s="65"/>
      <c r="AB283" s="7">
        <v>324</v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>
        <v>253</v>
      </c>
      <c r="AO283" s="9">
        <v>340</v>
      </c>
      <c r="AP283" s="9">
        <f t="shared" si="114"/>
        <v>3</v>
      </c>
      <c r="AQ283" s="62">
        <f t="shared" si="115"/>
        <v>305.66666666666669</v>
      </c>
      <c r="AR283" s="11" t="str">
        <f>IF(AQ283&gt;=$AR$1,"APROVADO","REPROVADO")</f>
        <v>APROVADO</v>
      </c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34"/>
      <c r="BD283" s="65"/>
    </row>
    <row r="284" spans="2:56" s="64" customFormat="1" ht="39.950000000000003" hidden="1" customHeight="1" x14ac:dyDescent="0.25">
      <c r="B284" s="5">
        <v>457</v>
      </c>
      <c r="C284" s="27" t="s">
        <v>2231</v>
      </c>
      <c r="D284" s="100" t="s">
        <v>4221</v>
      </c>
      <c r="E284" s="5" t="s">
        <v>33</v>
      </c>
      <c r="F284" s="58" t="s">
        <v>2225</v>
      </c>
      <c r="G284" s="7" t="s">
        <v>2232</v>
      </c>
      <c r="H284" s="7" t="s">
        <v>107</v>
      </c>
      <c r="I284" s="8">
        <v>812100</v>
      </c>
      <c r="J284" s="8"/>
      <c r="K284" s="8"/>
      <c r="L284" s="8">
        <f t="shared" si="121"/>
        <v>974520</v>
      </c>
      <c r="M284" s="8"/>
      <c r="N284" s="8"/>
      <c r="O284" s="15">
        <f t="shared" si="122"/>
        <v>0</v>
      </c>
      <c r="P284" s="15">
        <f t="shared" si="123"/>
        <v>0</v>
      </c>
      <c r="Q284" s="143"/>
      <c r="R284" s="8"/>
      <c r="S284" s="7" t="s">
        <v>2220</v>
      </c>
      <c r="T284" s="7" t="s">
        <v>38</v>
      </c>
      <c r="U284" s="7" t="s">
        <v>2227</v>
      </c>
      <c r="V284" s="7">
        <v>1</v>
      </c>
      <c r="W284" s="9" t="s">
        <v>2228</v>
      </c>
      <c r="X284" s="10">
        <v>45322</v>
      </c>
      <c r="Y284" s="7" t="s">
        <v>41</v>
      </c>
      <c r="Z284" s="9"/>
      <c r="AA284" s="65"/>
      <c r="AB284" s="7">
        <v>335</v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>
        <v>334</v>
      </c>
      <c r="AN284" s="9">
        <v>312</v>
      </c>
      <c r="AO284" s="9"/>
      <c r="AP284" s="9">
        <f t="shared" si="114"/>
        <v>3</v>
      </c>
      <c r="AQ284" s="62">
        <f t="shared" si="115"/>
        <v>327</v>
      </c>
      <c r="AR284" s="11" t="str">
        <f>IF(AQ284&gt;=$AR$1,"APROVADO","REPROVADO")</f>
        <v>APROVADO</v>
      </c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34"/>
      <c r="BD284" s="65"/>
    </row>
    <row r="285" spans="2:56" s="64" customFormat="1" ht="39.950000000000003" hidden="1" customHeight="1" x14ac:dyDescent="0.25">
      <c r="B285" s="5">
        <v>465</v>
      </c>
      <c r="C285" s="6" t="s">
        <v>2267</v>
      </c>
      <c r="D285" s="100" t="s">
        <v>4222</v>
      </c>
      <c r="E285" s="5" t="s">
        <v>33</v>
      </c>
      <c r="F285" s="5" t="s">
        <v>2268</v>
      </c>
      <c r="G285" s="5" t="s">
        <v>2269</v>
      </c>
      <c r="H285" s="5" t="s">
        <v>107</v>
      </c>
      <c r="I285" s="17">
        <v>338304</v>
      </c>
      <c r="J285" s="17"/>
      <c r="K285" s="17"/>
      <c r="L285" s="8">
        <f t="shared" si="121"/>
        <v>405964.79999999999</v>
      </c>
      <c r="M285" s="17"/>
      <c r="N285" s="17"/>
      <c r="O285" s="15">
        <f t="shared" si="122"/>
        <v>0</v>
      </c>
      <c r="P285" s="15">
        <f t="shared" si="123"/>
        <v>0</v>
      </c>
      <c r="Q285" s="143"/>
      <c r="R285" s="17"/>
      <c r="S285" s="7" t="s">
        <v>253</v>
      </c>
      <c r="T285" s="7" t="s">
        <v>254</v>
      </c>
      <c r="U285" s="5" t="s">
        <v>2270</v>
      </c>
      <c r="V285" s="7">
        <v>1</v>
      </c>
      <c r="W285" s="31" t="s">
        <v>2271</v>
      </c>
      <c r="X285" s="10">
        <v>45322</v>
      </c>
      <c r="Y285" s="5" t="s">
        <v>67</v>
      </c>
      <c r="Z285" s="7" t="s">
        <v>90</v>
      </c>
      <c r="AA285" s="65"/>
      <c r="AB285" s="5">
        <v>259</v>
      </c>
      <c r="AC285" s="9"/>
      <c r="AD285" s="9"/>
      <c r="AE285" s="9"/>
      <c r="AF285" s="9"/>
      <c r="AG285" s="9"/>
      <c r="AH285" s="9"/>
      <c r="AI285" s="9">
        <v>265</v>
      </c>
      <c r="AJ285" s="9">
        <v>265</v>
      </c>
      <c r="AK285" s="9"/>
      <c r="AL285" s="9"/>
      <c r="AM285" s="9"/>
      <c r="AN285" s="9"/>
      <c r="AO285" s="9"/>
      <c r="AP285" s="9">
        <f t="shared" si="114"/>
        <v>3</v>
      </c>
      <c r="AQ285" s="62">
        <f t="shared" si="115"/>
        <v>263</v>
      </c>
      <c r="AR285" s="11" t="str">
        <f>IF(AQ285&gt;='Aprovados Recursos do Fundo'!$AQ$1,"APROVADO","REPROVADO")</f>
        <v>APROVADO</v>
      </c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34"/>
      <c r="BD285" s="65"/>
    </row>
    <row r="286" spans="2:56" s="64" customFormat="1" ht="39.950000000000003" hidden="1" customHeight="1" x14ac:dyDescent="0.25">
      <c r="B286" s="5">
        <v>468</v>
      </c>
      <c r="C286" s="6" t="s">
        <v>2283</v>
      </c>
      <c r="D286" s="101" t="s">
        <v>4223</v>
      </c>
      <c r="E286" s="5" t="s">
        <v>33</v>
      </c>
      <c r="F286" s="58" t="s">
        <v>2279</v>
      </c>
      <c r="G286" s="5" t="s">
        <v>2284</v>
      </c>
      <c r="H286" s="7" t="s">
        <v>336</v>
      </c>
      <c r="I286" s="8">
        <v>399210</v>
      </c>
      <c r="J286" s="8"/>
      <c r="K286" s="8"/>
      <c r="L286" s="8">
        <f t="shared" si="121"/>
        <v>479052</v>
      </c>
      <c r="M286" s="8"/>
      <c r="N286" s="8"/>
      <c r="O286" s="15">
        <f t="shared" si="122"/>
        <v>0</v>
      </c>
      <c r="P286" s="15">
        <f t="shared" si="123"/>
        <v>0</v>
      </c>
      <c r="Q286" s="143"/>
      <c r="R286" s="8"/>
      <c r="S286" s="7" t="s">
        <v>201</v>
      </c>
      <c r="T286" s="7" t="s">
        <v>202</v>
      </c>
      <c r="U286" s="7" t="s">
        <v>2281</v>
      </c>
      <c r="V286" s="7"/>
      <c r="W286" s="9" t="s">
        <v>2282</v>
      </c>
      <c r="X286" s="10">
        <v>45322</v>
      </c>
      <c r="Y286" s="5" t="s">
        <v>67</v>
      </c>
      <c r="Z286" s="7"/>
      <c r="AA286" s="65"/>
      <c r="AB286" s="5">
        <v>330</v>
      </c>
      <c r="AC286" s="9"/>
      <c r="AD286" s="9"/>
      <c r="AE286" s="9"/>
      <c r="AF286" s="9"/>
      <c r="AG286" s="9"/>
      <c r="AH286" s="9"/>
      <c r="AI286" s="9">
        <v>318</v>
      </c>
      <c r="AJ286" s="9">
        <v>270</v>
      </c>
      <c r="AK286" s="9"/>
      <c r="AL286" s="9"/>
      <c r="AM286" s="9"/>
      <c r="AN286" s="9"/>
      <c r="AO286" s="9"/>
      <c r="AP286" s="9">
        <f t="shared" si="114"/>
        <v>3</v>
      </c>
      <c r="AQ286" s="62">
        <f t="shared" si="115"/>
        <v>306</v>
      </c>
      <c r="AR286" s="11" t="str">
        <f>IF(AQ286&gt;=$AR$1,"APROVADO","REPROVADO")</f>
        <v>APROVADO</v>
      </c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34"/>
      <c r="BD286" s="65"/>
    </row>
    <row r="287" spans="2:56" s="64" customFormat="1" ht="39.950000000000003" hidden="1" customHeight="1" x14ac:dyDescent="0.25">
      <c r="B287" s="5">
        <v>469</v>
      </c>
      <c r="C287" s="6" t="s">
        <v>2285</v>
      </c>
      <c r="D287" s="101" t="s">
        <v>4224</v>
      </c>
      <c r="E287" s="5" t="s">
        <v>33</v>
      </c>
      <c r="F287" s="58" t="s">
        <v>2286</v>
      </c>
      <c r="G287" s="63" t="s">
        <v>2287</v>
      </c>
      <c r="H287" s="5" t="s">
        <v>107</v>
      </c>
      <c r="I287" s="17">
        <v>100000</v>
      </c>
      <c r="J287" s="17"/>
      <c r="K287" s="17"/>
      <c r="L287" s="8">
        <f t="shared" si="121"/>
        <v>120000</v>
      </c>
      <c r="M287" s="17"/>
      <c r="N287" s="17"/>
      <c r="O287" s="15">
        <f t="shared" si="122"/>
        <v>0</v>
      </c>
      <c r="P287" s="15">
        <f t="shared" si="123"/>
        <v>0</v>
      </c>
      <c r="Q287" s="143"/>
      <c r="R287" s="17"/>
      <c r="S287" s="7" t="s">
        <v>2288</v>
      </c>
      <c r="T287" s="5" t="s">
        <v>254</v>
      </c>
      <c r="U287" s="5" t="s">
        <v>2289</v>
      </c>
      <c r="V287" s="5"/>
      <c r="W287" s="31" t="s">
        <v>2290</v>
      </c>
      <c r="X287" s="10">
        <v>45322</v>
      </c>
      <c r="Y287" s="5" t="s">
        <v>67</v>
      </c>
      <c r="Z287" s="7" t="s">
        <v>2291</v>
      </c>
      <c r="AA287" s="65"/>
      <c r="AB287" s="5">
        <v>318</v>
      </c>
      <c r="AC287" s="9"/>
      <c r="AD287" s="9"/>
      <c r="AE287" s="9"/>
      <c r="AF287" s="9"/>
      <c r="AG287" s="9">
        <v>340</v>
      </c>
      <c r="AH287" s="9">
        <v>324</v>
      </c>
      <c r="AI287" s="9"/>
      <c r="AJ287" s="9"/>
      <c r="AK287" s="9"/>
      <c r="AL287" s="9"/>
      <c r="AM287" s="9"/>
      <c r="AN287" s="9"/>
      <c r="AO287" s="9"/>
      <c r="AP287" s="9">
        <f t="shared" si="114"/>
        <v>3</v>
      </c>
      <c r="AQ287" s="62">
        <f t="shared" si="115"/>
        <v>327.33333333333331</v>
      </c>
      <c r="AR287" s="11" t="str">
        <f>IF(AQ287&gt;=$AR$1,"APROVADO","REPROVADO")</f>
        <v>APROVADO</v>
      </c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34"/>
      <c r="BD287" s="65"/>
    </row>
    <row r="288" spans="2:56" s="64" customFormat="1" ht="39.950000000000003" hidden="1" customHeight="1" x14ac:dyDescent="0.25">
      <c r="B288" s="5">
        <v>477</v>
      </c>
      <c r="C288" s="22" t="s">
        <v>2331</v>
      </c>
      <c r="D288" s="99"/>
      <c r="E288" s="5" t="s">
        <v>51</v>
      </c>
      <c r="F288" s="59" t="s">
        <v>2332</v>
      </c>
      <c r="G288" s="9" t="s">
        <v>2333</v>
      </c>
      <c r="H288" s="5" t="s">
        <v>36</v>
      </c>
      <c r="I288" s="41">
        <v>100000</v>
      </c>
      <c r="J288" s="41"/>
      <c r="K288" s="41"/>
      <c r="L288" s="8">
        <v>120000</v>
      </c>
      <c r="M288" s="41"/>
      <c r="N288" s="41"/>
      <c r="O288" s="41"/>
      <c r="P288" s="41"/>
      <c r="Q288" s="143"/>
      <c r="R288" s="41"/>
      <c r="S288" s="9" t="s">
        <v>2334</v>
      </c>
      <c r="T288" s="11" t="s">
        <v>47</v>
      </c>
      <c r="U288" s="9" t="s">
        <v>2335</v>
      </c>
      <c r="V288" s="9"/>
      <c r="W288" s="67" t="s">
        <v>2336</v>
      </c>
      <c r="X288" s="34">
        <v>45322</v>
      </c>
      <c r="Y288" s="9" t="s">
        <v>57</v>
      </c>
      <c r="Z288" s="9"/>
      <c r="AA288" s="65"/>
      <c r="AB288" s="9">
        <v>293</v>
      </c>
      <c r="AC288" s="9"/>
      <c r="AD288" s="9"/>
      <c r="AE288" s="9"/>
      <c r="AF288" s="9"/>
      <c r="AG288" s="9"/>
      <c r="AH288" s="9"/>
      <c r="AI288" s="9">
        <v>330</v>
      </c>
      <c r="AJ288" s="9">
        <v>340</v>
      </c>
      <c r="AK288" s="9"/>
      <c r="AL288" s="9"/>
      <c r="AM288" s="9"/>
      <c r="AN288" s="65"/>
      <c r="AO288" s="65"/>
      <c r="AP288" s="9">
        <f t="shared" si="114"/>
        <v>3</v>
      </c>
      <c r="AQ288" s="62">
        <f t="shared" si="115"/>
        <v>321</v>
      </c>
      <c r="AR288" s="11" t="str">
        <f>IF(AQ288&gt;=$AR$1,"APROVADO","REPROVADO")</f>
        <v>APROVADO</v>
      </c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34"/>
      <c r="BD288" s="65"/>
    </row>
    <row r="289" spans="2:56" s="64" customFormat="1" ht="39.950000000000003" hidden="1" customHeight="1" x14ac:dyDescent="0.25">
      <c r="B289" s="5">
        <v>478</v>
      </c>
      <c r="C289" s="22" t="s">
        <v>2337</v>
      </c>
      <c r="D289" s="99"/>
      <c r="E289" s="5" t="s">
        <v>51</v>
      </c>
      <c r="F289" s="59" t="s">
        <v>2332</v>
      </c>
      <c r="G289" s="9" t="s">
        <v>2338</v>
      </c>
      <c r="H289" s="5" t="s">
        <v>36</v>
      </c>
      <c r="I289" s="41">
        <v>100000</v>
      </c>
      <c r="J289" s="41"/>
      <c r="K289" s="41"/>
      <c r="L289" s="8">
        <v>120000</v>
      </c>
      <c r="M289" s="41"/>
      <c r="N289" s="41"/>
      <c r="O289" s="41"/>
      <c r="P289" s="41"/>
      <c r="Q289" s="143"/>
      <c r="R289" s="41"/>
      <c r="S289" s="9" t="s">
        <v>2334</v>
      </c>
      <c r="T289" s="11" t="s">
        <v>47</v>
      </c>
      <c r="U289" s="9" t="s">
        <v>2335</v>
      </c>
      <c r="V289" s="9"/>
      <c r="W289" s="67" t="s">
        <v>2336</v>
      </c>
      <c r="X289" s="34">
        <v>45322</v>
      </c>
      <c r="Y289" s="9" t="s">
        <v>57</v>
      </c>
      <c r="Z289" s="9"/>
      <c r="AA289" s="65"/>
      <c r="AB289" s="9">
        <v>310</v>
      </c>
      <c r="AC289" s="9"/>
      <c r="AD289" s="9"/>
      <c r="AE289" s="9"/>
      <c r="AF289" s="9"/>
      <c r="AG289" s="9">
        <v>340</v>
      </c>
      <c r="AH289" s="9">
        <v>318</v>
      </c>
      <c r="AI289" s="9"/>
      <c r="AJ289" s="9"/>
      <c r="AK289" s="9"/>
      <c r="AL289" s="9"/>
      <c r="AM289" s="9"/>
      <c r="AN289" s="65"/>
      <c r="AO289" s="65"/>
      <c r="AP289" s="9">
        <f t="shared" si="114"/>
        <v>3</v>
      </c>
      <c r="AQ289" s="62">
        <f t="shared" si="115"/>
        <v>322.66666666666669</v>
      </c>
      <c r="AR289" s="11" t="str">
        <f>IF(AQ289&gt;=$AR$1,"APROVADO","REPROVADO")</f>
        <v>APROVADO</v>
      </c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34"/>
      <c r="BD289" s="65"/>
    </row>
    <row r="290" spans="2:56" s="64" customFormat="1" ht="39.950000000000003" hidden="1" customHeight="1" x14ac:dyDescent="0.25">
      <c r="B290" s="5">
        <v>482</v>
      </c>
      <c r="C290" s="22" t="s">
        <v>2350</v>
      </c>
      <c r="D290" s="9"/>
      <c r="E290" s="5" t="s">
        <v>51</v>
      </c>
      <c r="F290" s="9" t="s">
        <v>2351</v>
      </c>
      <c r="G290" s="11" t="s">
        <v>2352</v>
      </c>
      <c r="H290" s="11" t="s">
        <v>36</v>
      </c>
      <c r="I290" s="41">
        <v>350000</v>
      </c>
      <c r="J290" s="41"/>
      <c r="K290" s="41"/>
      <c r="L290" s="8">
        <v>420000</v>
      </c>
      <c r="M290" s="41"/>
      <c r="N290" s="41"/>
      <c r="O290" s="41"/>
      <c r="P290" s="41"/>
      <c r="Q290" s="143"/>
      <c r="R290" s="41"/>
      <c r="S290" s="9" t="s">
        <v>2353</v>
      </c>
      <c r="T290" s="11" t="s">
        <v>154</v>
      </c>
      <c r="U290" s="9" t="s">
        <v>2354</v>
      </c>
      <c r="V290" s="9"/>
      <c r="W290" s="67" t="s">
        <v>2355</v>
      </c>
      <c r="X290" s="34">
        <v>45322</v>
      </c>
      <c r="Y290" s="9" t="s">
        <v>41</v>
      </c>
      <c r="Z290" s="9"/>
      <c r="AA290" s="65"/>
      <c r="AB290" s="9">
        <v>309</v>
      </c>
      <c r="AC290" s="9">
        <v>171</v>
      </c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65">
        <v>329</v>
      </c>
      <c r="AO290" s="65"/>
      <c r="AP290" s="9">
        <f t="shared" si="114"/>
        <v>3</v>
      </c>
      <c r="AQ290" s="62">
        <f t="shared" si="115"/>
        <v>269.66666666666669</v>
      </c>
      <c r="AR290" s="11" t="str">
        <f>IF(AQ290&gt;='Aprovados Recursos do Fundo'!$AQ$1,"APROVADO","REPROVADO")</f>
        <v>APROVADO</v>
      </c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34"/>
      <c r="BD290" s="65"/>
    </row>
    <row r="291" spans="2:56" s="64" customFormat="1" ht="39.950000000000003" hidden="1" customHeight="1" x14ac:dyDescent="0.25">
      <c r="B291" s="5">
        <v>484</v>
      </c>
      <c r="C291" s="22" t="s">
        <v>2362</v>
      </c>
      <c r="D291" s="9"/>
      <c r="E291" s="5" t="s">
        <v>51</v>
      </c>
      <c r="F291" s="9" t="s">
        <v>2357</v>
      </c>
      <c r="G291" s="9" t="s">
        <v>2363</v>
      </c>
      <c r="H291" s="11" t="s">
        <v>107</v>
      </c>
      <c r="I291" s="41">
        <v>120000</v>
      </c>
      <c r="J291" s="41"/>
      <c r="K291" s="41"/>
      <c r="L291" s="8">
        <v>144000</v>
      </c>
      <c r="M291" s="41"/>
      <c r="N291" s="41"/>
      <c r="O291" s="41"/>
      <c r="P291" s="41"/>
      <c r="Q291" s="143"/>
      <c r="R291" s="41"/>
      <c r="S291" s="9" t="s">
        <v>2359</v>
      </c>
      <c r="T291" s="11" t="s">
        <v>47</v>
      </c>
      <c r="U291" s="11" t="s">
        <v>2364</v>
      </c>
      <c r="V291" s="11"/>
      <c r="W291" s="67" t="s">
        <v>2361</v>
      </c>
      <c r="X291" s="34">
        <v>45322</v>
      </c>
      <c r="Y291" s="9" t="s">
        <v>57</v>
      </c>
      <c r="Z291" s="65"/>
      <c r="AA291" s="65"/>
      <c r="AB291" s="9">
        <v>283</v>
      </c>
      <c r="AC291" s="9"/>
      <c r="AD291" s="9"/>
      <c r="AE291" s="9"/>
      <c r="AF291" s="9"/>
      <c r="AG291" s="9">
        <v>295</v>
      </c>
      <c r="AH291" s="9">
        <v>246</v>
      </c>
      <c r="AI291" s="9"/>
      <c r="AJ291" s="9"/>
      <c r="AK291" s="9"/>
      <c r="AL291" s="9"/>
      <c r="AM291" s="9"/>
      <c r="AN291" s="65"/>
      <c r="AO291" s="65"/>
      <c r="AP291" s="9">
        <f t="shared" si="114"/>
        <v>3</v>
      </c>
      <c r="AQ291" s="62">
        <f t="shared" si="115"/>
        <v>274.66666666666669</v>
      </c>
      <c r="AR291" s="11" t="str">
        <f>IF(AQ291&gt;='Aprovados Recursos do Fundo'!$AQ$1,"APROVADO","REPROVADO")</f>
        <v>APROVADO</v>
      </c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34"/>
      <c r="BD291" s="65"/>
    </row>
    <row r="292" spans="2:56" s="64" customFormat="1" ht="39.950000000000003" hidden="1" customHeight="1" x14ac:dyDescent="0.25">
      <c r="B292" s="5">
        <v>485</v>
      </c>
      <c r="C292" s="27" t="s">
        <v>2365</v>
      </c>
      <c r="D292" s="101" t="s">
        <v>4225</v>
      </c>
      <c r="E292" s="5" t="s">
        <v>33</v>
      </c>
      <c r="F292" s="58" t="s">
        <v>1964</v>
      </c>
      <c r="G292" s="7" t="s">
        <v>2366</v>
      </c>
      <c r="H292" s="7" t="s">
        <v>36</v>
      </c>
      <c r="I292" s="8">
        <v>236998.45</v>
      </c>
      <c r="J292" s="8"/>
      <c r="K292" s="8"/>
      <c r="L292" s="8">
        <f t="shared" ref="L292:L293" si="124">I292*1.2</f>
        <v>284398.14</v>
      </c>
      <c r="M292" s="8"/>
      <c r="N292" s="8"/>
      <c r="O292" s="15">
        <f t="shared" ref="O292:O293" si="125">M292*0.83333332117758</f>
        <v>0</v>
      </c>
      <c r="P292" s="15">
        <f t="shared" ref="P292:P293" si="126">M292*0.16666667882242</f>
        <v>0</v>
      </c>
      <c r="Q292" s="143"/>
      <c r="R292" s="8"/>
      <c r="S292" s="7" t="s">
        <v>2367</v>
      </c>
      <c r="T292" s="7" t="s">
        <v>235</v>
      </c>
      <c r="U292" s="7" t="s">
        <v>2368</v>
      </c>
      <c r="V292" s="7"/>
      <c r="W292" s="9" t="s">
        <v>2369</v>
      </c>
      <c r="X292" s="10">
        <v>45322</v>
      </c>
      <c r="Y292" s="7" t="s">
        <v>41</v>
      </c>
      <c r="Z292" s="7"/>
      <c r="AA292" s="65"/>
      <c r="AB292" s="7">
        <v>332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>
        <v>317</v>
      </c>
      <c r="AN292" s="9">
        <v>286</v>
      </c>
      <c r="AO292" s="9"/>
      <c r="AP292" s="9">
        <f t="shared" si="114"/>
        <v>3</v>
      </c>
      <c r="AQ292" s="62">
        <f t="shared" si="115"/>
        <v>311.66666666666669</v>
      </c>
      <c r="AR292" s="11" t="str">
        <f>IF(AQ292&gt;=$AR$1,"APROVADO","REPROVADO")</f>
        <v>APROVADO</v>
      </c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34"/>
      <c r="BD292" s="65"/>
    </row>
    <row r="293" spans="2:56" s="64" customFormat="1" ht="39.950000000000003" hidden="1" customHeight="1" x14ac:dyDescent="0.25">
      <c r="B293" s="5">
        <v>490</v>
      </c>
      <c r="C293" s="27" t="s">
        <v>2394</v>
      </c>
      <c r="D293" s="101" t="s">
        <v>4226</v>
      </c>
      <c r="E293" s="5" t="s">
        <v>33</v>
      </c>
      <c r="F293" s="5" t="s">
        <v>2395</v>
      </c>
      <c r="G293" s="7" t="s">
        <v>2396</v>
      </c>
      <c r="H293" s="7" t="s">
        <v>107</v>
      </c>
      <c r="I293" s="8">
        <v>268000</v>
      </c>
      <c r="J293" s="8"/>
      <c r="K293" s="8"/>
      <c r="L293" s="8">
        <f t="shared" si="124"/>
        <v>321600</v>
      </c>
      <c r="M293" s="8"/>
      <c r="N293" s="8"/>
      <c r="O293" s="15">
        <f t="shared" si="125"/>
        <v>0</v>
      </c>
      <c r="P293" s="15">
        <f t="shared" si="126"/>
        <v>0</v>
      </c>
      <c r="Q293" s="143"/>
      <c r="R293" s="8"/>
      <c r="S293" s="7" t="s">
        <v>2397</v>
      </c>
      <c r="T293" s="7" t="s">
        <v>181</v>
      </c>
      <c r="U293" s="7" t="s">
        <v>2398</v>
      </c>
      <c r="V293" s="7"/>
      <c r="W293" s="9" t="s">
        <v>2399</v>
      </c>
      <c r="X293" s="10">
        <v>45322</v>
      </c>
      <c r="Y293" s="7" t="s">
        <v>41</v>
      </c>
      <c r="Z293" s="7"/>
      <c r="AA293" s="65"/>
      <c r="AB293" s="7">
        <v>307</v>
      </c>
      <c r="AC293" s="9">
        <v>160</v>
      </c>
      <c r="AD293" s="9"/>
      <c r="AE293" s="9"/>
      <c r="AF293" s="9"/>
      <c r="AG293" s="9"/>
      <c r="AH293" s="9"/>
      <c r="AI293" s="9"/>
      <c r="AJ293" s="9"/>
      <c r="AK293" s="9"/>
      <c r="AL293" s="9"/>
      <c r="AM293" s="9">
        <v>305</v>
      </c>
      <c r="AN293" s="9"/>
      <c r="AO293" s="9"/>
      <c r="AP293" s="9">
        <f t="shared" si="114"/>
        <v>3</v>
      </c>
      <c r="AQ293" s="62">
        <f t="shared" si="115"/>
        <v>257.33333333333331</v>
      </c>
      <c r="AR293" s="11" t="str">
        <f>IF(AQ293&gt;='Aprovados Recursos do Fundo'!$AQ$1,"APROVADO","REPROVADO")</f>
        <v>APROVADO</v>
      </c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34"/>
      <c r="BD293" s="65"/>
    </row>
    <row r="294" spans="2:56" s="64" customFormat="1" ht="38.25" hidden="1" x14ac:dyDescent="0.25">
      <c r="B294" s="5">
        <v>491</v>
      </c>
      <c r="C294" s="22" t="s">
        <v>2400</v>
      </c>
      <c r="D294" s="99"/>
      <c r="E294" s="5" t="s">
        <v>51</v>
      </c>
      <c r="F294" s="9" t="s">
        <v>2401</v>
      </c>
      <c r="G294" s="9" t="s">
        <v>2402</v>
      </c>
      <c r="H294" s="11" t="s">
        <v>36</v>
      </c>
      <c r="I294" s="41">
        <v>150000</v>
      </c>
      <c r="J294" s="41"/>
      <c r="K294" s="41"/>
      <c r="L294" s="8">
        <v>180000</v>
      </c>
      <c r="M294" s="41"/>
      <c r="N294" s="41"/>
      <c r="O294" s="41"/>
      <c r="P294" s="41"/>
      <c r="Q294" s="143"/>
      <c r="R294" s="41"/>
      <c r="S294" s="9" t="s">
        <v>2397</v>
      </c>
      <c r="T294" s="11" t="s">
        <v>181</v>
      </c>
      <c r="U294" s="9" t="s">
        <v>2403</v>
      </c>
      <c r="V294" s="9"/>
      <c r="W294" s="67" t="s">
        <v>2404</v>
      </c>
      <c r="X294" s="34">
        <v>45322</v>
      </c>
      <c r="Y294" s="9" t="s">
        <v>41</v>
      </c>
      <c r="Z294" s="11" t="s">
        <v>2405</v>
      </c>
      <c r="AA294" s="65"/>
      <c r="AB294" s="9">
        <v>340</v>
      </c>
      <c r="AC294" s="9"/>
      <c r="AD294" s="9"/>
      <c r="AE294" s="9">
        <v>210</v>
      </c>
      <c r="AF294" s="9"/>
      <c r="AG294" s="9"/>
      <c r="AH294" s="9"/>
      <c r="AI294" s="9"/>
      <c r="AJ294" s="9"/>
      <c r="AK294" s="9"/>
      <c r="AL294" s="9"/>
      <c r="AM294" s="9"/>
      <c r="AN294" s="9">
        <v>340</v>
      </c>
      <c r="AO294" s="65"/>
      <c r="AP294" s="9">
        <f t="shared" si="114"/>
        <v>3</v>
      </c>
      <c r="AQ294" s="62">
        <f t="shared" si="115"/>
        <v>296.66666666666669</v>
      </c>
      <c r="AR294" s="11" t="str">
        <f>IF(AQ294&gt;='Aprovados Recursos do Fundo'!$AQ$1,"APROVADO","REPROVADO")</f>
        <v>APROVADO</v>
      </c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34"/>
      <c r="BD294" s="65"/>
    </row>
    <row r="295" spans="2:56" s="64" customFormat="1" ht="39.950000000000003" hidden="1" customHeight="1" x14ac:dyDescent="0.25">
      <c r="B295" s="5">
        <v>493</v>
      </c>
      <c r="C295" s="27" t="s">
        <v>2411</v>
      </c>
      <c r="D295" s="104" t="s">
        <v>4227</v>
      </c>
      <c r="E295" s="5" t="s">
        <v>33</v>
      </c>
      <c r="F295" s="5" t="s">
        <v>2412</v>
      </c>
      <c r="G295" s="7" t="s">
        <v>2413</v>
      </c>
      <c r="H295" s="7" t="s">
        <v>36</v>
      </c>
      <c r="I295" s="8">
        <v>600000</v>
      </c>
      <c r="J295" s="8"/>
      <c r="K295" s="8"/>
      <c r="L295" s="8">
        <f t="shared" ref="L295:L298" si="127">I295*1.2</f>
        <v>720000</v>
      </c>
      <c r="M295" s="8"/>
      <c r="N295" s="8"/>
      <c r="O295" s="15">
        <f t="shared" ref="O295:O298" si="128">M295*0.83333332117758</f>
        <v>0</v>
      </c>
      <c r="P295" s="15">
        <f t="shared" ref="P295:P298" si="129">M295*0.16666667882242</f>
        <v>0</v>
      </c>
      <c r="Q295" s="143"/>
      <c r="R295" s="8"/>
      <c r="S295" s="7" t="s">
        <v>73</v>
      </c>
      <c r="T295" s="7" t="s">
        <v>74</v>
      </c>
      <c r="U295" s="7" t="s">
        <v>2414</v>
      </c>
      <c r="V295" s="7"/>
      <c r="W295" s="9" t="s">
        <v>2415</v>
      </c>
      <c r="X295" s="10">
        <v>45322</v>
      </c>
      <c r="Y295" s="7" t="s">
        <v>41</v>
      </c>
      <c r="Z295" s="7"/>
      <c r="AA295" s="65"/>
      <c r="AB295" s="7">
        <v>316</v>
      </c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>
        <v>268</v>
      </c>
      <c r="AN295" s="9">
        <v>292</v>
      </c>
      <c r="AO295" s="9"/>
      <c r="AP295" s="9">
        <f t="shared" si="114"/>
        <v>3</v>
      </c>
      <c r="AQ295" s="62">
        <f t="shared" si="115"/>
        <v>292</v>
      </c>
      <c r="AR295" s="11" t="str">
        <f>IF(AQ295&gt;='Aprovados Recursos do Fundo'!$AQ$1,"APROVADO","REPROVADO")</f>
        <v>APROVADO</v>
      </c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34"/>
      <c r="BD295" s="65"/>
    </row>
    <row r="296" spans="2:56" s="64" customFormat="1" ht="39.950000000000003" hidden="1" customHeight="1" x14ac:dyDescent="0.25">
      <c r="B296" s="5">
        <v>494</v>
      </c>
      <c r="C296" s="6" t="s">
        <v>2416</v>
      </c>
      <c r="D296" s="101" t="s">
        <v>4228</v>
      </c>
      <c r="E296" s="5" t="s">
        <v>33</v>
      </c>
      <c r="F296" s="5" t="s">
        <v>2417</v>
      </c>
      <c r="G296" s="7" t="s">
        <v>2418</v>
      </c>
      <c r="H296" s="7" t="s">
        <v>107</v>
      </c>
      <c r="I296" s="8">
        <v>1261817.04</v>
      </c>
      <c r="J296" s="8"/>
      <c r="K296" s="8"/>
      <c r="L296" s="8">
        <f t="shared" si="127"/>
        <v>1514180.4480000001</v>
      </c>
      <c r="M296" s="8"/>
      <c r="N296" s="8"/>
      <c r="O296" s="15">
        <f t="shared" si="128"/>
        <v>0</v>
      </c>
      <c r="P296" s="15">
        <f t="shared" si="129"/>
        <v>0</v>
      </c>
      <c r="Q296" s="143"/>
      <c r="R296" s="8"/>
      <c r="S296" s="7" t="s">
        <v>73</v>
      </c>
      <c r="T296" s="7" t="s">
        <v>74</v>
      </c>
      <c r="U296" s="7" t="s">
        <v>2419</v>
      </c>
      <c r="V296" s="7"/>
      <c r="W296" s="9" t="s">
        <v>2420</v>
      </c>
      <c r="X296" s="10">
        <v>45322</v>
      </c>
      <c r="Y296" s="7" t="s">
        <v>67</v>
      </c>
      <c r="Z296" s="7"/>
      <c r="AA296" s="65"/>
      <c r="AB296" s="7">
        <v>245</v>
      </c>
      <c r="AC296" s="9"/>
      <c r="AD296" s="9">
        <v>210</v>
      </c>
      <c r="AE296" s="9"/>
      <c r="AF296" s="9"/>
      <c r="AG296" s="9"/>
      <c r="AH296" s="9"/>
      <c r="AI296" s="9"/>
      <c r="AJ296" s="9">
        <v>245</v>
      </c>
      <c r="AK296" s="9"/>
      <c r="AL296" s="9"/>
      <c r="AM296" s="9"/>
      <c r="AN296" s="9"/>
      <c r="AO296" s="9"/>
      <c r="AP296" s="9">
        <f t="shared" si="114"/>
        <v>3</v>
      </c>
      <c r="AQ296" s="62">
        <f t="shared" si="115"/>
        <v>233.33333333333334</v>
      </c>
      <c r="AR296" s="11" t="str">
        <f>IF(AQ296&gt;='Aprovados Recursos do Fundo'!$AQ$1,"APROVADO","REPROVADO")</f>
        <v>APROVADO</v>
      </c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34"/>
      <c r="BD296" s="65"/>
    </row>
    <row r="297" spans="2:56" s="64" customFormat="1" ht="39.950000000000003" hidden="1" customHeight="1" x14ac:dyDescent="0.25">
      <c r="B297" s="5">
        <v>495</v>
      </c>
      <c r="C297" s="6" t="s">
        <v>2421</v>
      </c>
      <c r="D297" s="100" t="s">
        <v>4229</v>
      </c>
      <c r="E297" s="5" t="s">
        <v>33</v>
      </c>
      <c r="F297" s="58" t="s">
        <v>2422</v>
      </c>
      <c r="G297" s="7" t="s">
        <v>2423</v>
      </c>
      <c r="H297" s="7" t="s">
        <v>336</v>
      </c>
      <c r="I297" s="8">
        <v>516590.96</v>
      </c>
      <c r="J297" s="8"/>
      <c r="K297" s="8"/>
      <c r="L297" s="8">
        <f t="shared" si="127"/>
        <v>619909.152</v>
      </c>
      <c r="M297" s="8"/>
      <c r="N297" s="8"/>
      <c r="O297" s="15">
        <f t="shared" si="128"/>
        <v>0</v>
      </c>
      <c r="P297" s="15">
        <f t="shared" si="129"/>
        <v>0</v>
      </c>
      <c r="Q297" s="143"/>
      <c r="R297" s="8"/>
      <c r="S297" s="7" t="s">
        <v>201</v>
      </c>
      <c r="T297" s="7" t="s">
        <v>202</v>
      </c>
      <c r="U297" s="7" t="s">
        <v>2424</v>
      </c>
      <c r="V297" s="7">
        <v>1</v>
      </c>
      <c r="W297" s="9" t="s">
        <v>2425</v>
      </c>
      <c r="X297" s="10">
        <v>45322</v>
      </c>
      <c r="Y297" s="7" t="s">
        <v>67</v>
      </c>
      <c r="Z297" s="9"/>
      <c r="AA297" s="65"/>
      <c r="AB297" s="7">
        <v>262</v>
      </c>
      <c r="AC297" s="9"/>
      <c r="AD297" s="9">
        <v>281</v>
      </c>
      <c r="AE297" s="9"/>
      <c r="AF297" s="9"/>
      <c r="AG297" s="9"/>
      <c r="AH297" s="9"/>
      <c r="AI297" s="9">
        <v>249</v>
      </c>
      <c r="AJ297" s="9"/>
      <c r="AK297" s="9"/>
      <c r="AL297" s="9"/>
      <c r="AM297" s="9"/>
      <c r="AN297" s="9"/>
      <c r="AO297" s="9"/>
      <c r="AP297" s="9">
        <f t="shared" si="114"/>
        <v>3</v>
      </c>
      <c r="AQ297" s="62">
        <f t="shared" si="115"/>
        <v>264</v>
      </c>
      <c r="AR297" s="11" t="str">
        <f>IF(AQ297&gt;=$AR$1,"APROVADO","REPROVADO")</f>
        <v>APROVADO</v>
      </c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34"/>
      <c r="BD297" s="65"/>
    </row>
    <row r="298" spans="2:56" s="64" customFormat="1" ht="39.950000000000003" hidden="1" customHeight="1" x14ac:dyDescent="0.25">
      <c r="B298" s="5">
        <v>496</v>
      </c>
      <c r="C298" s="6" t="s">
        <v>2426</v>
      </c>
      <c r="D298" s="100" t="s">
        <v>4230</v>
      </c>
      <c r="E298" s="5" t="s">
        <v>33</v>
      </c>
      <c r="F298" s="5" t="s">
        <v>2422</v>
      </c>
      <c r="G298" s="5" t="s">
        <v>2427</v>
      </c>
      <c r="H298" s="7" t="s">
        <v>300</v>
      </c>
      <c r="I298" s="8">
        <v>505667</v>
      </c>
      <c r="J298" s="8"/>
      <c r="K298" s="8"/>
      <c r="L298" s="8">
        <f t="shared" si="127"/>
        <v>606800.4</v>
      </c>
      <c r="M298" s="8"/>
      <c r="N298" s="8"/>
      <c r="O298" s="15">
        <f t="shared" si="128"/>
        <v>0</v>
      </c>
      <c r="P298" s="15">
        <f t="shared" si="129"/>
        <v>0</v>
      </c>
      <c r="Q298" s="143"/>
      <c r="R298" s="8"/>
      <c r="S298" s="7" t="s">
        <v>201</v>
      </c>
      <c r="T298" s="7" t="s">
        <v>202</v>
      </c>
      <c r="U298" s="7" t="s">
        <v>2424</v>
      </c>
      <c r="V298" s="7">
        <v>1</v>
      </c>
      <c r="W298" s="31" t="s">
        <v>2425</v>
      </c>
      <c r="X298" s="10">
        <v>45322</v>
      </c>
      <c r="Y298" s="5" t="s">
        <v>67</v>
      </c>
      <c r="Z298" s="9"/>
      <c r="AA298" s="65"/>
      <c r="AB298" s="5">
        <v>267</v>
      </c>
      <c r="AC298" s="9"/>
      <c r="AD298" s="9"/>
      <c r="AE298" s="9"/>
      <c r="AF298" s="9"/>
      <c r="AG298" s="9"/>
      <c r="AH298" s="9"/>
      <c r="AI298" s="9">
        <v>316</v>
      </c>
      <c r="AJ298" s="9">
        <v>316</v>
      </c>
      <c r="AK298" s="9"/>
      <c r="AL298" s="9"/>
      <c r="AM298" s="9"/>
      <c r="AN298" s="9"/>
      <c r="AO298" s="9"/>
      <c r="AP298" s="9">
        <f t="shared" si="114"/>
        <v>3</v>
      </c>
      <c r="AQ298" s="62">
        <f t="shared" si="115"/>
        <v>299.66666666666669</v>
      </c>
      <c r="AR298" s="11" t="str">
        <f>IF(AQ298&gt;='Aprovados Recursos do Fundo'!$AQ$1,"APROVADO","REPROVADO")</f>
        <v>APROVADO</v>
      </c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34"/>
      <c r="BD298" s="65"/>
    </row>
    <row r="299" spans="2:56" s="64" customFormat="1" ht="39.950000000000003" hidden="1" customHeight="1" x14ac:dyDescent="0.25">
      <c r="B299" s="5">
        <v>497</v>
      </c>
      <c r="C299" s="22" t="s">
        <v>2428</v>
      </c>
      <c r="D299" s="9"/>
      <c r="E299" s="5" t="s">
        <v>51</v>
      </c>
      <c r="F299" s="9" t="s">
        <v>2429</v>
      </c>
      <c r="G299" s="9" t="s">
        <v>2402</v>
      </c>
      <c r="H299" s="11" t="s">
        <v>36</v>
      </c>
      <c r="I299" s="41">
        <v>164000</v>
      </c>
      <c r="J299" s="41"/>
      <c r="K299" s="41"/>
      <c r="L299" s="8">
        <v>196800</v>
      </c>
      <c r="M299" s="41"/>
      <c r="N299" s="41"/>
      <c r="O299" s="41"/>
      <c r="P299" s="41"/>
      <c r="Q299" s="143"/>
      <c r="R299" s="41"/>
      <c r="S299" s="9" t="s">
        <v>2430</v>
      </c>
      <c r="T299" s="11" t="s">
        <v>47</v>
      </c>
      <c r="U299" s="9" t="s">
        <v>2431</v>
      </c>
      <c r="V299" s="9"/>
      <c r="W299" s="67" t="s">
        <v>2432</v>
      </c>
      <c r="X299" s="34">
        <v>45322</v>
      </c>
      <c r="Y299" s="9" t="s">
        <v>41</v>
      </c>
      <c r="Z299" s="9"/>
      <c r="AA299" s="65"/>
      <c r="AB299" s="9">
        <v>304</v>
      </c>
      <c r="AC299" s="9">
        <v>223</v>
      </c>
      <c r="AD299" s="9"/>
      <c r="AE299" s="9">
        <v>237</v>
      </c>
      <c r="AF299" s="9"/>
      <c r="AG299" s="9"/>
      <c r="AH299" s="9"/>
      <c r="AI299" s="9"/>
      <c r="AJ299" s="9"/>
      <c r="AK299" s="9"/>
      <c r="AL299" s="9"/>
      <c r="AM299" s="9"/>
      <c r="AN299" s="65"/>
      <c r="AO299" s="65"/>
      <c r="AP299" s="9">
        <f t="shared" si="114"/>
        <v>3</v>
      </c>
      <c r="AQ299" s="62">
        <f t="shared" si="115"/>
        <v>254.66666666666666</v>
      </c>
      <c r="AR299" s="11" t="str">
        <f>IF(AQ299&gt;='Aprovados Recursos do Fundo'!$AQ$1,"APROVADO","REPROVADO")</f>
        <v>APROVADO</v>
      </c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34"/>
      <c r="BD299" s="65"/>
    </row>
    <row r="300" spans="2:56" s="64" customFormat="1" ht="39.950000000000003" hidden="1" customHeight="1" x14ac:dyDescent="0.25">
      <c r="B300" s="5">
        <v>498</v>
      </c>
      <c r="C300" s="27" t="s">
        <v>2433</v>
      </c>
      <c r="D300" s="101" t="s">
        <v>4231</v>
      </c>
      <c r="E300" s="5" t="s">
        <v>33</v>
      </c>
      <c r="F300" s="5" t="s">
        <v>2434</v>
      </c>
      <c r="G300" s="7" t="s">
        <v>2435</v>
      </c>
      <c r="H300" s="7" t="s">
        <v>36</v>
      </c>
      <c r="I300" s="8">
        <v>2004407.56</v>
      </c>
      <c r="J300" s="8"/>
      <c r="K300" s="8"/>
      <c r="L300" s="8">
        <f t="shared" ref="L300:L301" si="130">I300*1.2</f>
        <v>2405289.0720000002</v>
      </c>
      <c r="M300" s="8"/>
      <c r="N300" s="8"/>
      <c r="O300" s="15">
        <f t="shared" ref="O300:O301" si="131">M300*0.83333332117758</f>
        <v>0</v>
      </c>
      <c r="P300" s="15">
        <f t="shared" ref="P300:P301" si="132">M300*0.16666667882242</f>
        <v>0</v>
      </c>
      <c r="Q300" s="143"/>
      <c r="R300" s="8"/>
      <c r="S300" s="7" t="s">
        <v>2436</v>
      </c>
      <c r="T300" s="7" t="s">
        <v>254</v>
      </c>
      <c r="U300" s="7" t="s">
        <v>2437</v>
      </c>
      <c r="V300" s="7"/>
      <c r="W300" s="9" t="s">
        <v>2438</v>
      </c>
      <c r="X300" s="10">
        <v>45322</v>
      </c>
      <c r="Y300" s="7" t="s">
        <v>41</v>
      </c>
      <c r="Z300" s="7"/>
      <c r="AA300" s="65"/>
      <c r="AB300" s="7">
        <v>335</v>
      </c>
      <c r="AC300" s="9">
        <v>231</v>
      </c>
      <c r="AD300" s="9"/>
      <c r="AE300" s="9">
        <v>300</v>
      </c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>
        <f t="shared" si="114"/>
        <v>3</v>
      </c>
      <c r="AQ300" s="62">
        <f t="shared" si="115"/>
        <v>288.66666666666669</v>
      </c>
      <c r="AR300" s="11" t="str">
        <f>IF(AQ300&gt;='Aprovados Recursos do Fundo'!$AQ$1,"APROVADO","REPROVADO")</f>
        <v>APROVADO</v>
      </c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34"/>
      <c r="BD300" s="65"/>
    </row>
    <row r="301" spans="2:56" s="64" customFormat="1" ht="39.950000000000003" hidden="1" customHeight="1" x14ac:dyDescent="0.25">
      <c r="B301" s="5">
        <v>499</v>
      </c>
      <c r="C301" s="27" t="s">
        <v>2439</v>
      </c>
      <c r="D301" s="101" t="s">
        <v>4232</v>
      </c>
      <c r="E301" s="5" t="s">
        <v>33</v>
      </c>
      <c r="F301" s="5" t="s">
        <v>2440</v>
      </c>
      <c r="G301" s="7" t="s">
        <v>2441</v>
      </c>
      <c r="H301" s="7" t="s">
        <v>107</v>
      </c>
      <c r="I301" s="8">
        <v>280000</v>
      </c>
      <c r="J301" s="8"/>
      <c r="K301" s="8"/>
      <c r="L301" s="8">
        <f t="shared" si="130"/>
        <v>336000</v>
      </c>
      <c r="M301" s="8"/>
      <c r="N301" s="8"/>
      <c r="O301" s="15">
        <f t="shared" si="131"/>
        <v>0</v>
      </c>
      <c r="P301" s="15">
        <f t="shared" si="132"/>
        <v>0</v>
      </c>
      <c r="Q301" s="143"/>
      <c r="R301" s="8"/>
      <c r="S301" s="7" t="s">
        <v>2442</v>
      </c>
      <c r="T301" s="7" t="s">
        <v>795</v>
      </c>
      <c r="U301" s="7" t="s">
        <v>2443</v>
      </c>
      <c r="V301" s="7"/>
      <c r="W301" s="9" t="s">
        <v>2444</v>
      </c>
      <c r="X301" s="10">
        <v>45322</v>
      </c>
      <c r="Y301" s="7" t="s">
        <v>41</v>
      </c>
      <c r="Z301" s="7"/>
      <c r="AA301" s="65"/>
      <c r="AB301" s="7">
        <v>302</v>
      </c>
      <c r="AC301" s="9">
        <v>141</v>
      </c>
      <c r="AD301" s="65"/>
      <c r="AE301" s="9"/>
      <c r="AF301" s="9"/>
      <c r="AG301" s="9"/>
      <c r="AH301" s="9"/>
      <c r="AI301" s="9"/>
      <c r="AJ301" s="9"/>
      <c r="AK301" s="9"/>
      <c r="AL301" s="9"/>
      <c r="AM301" s="9">
        <v>314</v>
      </c>
      <c r="AN301" s="9"/>
      <c r="AO301" s="9"/>
      <c r="AP301" s="9">
        <f t="shared" si="114"/>
        <v>3</v>
      </c>
      <c r="AQ301" s="62">
        <f t="shared" si="115"/>
        <v>252.33333333333334</v>
      </c>
      <c r="AR301" s="11" t="str">
        <f>IF(AQ301&gt;='Aprovados Recursos do Fundo'!$AQ$1,"APROVADO","REPROVADO")</f>
        <v>APROVADO</v>
      </c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34"/>
      <c r="BD301" s="65"/>
    </row>
    <row r="302" spans="2:56" s="64" customFormat="1" ht="39.950000000000003" hidden="1" customHeight="1" x14ac:dyDescent="0.25">
      <c r="B302" s="5">
        <v>502</v>
      </c>
      <c r="C302" s="22" t="s">
        <v>2456</v>
      </c>
      <c r="D302" s="9"/>
      <c r="E302" s="5" t="s">
        <v>51</v>
      </c>
      <c r="F302" s="9" t="s">
        <v>2457</v>
      </c>
      <c r="G302" s="9" t="s">
        <v>2458</v>
      </c>
      <c r="H302" s="11" t="s">
        <v>107</v>
      </c>
      <c r="I302" s="41">
        <v>150000</v>
      </c>
      <c r="J302" s="41"/>
      <c r="K302" s="41"/>
      <c r="L302" s="8">
        <v>180000</v>
      </c>
      <c r="M302" s="41"/>
      <c r="N302" s="41"/>
      <c r="O302" s="41"/>
      <c r="P302" s="41"/>
      <c r="Q302" s="143"/>
      <c r="R302" s="41"/>
      <c r="S302" s="9" t="s">
        <v>2459</v>
      </c>
      <c r="T302" s="11" t="s">
        <v>47</v>
      </c>
      <c r="U302" s="9" t="s">
        <v>2460</v>
      </c>
      <c r="V302" s="9"/>
      <c r="W302" s="67" t="s">
        <v>2461</v>
      </c>
      <c r="X302" s="34">
        <v>45322</v>
      </c>
      <c r="Y302" s="9" t="s">
        <v>57</v>
      </c>
      <c r="Z302" s="11" t="s">
        <v>118</v>
      </c>
      <c r="AA302" s="9"/>
      <c r="AB302" s="9">
        <v>230</v>
      </c>
      <c r="AC302" s="9"/>
      <c r="AD302" s="9"/>
      <c r="AE302" s="9"/>
      <c r="AF302" s="9"/>
      <c r="AG302" s="9">
        <v>236</v>
      </c>
      <c r="AH302" s="9">
        <v>240</v>
      </c>
      <c r="AI302" s="9"/>
      <c r="AJ302" s="9"/>
      <c r="AK302" s="9"/>
      <c r="AL302" s="9"/>
      <c r="AM302" s="9"/>
      <c r="AN302" s="65"/>
      <c r="AO302" s="65"/>
      <c r="AP302" s="9">
        <f t="shared" si="114"/>
        <v>3</v>
      </c>
      <c r="AQ302" s="62">
        <f t="shared" si="115"/>
        <v>235.33333333333334</v>
      </c>
      <c r="AR302" s="11" t="str">
        <f>IF(AQ302&gt;='Aprovados Recursos do Fundo'!$AQ$1,"APROVADO","REPROVADO")</f>
        <v>APROVADO</v>
      </c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34"/>
      <c r="BD302" s="65"/>
    </row>
    <row r="303" spans="2:56" s="64" customFormat="1" ht="39.950000000000003" hidden="1" customHeight="1" x14ac:dyDescent="0.25">
      <c r="B303" s="5">
        <v>506</v>
      </c>
      <c r="C303" s="27" t="s">
        <v>2474</v>
      </c>
      <c r="D303" s="101" t="s">
        <v>4233</v>
      </c>
      <c r="E303" s="5" t="s">
        <v>33</v>
      </c>
      <c r="F303" s="5" t="s">
        <v>2475</v>
      </c>
      <c r="G303" s="7" t="s">
        <v>2476</v>
      </c>
      <c r="H303" s="7" t="s">
        <v>36</v>
      </c>
      <c r="I303" s="8">
        <v>588000</v>
      </c>
      <c r="J303" s="8"/>
      <c r="K303" s="8"/>
      <c r="L303" s="8">
        <f>I303*1.2</f>
        <v>705600</v>
      </c>
      <c r="M303" s="8"/>
      <c r="N303" s="8"/>
      <c r="O303" s="15">
        <f>M303*0.83333332117758</f>
        <v>0</v>
      </c>
      <c r="P303" s="15">
        <f>M303*0.16666667882242</f>
        <v>0</v>
      </c>
      <c r="Q303" s="143"/>
      <c r="R303" s="8"/>
      <c r="S303" s="7" t="s">
        <v>2477</v>
      </c>
      <c r="T303" s="7" t="s">
        <v>235</v>
      </c>
      <c r="U303" s="7" t="s">
        <v>2478</v>
      </c>
      <c r="V303" s="7"/>
      <c r="W303" s="9" t="s">
        <v>2479</v>
      </c>
      <c r="X303" s="10">
        <v>45322</v>
      </c>
      <c r="Y303" s="7" t="s">
        <v>41</v>
      </c>
      <c r="Z303" s="7"/>
      <c r="AA303" s="7" t="s">
        <v>2480</v>
      </c>
      <c r="AB303" s="7">
        <v>333</v>
      </c>
      <c r="AC303" s="9"/>
      <c r="AD303" s="9"/>
      <c r="AE303" s="9">
        <v>259</v>
      </c>
      <c r="AF303" s="9"/>
      <c r="AG303" s="9"/>
      <c r="AH303" s="9"/>
      <c r="AI303" s="9"/>
      <c r="AJ303" s="9"/>
      <c r="AK303" s="9"/>
      <c r="AL303" s="9"/>
      <c r="AM303" s="9"/>
      <c r="AN303" s="9">
        <v>307</v>
      </c>
      <c r="AO303" s="9"/>
      <c r="AP303" s="9">
        <f t="shared" si="114"/>
        <v>3</v>
      </c>
      <c r="AQ303" s="62">
        <f t="shared" si="115"/>
        <v>299.66666666666669</v>
      </c>
      <c r="AR303" s="11" t="str">
        <f>IF(AQ303&gt;='Aprovados Recursos do Fundo'!$AQ$1,"APROVADO","REPROVADO")</f>
        <v>APROVADO</v>
      </c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34"/>
      <c r="BD303" s="65"/>
    </row>
    <row r="304" spans="2:56" s="64" customFormat="1" ht="39.950000000000003" hidden="1" customHeight="1" x14ac:dyDescent="0.25">
      <c r="B304" s="5">
        <v>507</v>
      </c>
      <c r="C304" s="22" t="s">
        <v>2481</v>
      </c>
      <c r="D304" s="99"/>
      <c r="E304" s="5" t="s">
        <v>51</v>
      </c>
      <c r="F304" s="59" t="s">
        <v>2482</v>
      </c>
      <c r="G304" s="9" t="s">
        <v>1053</v>
      </c>
      <c r="H304" s="11" t="s">
        <v>107</v>
      </c>
      <c r="I304" s="41">
        <v>239275</v>
      </c>
      <c r="J304" s="41"/>
      <c r="K304" s="41"/>
      <c r="L304" s="8">
        <v>287130</v>
      </c>
      <c r="M304" s="41"/>
      <c r="N304" s="41"/>
      <c r="O304" s="41"/>
      <c r="P304" s="41"/>
      <c r="Q304" s="143"/>
      <c r="R304" s="41"/>
      <c r="S304" s="9" t="s">
        <v>390</v>
      </c>
      <c r="T304" s="11" t="s">
        <v>391</v>
      </c>
      <c r="U304" s="9" t="s">
        <v>2483</v>
      </c>
      <c r="V304" s="9"/>
      <c r="W304" s="67" t="s">
        <v>2461</v>
      </c>
      <c r="X304" s="34">
        <v>45322</v>
      </c>
      <c r="Y304" s="9" t="s">
        <v>57</v>
      </c>
      <c r="Z304" s="11" t="s">
        <v>2484</v>
      </c>
      <c r="AA304" s="9"/>
      <c r="AB304" s="9">
        <v>273</v>
      </c>
      <c r="AC304" s="9"/>
      <c r="AD304" s="9"/>
      <c r="AE304" s="9"/>
      <c r="AF304" s="9"/>
      <c r="AG304" s="9"/>
      <c r="AH304" s="9"/>
      <c r="AI304" s="9">
        <v>300</v>
      </c>
      <c r="AJ304" s="9">
        <v>331</v>
      </c>
      <c r="AK304" s="9"/>
      <c r="AL304" s="9"/>
      <c r="AM304" s="9"/>
      <c r="AN304" s="65"/>
      <c r="AO304" s="65"/>
      <c r="AP304" s="9">
        <f t="shared" si="114"/>
        <v>3</v>
      </c>
      <c r="AQ304" s="62">
        <f t="shared" si="115"/>
        <v>301.33333333333331</v>
      </c>
      <c r="AR304" s="11" t="str">
        <f>IF(AQ304&gt;=$AR$1,"APROVADO","REPROVADO")</f>
        <v>APROVADO</v>
      </c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34"/>
      <c r="BD304" s="65"/>
    </row>
    <row r="305" spans="2:57" s="64" customFormat="1" ht="39.950000000000003" hidden="1" customHeight="1" x14ac:dyDescent="0.25">
      <c r="B305" s="5">
        <v>510</v>
      </c>
      <c r="C305" s="27" t="s">
        <v>2492</v>
      </c>
      <c r="D305" s="100" t="s">
        <v>4234</v>
      </c>
      <c r="E305" s="5" t="s">
        <v>33</v>
      </c>
      <c r="F305" s="5" t="s">
        <v>2493</v>
      </c>
      <c r="G305" s="7" t="s">
        <v>2494</v>
      </c>
      <c r="H305" s="7" t="s">
        <v>107</v>
      </c>
      <c r="I305" s="8">
        <v>1224168</v>
      </c>
      <c r="J305" s="8"/>
      <c r="K305" s="8"/>
      <c r="L305" s="8">
        <f t="shared" ref="L305:L309" si="133">I305*1.2</f>
        <v>1469001.5999999999</v>
      </c>
      <c r="M305" s="8"/>
      <c r="N305" s="8"/>
      <c r="O305" s="15">
        <f t="shared" ref="O305:O310" si="134">M305*0.83333332117758</f>
        <v>0</v>
      </c>
      <c r="P305" s="15">
        <f t="shared" ref="P305:P310" si="135">M305*0.16666667882242</f>
        <v>0</v>
      </c>
      <c r="Q305" s="143"/>
      <c r="R305" s="8"/>
      <c r="S305" s="7" t="s">
        <v>1732</v>
      </c>
      <c r="T305" s="7" t="s">
        <v>235</v>
      </c>
      <c r="U305" s="7" t="s">
        <v>2495</v>
      </c>
      <c r="V305" s="7">
        <v>1</v>
      </c>
      <c r="W305" s="31" t="s">
        <v>2496</v>
      </c>
      <c r="X305" s="10">
        <v>45322</v>
      </c>
      <c r="Y305" s="7" t="s">
        <v>41</v>
      </c>
      <c r="Z305" s="7"/>
      <c r="AA305" s="7"/>
      <c r="AB305" s="7">
        <v>319</v>
      </c>
      <c r="AC305" s="9">
        <v>109</v>
      </c>
      <c r="AD305" s="9"/>
      <c r="AE305" s="9"/>
      <c r="AF305" s="9"/>
      <c r="AG305" s="9"/>
      <c r="AH305" s="9"/>
      <c r="AI305" s="9"/>
      <c r="AJ305" s="9"/>
      <c r="AK305" s="9">
        <v>283</v>
      </c>
      <c r="AL305" s="9"/>
      <c r="AM305" s="9"/>
      <c r="AN305" s="9"/>
      <c r="AO305" s="9"/>
      <c r="AP305" s="9">
        <f t="shared" si="114"/>
        <v>3</v>
      </c>
      <c r="AQ305" s="62">
        <f t="shared" si="115"/>
        <v>237</v>
      </c>
      <c r="AR305" s="11" t="str">
        <f>IF(AQ305&gt;='Aprovados Recursos do Fundo'!$AQ$1,"APROVADO","REPROVADO")</f>
        <v>APROVADO</v>
      </c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34"/>
      <c r="BD305" s="65"/>
    </row>
    <row r="306" spans="2:57" s="64" customFormat="1" ht="39.950000000000003" hidden="1" customHeight="1" x14ac:dyDescent="0.25">
      <c r="B306" s="5">
        <v>511</v>
      </c>
      <c r="C306" s="27" t="s">
        <v>2497</v>
      </c>
      <c r="D306" s="100" t="s">
        <v>4235</v>
      </c>
      <c r="E306" s="5" t="s">
        <v>33</v>
      </c>
      <c r="F306" s="5" t="s">
        <v>2498</v>
      </c>
      <c r="G306" s="7" t="s">
        <v>2499</v>
      </c>
      <c r="H306" s="7" t="s">
        <v>36</v>
      </c>
      <c r="I306" s="8">
        <v>982220</v>
      </c>
      <c r="J306" s="8"/>
      <c r="K306" s="8"/>
      <c r="L306" s="8">
        <f t="shared" si="133"/>
        <v>1178664</v>
      </c>
      <c r="M306" s="8">
        <f>3064.24+711.78+1209.03+2473.1+3833.48+908.29+5652.62+5853.6+644.16+3590.21+3559.83+2138.27+2315.52+611.54+4908.66+2715.25+2315.48+1038.63+1711.18+233.55+5594.85+3407.92+270.61+3568.38+2343.78+1571.9+809.13+5209.11+4753.17+3068.23+368.92+3298.2+1787.6+661.21+2158.17+5580.94+3659.55+378.77+3745.89+707.87+2345.74+2154.13+4462.74+2834.19+98.38+2664.33+1703.39+1487.74+231.75</f>
        <v>120415.01000000002</v>
      </c>
      <c r="N306" s="8">
        <f>L306-M306</f>
        <v>1058248.99</v>
      </c>
      <c r="O306" s="15">
        <f t="shared" si="134"/>
        <v>100345.84020293152</v>
      </c>
      <c r="P306" s="15">
        <f t="shared" si="135"/>
        <v>20069.169797068498</v>
      </c>
      <c r="Q306" s="143">
        <f t="shared" ref="Q306" si="136">M306/L306</f>
        <v>0.10216228713187137</v>
      </c>
      <c r="R306" s="136"/>
      <c r="S306" s="7" t="s">
        <v>2500</v>
      </c>
      <c r="T306" s="7" t="s">
        <v>677</v>
      </c>
      <c r="U306" s="7" t="s">
        <v>2501</v>
      </c>
      <c r="V306" s="7">
        <v>1</v>
      </c>
      <c r="W306" s="9" t="s">
        <v>2502</v>
      </c>
      <c r="X306" s="10">
        <v>45322</v>
      </c>
      <c r="Y306" s="7" t="s">
        <v>41</v>
      </c>
      <c r="Z306" s="7"/>
      <c r="AA306" s="7"/>
      <c r="AB306" s="7">
        <v>335</v>
      </c>
      <c r="AC306" s="9">
        <v>172</v>
      </c>
      <c r="AD306" s="9"/>
      <c r="AE306" s="9">
        <v>240</v>
      </c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>
        <f t="shared" si="114"/>
        <v>3</v>
      </c>
      <c r="AQ306" s="62">
        <f t="shared" si="115"/>
        <v>249</v>
      </c>
      <c r="AR306" s="11" t="str">
        <f>IF(AQ306&gt;='Aprovados Recursos do Fundo'!$AQ$1,"APROVADO","REPROVADO")</f>
        <v>APROVADO</v>
      </c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34"/>
      <c r="BD306" s="65"/>
    </row>
    <row r="307" spans="2:57" s="64" customFormat="1" ht="39.950000000000003" hidden="1" customHeight="1" x14ac:dyDescent="0.25">
      <c r="B307" s="5">
        <v>514</v>
      </c>
      <c r="C307" s="6" t="s">
        <v>2515</v>
      </c>
      <c r="D307" s="100" t="s">
        <v>4236</v>
      </c>
      <c r="E307" s="5" t="s">
        <v>33</v>
      </c>
      <c r="F307" s="7" t="s">
        <v>2516</v>
      </c>
      <c r="G307" s="7" t="s">
        <v>2517</v>
      </c>
      <c r="H307" s="5" t="s">
        <v>62</v>
      </c>
      <c r="I307" s="8">
        <v>749855.9</v>
      </c>
      <c r="J307" s="8"/>
      <c r="K307" s="8"/>
      <c r="L307" s="8">
        <f t="shared" si="133"/>
        <v>899827.08</v>
      </c>
      <c r="M307" s="8"/>
      <c r="N307" s="8"/>
      <c r="O307" s="15">
        <f t="shared" si="134"/>
        <v>0</v>
      </c>
      <c r="P307" s="15">
        <f t="shared" si="135"/>
        <v>0</v>
      </c>
      <c r="Q307" s="143"/>
      <c r="R307" s="8"/>
      <c r="S307" s="7" t="s">
        <v>73</v>
      </c>
      <c r="T307" s="5" t="s">
        <v>74</v>
      </c>
      <c r="U307" s="7" t="s">
        <v>2518</v>
      </c>
      <c r="V307" s="7">
        <v>1</v>
      </c>
      <c r="W307" s="9" t="s">
        <v>2519</v>
      </c>
      <c r="X307" s="10">
        <v>45322</v>
      </c>
      <c r="Y307" s="7" t="s">
        <v>67</v>
      </c>
      <c r="Z307" s="7" t="s">
        <v>68</v>
      </c>
      <c r="AA307" s="7" t="s">
        <v>2520</v>
      </c>
      <c r="AB307" s="7">
        <v>240</v>
      </c>
      <c r="AC307" s="9"/>
      <c r="AD307" s="9"/>
      <c r="AE307" s="9"/>
      <c r="AF307" s="9"/>
      <c r="AG307" s="9"/>
      <c r="AH307" s="9">
        <v>277</v>
      </c>
      <c r="AI307" s="9"/>
      <c r="AJ307" s="9">
        <v>340</v>
      </c>
      <c r="AK307" s="9"/>
      <c r="AL307" s="9"/>
      <c r="AM307" s="9"/>
      <c r="AN307" s="9"/>
      <c r="AO307" s="9"/>
      <c r="AP307" s="9">
        <f t="shared" si="114"/>
        <v>3</v>
      </c>
      <c r="AQ307" s="62">
        <f t="shared" si="115"/>
        <v>285.66666666666669</v>
      </c>
      <c r="AR307" s="11" t="str">
        <f>IF(AQ307&gt;='Aprovados Recursos do Fundo'!$AQ$1,"APROVADO","REPROVADO")</f>
        <v>APROVADO</v>
      </c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34"/>
      <c r="BD307" s="65"/>
    </row>
    <row r="308" spans="2:57" s="64" customFormat="1" ht="39.950000000000003" hidden="1" customHeight="1" x14ac:dyDescent="0.25">
      <c r="B308" s="5">
        <v>515</v>
      </c>
      <c r="C308" s="6" t="s">
        <v>2521</v>
      </c>
      <c r="D308" s="100" t="s">
        <v>4237</v>
      </c>
      <c r="E308" s="5" t="s">
        <v>33</v>
      </c>
      <c r="F308" s="5" t="s">
        <v>2522</v>
      </c>
      <c r="G308" s="7" t="s">
        <v>2523</v>
      </c>
      <c r="H308" s="7" t="s">
        <v>300</v>
      </c>
      <c r="I308" s="8">
        <v>614048.15</v>
      </c>
      <c r="J308" s="8"/>
      <c r="K308" s="8"/>
      <c r="L308" s="8">
        <f t="shared" si="133"/>
        <v>736857.78</v>
      </c>
      <c r="M308" s="8"/>
      <c r="N308" s="8"/>
      <c r="O308" s="15">
        <f t="shared" si="134"/>
        <v>0</v>
      </c>
      <c r="P308" s="15">
        <f t="shared" si="135"/>
        <v>0</v>
      </c>
      <c r="Q308" s="143"/>
      <c r="R308" s="8"/>
      <c r="S308" s="7" t="s">
        <v>1475</v>
      </c>
      <c r="T308" s="7" t="s">
        <v>64</v>
      </c>
      <c r="U308" s="7" t="s">
        <v>2524</v>
      </c>
      <c r="V308" s="7">
        <v>1</v>
      </c>
      <c r="W308" s="9" t="s">
        <v>2525</v>
      </c>
      <c r="X308" s="10">
        <v>45322</v>
      </c>
      <c r="Y308" s="7" t="s">
        <v>67</v>
      </c>
      <c r="Z308" s="7" t="s">
        <v>68</v>
      </c>
      <c r="AA308" s="7"/>
      <c r="AB308" s="7">
        <v>286</v>
      </c>
      <c r="AC308" s="9"/>
      <c r="AD308" s="9">
        <v>271</v>
      </c>
      <c r="AE308" s="9"/>
      <c r="AF308" s="9"/>
      <c r="AG308" s="9"/>
      <c r="AH308" s="9"/>
      <c r="AI308" s="9"/>
      <c r="AJ308" s="9">
        <v>271</v>
      </c>
      <c r="AK308" s="9"/>
      <c r="AL308" s="9"/>
      <c r="AM308" s="9"/>
      <c r="AN308" s="9"/>
      <c r="AO308" s="9"/>
      <c r="AP308" s="9">
        <f t="shared" si="114"/>
        <v>3</v>
      </c>
      <c r="AQ308" s="62">
        <f t="shared" si="115"/>
        <v>276</v>
      </c>
      <c r="AR308" s="11" t="str">
        <f>IF(AQ308&gt;='Aprovados Recursos do Fundo'!$AQ$1,"APROVADO","REPROVADO")</f>
        <v>APROVADO</v>
      </c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34"/>
      <c r="BD308" s="65"/>
    </row>
    <row r="309" spans="2:57" s="64" customFormat="1" ht="39.950000000000003" hidden="1" customHeight="1" x14ac:dyDescent="0.25">
      <c r="B309" s="5">
        <v>516</v>
      </c>
      <c r="C309" s="6" t="s">
        <v>2526</v>
      </c>
      <c r="D309" s="100" t="s">
        <v>4238</v>
      </c>
      <c r="E309" s="5" t="s">
        <v>33</v>
      </c>
      <c r="F309" s="5" t="s">
        <v>2527</v>
      </c>
      <c r="G309" s="7" t="s">
        <v>2528</v>
      </c>
      <c r="H309" s="7" t="s">
        <v>2529</v>
      </c>
      <c r="I309" s="8">
        <v>738261.48</v>
      </c>
      <c r="J309" s="8"/>
      <c r="K309" s="8"/>
      <c r="L309" s="8">
        <f t="shared" si="133"/>
        <v>885913.77599999995</v>
      </c>
      <c r="M309" s="8"/>
      <c r="N309" s="8"/>
      <c r="O309" s="15">
        <f t="shared" si="134"/>
        <v>0</v>
      </c>
      <c r="P309" s="15">
        <f t="shared" si="135"/>
        <v>0</v>
      </c>
      <c r="Q309" s="143"/>
      <c r="R309" s="8"/>
      <c r="S309" s="7" t="s">
        <v>73</v>
      </c>
      <c r="T309" s="5" t="s">
        <v>74</v>
      </c>
      <c r="U309" s="7" t="s">
        <v>2530</v>
      </c>
      <c r="V309" s="7">
        <v>1</v>
      </c>
      <c r="W309" s="9" t="s">
        <v>2531</v>
      </c>
      <c r="X309" s="10">
        <v>45322</v>
      </c>
      <c r="Y309" s="7" t="s">
        <v>41</v>
      </c>
      <c r="Z309" s="7"/>
      <c r="AA309" s="7"/>
      <c r="AB309" s="7">
        <v>275</v>
      </c>
      <c r="AC309" s="9"/>
      <c r="AD309" s="9"/>
      <c r="AE309" s="9"/>
      <c r="AF309" s="9"/>
      <c r="AG309" s="9"/>
      <c r="AH309" s="9"/>
      <c r="AI309" s="9"/>
      <c r="AJ309" s="9"/>
      <c r="AK309" s="9">
        <v>210</v>
      </c>
      <c r="AL309" s="9">
        <v>241</v>
      </c>
      <c r="AM309" s="9"/>
      <c r="AN309" s="9"/>
      <c r="AO309" s="9"/>
      <c r="AP309" s="9">
        <f t="shared" si="114"/>
        <v>3</v>
      </c>
      <c r="AQ309" s="62">
        <f t="shared" si="115"/>
        <v>242</v>
      </c>
      <c r="AR309" s="11" t="str">
        <f>IF(AQ309&gt;='Aprovados Recursos do Fundo'!$AQ$1,"APROVADO","REPROVADO")</f>
        <v>APROVADO</v>
      </c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34"/>
      <c r="BD309" s="65"/>
    </row>
    <row r="310" spans="2:57" s="64" customFormat="1" ht="39.950000000000003" customHeight="1" x14ac:dyDescent="0.25">
      <c r="B310" s="5">
        <v>517</v>
      </c>
      <c r="C310" s="6" t="s">
        <v>2532</v>
      </c>
      <c r="D310" s="100" t="s">
        <v>4239</v>
      </c>
      <c r="E310" s="5" t="s">
        <v>33</v>
      </c>
      <c r="F310" s="5" t="s">
        <v>2516</v>
      </c>
      <c r="G310" s="7" t="s">
        <v>4240</v>
      </c>
      <c r="H310" s="5" t="s">
        <v>62</v>
      </c>
      <c r="I310" s="8">
        <f>J310+K310</f>
        <v>720399</v>
      </c>
      <c r="J310" s="8">
        <v>680131.2</v>
      </c>
      <c r="K310" s="8">
        <v>40267.800000000003</v>
      </c>
      <c r="L310" s="8">
        <f>I310*1.2</f>
        <v>864478.79999999993</v>
      </c>
      <c r="M310" s="8">
        <v>864406.8</v>
      </c>
      <c r="N310" s="8">
        <f>L310-M310</f>
        <v>71.999999999883585</v>
      </c>
      <c r="O310" s="15">
        <f t="shared" si="134"/>
        <v>720338.98949248414</v>
      </c>
      <c r="P310" s="15">
        <f t="shared" si="135"/>
        <v>144067.81050751585</v>
      </c>
      <c r="Q310" s="143">
        <f t="shared" ref="Q310" si="137">M310/L310</f>
        <v>0.99991671282164485</v>
      </c>
      <c r="R310" s="136"/>
      <c r="S310" s="7" t="s">
        <v>73</v>
      </c>
      <c r="T310" s="5" t="s">
        <v>74</v>
      </c>
      <c r="U310" s="7" t="s">
        <v>2518</v>
      </c>
      <c r="V310" s="7">
        <v>1</v>
      </c>
      <c r="W310" s="31" t="s">
        <v>2519</v>
      </c>
      <c r="X310" s="10">
        <v>45322</v>
      </c>
      <c r="Y310" s="7" t="s">
        <v>67</v>
      </c>
      <c r="Z310" s="7" t="s">
        <v>68</v>
      </c>
      <c r="AA310" s="7" t="s">
        <v>2520</v>
      </c>
      <c r="AB310" s="7">
        <v>226</v>
      </c>
      <c r="AC310" s="9"/>
      <c r="AD310" s="9"/>
      <c r="AE310" s="9"/>
      <c r="AF310" s="9"/>
      <c r="AG310" s="9"/>
      <c r="AH310" s="9">
        <v>278</v>
      </c>
      <c r="AI310" s="9"/>
      <c r="AJ310" s="9">
        <v>320</v>
      </c>
      <c r="AK310" s="9"/>
      <c r="AL310" s="9"/>
      <c r="AM310" s="9"/>
      <c r="AN310" s="9"/>
      <c r="AO310" s="9"/>
      <c r="AP310" s="9">
        <f t="shared" si="114"/>
        <v>3</v>
      </c>
      <c r="AQ310" s="62">
        <f t="shared" si="115"/>
        <v>274.66666666666669</v>
      </c>
      <c r="AR310" s="11" t="str">
        <f>IF(AQ310&gt;=$AR$1,"APROVADO","REPROVADO")</f>
        <v>APROVADO</v>
      </c>
      <c r="AS310" s="5" t="s">
        <v>4241</v>
      </c>
      <c r="AT310" s="5" t="s">
        <v>4242</v>
      </c>
      <c r="AU310" s="7" t="s">
        <v>4177</v>
      </c>
      <c r="AV310" s="7"/>
      <c r="AW310" s="7"/>
      <c r="AX310" s="7"/>
      <c r="AY310" s="7"/>
      <c r="AZ310" s="7"/>
      <c r="BA310" s="7"/>
      <c r="BB310" s="7"/>
      <c r="BC310" s="34">
        <v>46092</v>
      </c>
      <c r="BD310" s="140">
        <f>_xlfn.DAYS(BD2,BC310)</f>
        <v>9</v>
      </c>
      <c r="BE310" s="146" t="s">
        <v>4243</v>
      </c>
    </row>
    <row r="311" spans="2:57" s="64" customFormat="1" ht="39.950000000000003" hidden="1" customHeight="1" x14ac:dyDescent="0.25">
      <c r="B311" s="5">
        <v>519</v>
      </c>
      <c r="C311" s="22" t="s">
        <v>2539</v>
      </c>
      <c r="D311" s="99"/>
      <c r="E311" s="5" t="s">
        <v>51</v>
      </c>
      <c r="F311" s="59" t="s">
        <v>2535</v>
      </c>
      <c r="G311" s="9" t="s">
        <v>2540</v>
      </c>
      <c r="H311" s="11" t="s">
        <v>36</v>
      </c>
      <c r="I311" s="41">
        <v>329350</v>
      </c>
      <c r="J311" s="41"/>
      <c r="K311" s="41"/>
      <c r="L311" s="8">
        <v>395220</v>
      </c>
      <c r="M311" s="41"/>
      <c r="N311" s="41"/>
      <c r="O311" s="41"/>
      <c r="P311" s="41"/>
      <c r="Q311" s="41"/>
      <c r="R311" s="41"/>
      <c r="S311" s="9" t="s">
        <v>2138</v>
      </c>
      <c r="T311" s="11" t="s">
        <v>254</v>
      </c>
      <c r="U311" s="11" t="s">
        <v>2537</v>
      </c>
      <c r="V311" s="11"/>
      <c r="W311" s="67" t="s">
        <v>2541</v>
      </c>
      <c r="X311" s="34">
        <v>45322</v>
      </c>
      <c r="Y311" s="9" t="s">
        <v>57</v>
      </c>
      <c r="Z311" s="11" t="s">
        <v>518</v>
      </c>
      <c r="AA311" s="9"/>
      <c r="AB311" s="9">
        <v>293</v>
      </c>
      <c r="AC311" s="9"/>
      <c r="AD311" s="9"/>
      <c r="AE311" s="9"/>
      <c r="AF311" s="9"/>
      <c r="AG311" s="9"/>
      <c r="AH311" s="9"/>
      <c r="AI311" s="9">
        <v>304</v>
      </c>
      <c r="AJ311" s="9">
        <v>304</v>
      </c>
      <c r="AK311" s="9"/>
      <c r="AL311" s="9"/>
      <c r="AM311" s="9"/>
      <c r="AN311" s="65"/>
      <c r="AO311" s="65"/>
      <c r="AP311" s="9">
        <f t="shared" si="114"/>
        <v>3</v>
      </c>
      <c r="AQ311" s="62">
        <f t="shared" si="115"/>
        <v>300.33333333333331</v>
      </c>
      <c r="AR311" s="11" t="str">
        <f>IF(AQ311&gt;=$AR$1,"APROVADO","REPROVADO")</f>
        <v>APROVADO</v>
      </c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</row>
    <row r="312" spans="2:57" s="64" customFormat="1" ht="39.950000000000003" hidden="1" customHeight="1" x14ac:dyDescent="0.25">
      <c r="B312" s="5">
        <v>524</v>
      </c>
      <c r="C312" s="27" t="s">
        <v>2560</v>
      </c>
      <c r="D312" s="100" t="s">
        <v>4244</v>
      </c>
      <c r="E312" s="5" t="s">
        <v>33</v>
      </c>
      <c r="F312" s="5" t="s">
        <v>2561</v>
      </c>
      <c r="G312" s="7" t="s">
        <v>2562</v>
      </c>
      <c r="H312" s="7" t="s">
        <v>336</v>
      </c>
      <c r="I312" s="8">
        <v>632086</v>
      </c>
      <c r="J312" s="8"/>
      <c r="K312" s="8"/>
      <c r="L312" s="8">
        <f t="shared" ref="L312:L334" si="138">I312*1.2</f>
        <v>758503.2</v>
      </c>
      <c r="M312" s="8"/>
      <c r="N312" s="8"/>
      <c r="O312" s="15">
        <f t="shared" ref="O312:O334" si="139">M312*0.83333332117758</f>
        <v>0</v>
      </c>
      <c r="P312" s="15">
        <f t="shared" ref="P312:P334" si="140">M312*0.16666667882242</f>
        <v>0</v>
      </c>
      <c r="Q312" s="8"/>
      <c r="R312" s="8"/>
      <c r="S312" s="7" t="s">
        <v>1732</v>
      </c>
      <c r="T312" s="7" t="s">
        <v>235</v>
      </c>
      <c r="U312" s="7" t="s">
        <v>2563</v>
      </c>
      <c r="V312" s="7">
        <v>1</v>
      </c>
      <c r="W312" s="31" t="s">
        <v>4245</v>
      </c>
      <c r="X312" s="10">
        <v>45322</v>
      </c>
      <c r="Y312" s="7" t="s">
        <v>41</v>
      </c>
      <c r="Z312" s="7"/>
      <c r="AA312" s="7"/>
      <c r="AB312" s="7">
        <v>332</v>
      </c>
      <c r="AC312" s="9">
        <v>161</v>
      </c>
      <c r="AD312" s="9"/>
      <c r="AE312" s="9"/>
      <c r="AF312" s="9"/>
      <c r="AG312" s="9"/>
      <c r="AH312" s="9"/>
      <c r="AI312" s="9"/>
      <c r="AJ312" s="9"/>
      <c r="AK312" s="9">
        <v>314</v>
      </c>
      <c r="AL312" s="9"/>
      <c r="AM312" s="9"/>
      <c r="AN312" s="9"/>
      <c r="AO312" s="9"/>
      <c r="AP312" s="9">
        <f t="shared" si="114"/>
        <v>3</v>
      </c>
      <c r="AQ312" s="62">
        <f t="shared" si="115"/>
        <v>269</v>
      </c>
      <c r="AR312" s="11" t="str">
        <f>IF(AQ312&gt;='Aprovados Recursos do Fundo'!$AQ$1,"APROVADO","REPROVADO")</f>
        <v>APROVADO</v>
      </c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</row>
    <row r="313" spans="2:57" s="64" customFormat="1" ht="39.950000000000003" hidden="1" customHeight="1" x14ac:dyDescent="0.25">
      <c r="B313" s="5">
        <v>527</v>
      </c>
      <c r="C313" s="6" t="s">
        <v>2576</v>
      </c>
      <c r="D313" s="100" t="s">
        <v>4246</v>
      </c>
      <c r="E313" s="5" t="s">
        <v>33</v>
      </c>
      <c r="F313" s="5" t="s">
        <v>2577</v>
      </c>
      <c r="G313" s="5" t="s">
        <v>2578</v>
      </c>
      <c r="H313" s="5" t="s">
        <v>107</v>
      </c>
      <c r="I313" s="17">
        <v>300000</v>
      </c>
      <c r="J313" s="17"/>
      <c r="K313" s="17"/>
      <c r="L313" s="8">
        <f t="shared" si="138"/>
        <v>360000</v>
      </c>
      <c r="M313" s="17">
        <f>16807.66+31412.6+427.06</f>
        <v>48647.319999999992</v>
      </c>
      <c r="N313" s="17">
        <f>L313-M313</f>
        <v>311352.68</v>
      </c>
      <c r="O313" s="15">
        <f t="shared" si="139"/>
        <v>40539.432741988501</v>
      </c>
      <c r="P313" s="15">
        <f t="shared" si="140"/>
        <v>8107.8872580114876</v>
      </c>
      <c r="Q313" s="17"/>
      <c r="R313" s="17"/>
      <c r="S313" s="7" t="s">
        <v>1637</v>
      </c>
      <c r="T313" s="7" t="s">
        <v>235</v>
      </c>
      <c r="U313" s="5" t="s">
        <v>2579</v>
      </c>
      <c r="V313" s="7">
        <v>1</v>
      </c>
      <c r="W313" s="11" t="s">
        <v>4247</v>
      </c>
      <c r="X313" s="10">
        <v>45322</v>
      </c>
      <c r="Y313" s="7" t="s">
        <v>67</v>
      </c>
      <c r="Z313" s="7" t="s">
        <v>89</v>
      </c>
      <c r="AA313" s="7" t="s">
        <v>90</v>
      </c>
      <c r="AB313" s="7">
        <v>298</v>
      </c>
      <c r="AC313" s="9">
        <v>216</v>
      </c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>
        <v>292</v>
      </c>
      <c r="AP313" s="9">
        <f t="shared" si="114"/>
        <v>3</v>
      </c>
      <c r="AQ313" s="62">
        <f t="shared" si="115"/>
        <v>268.66666666666669</v>
      </c>
      <c r="AR313" s="11" t="str">
        <f>IF(AQ313&gt;='Aprovados Recursos do Fundo'!$AQ$1,"APROVADO","REPROVADO")</f>
        <v>APROVADO</v>
      </c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</row>
    <row r="314" spans="2:57" s="64" customFormat="1" ht="39.950000000000003" hidden="1" customHeight="1" x14ac:dyDescent="0.25">
      <c r="B314" s="5">
        <v>532</v>
      </c>
      <c r="C314" s="6" t="s">
        <v>2598</v>
      </c>
      <c r="D314" s="101" t="s">
        <v>4248</v>
      </c>
      <c r="E314" s="5" t="s">
        <v>33</v>
      </c>
      <c r="F314" s="58" t="s">
        <v>2593</v>
      </c>
      <c r="G314" s="5" t="s">
        <v>2599</v>
      </c>
      <c r="H314" s="5" t="s">
        <v>62</v>
      </c>
      <c r="I314" s="8">
        <v>2737957.34</v>
      </c>
      <c r="J314" s="8"/>
      <c r="K314" s="8"/>
      <c r="L314" s="8">
        <f t="shared" si="138"/>
        <v>3285548.8079999997</v>
      </c>
      <c r="M314" s="8"/>
      <c r="N314" s="8"/>
      <c r="O314" s="15">
        <f t="shared" si="139"/>
        <v>0</v>
      </c>
      <c r="P314" s="15">
        <f t="shared" si="140"/>
        <v>0</v>
      </c>
      <c r="Q314" s="8"/>
      <c r="R314" s="8"/>
      <c r="S314" s="7" t="s">
        <v>2595</v>
      </c>
      <c r="T314" s="7" t="s">
        <v>391</v>
      </c>
      <c r="U314" s="7" t="s">
        <v>2596</v>
      </c>
      <c r="V314" s="7"/>
      <c r="W314" s="9" t="s">
        <v>2597</v>
      </c>
      <c r="X314" s="10">
        <v>45322</v>
      </c>
      <c r="Y314" s="5" t="s">
        <v>67</v>
      </c>
      <c r="Z314" s="7" t="s">
        <v>375</v>
      </c>
      <c r="AA314" s="7"/>
      <c r="AB314" s="5">
        <v>332</v>
      </c>
      <c r="AC314" s="9"/>
      <c r="AD314" s="9"/>
      <c r="AE314" s="9"/>
      <c r="AF314" s="9"/>
      <c r="AG314" s="9"/>
      <c r="AH314" s="9"/>
      <c r="AI314" s="9">
        <v>328</v>
      </c>
      <c r="AJ314" s="9">
        <v>305</v>
      </c>
      <c r="AK314" s="9"/>
      <c r="AL314" s="9"/>
      <c r="AM314" s="9"/>
      <c r="AN314" s="9"/>
      <c r="AO314" s="9"/>
      <c r="AP314" s="9">
        <f t="shared" si="114"/>
        <v>3</v>
      </c>
      <c r="AQ314" s="62">
        <f t="shared" si="115"/>
        <v>321.66666666666669</v>
      </c>
      <c r="AR314" s="11" t="str">
        <f>IF(AQ314&gt;=$AR$1,"APROVADO","REPROVADO")</f>
        <v>APROVADO</v>
      </c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</row>
    <row r="315" spans="2:57" s="64" customFormat="1" ht="39.950000000000003" hidden="1" customHeight="1" x14ac:dyDescent="0.25">
      <c r="B315" s="5">
        <v>534</v>
      </c>
      <c r="C315" s="6" t="s">
        <v>2602</v>
      </c>
      <c r="D315" s="101" t="s">
        <v>4249</v>
      </c>
      <c r="E315" s="5" t="s">
        <v>33</v>
      </c>
      <c r="F315" s="58" t="s">
        <v>2593</v>
      </c>
      <c r="G315" s="7" t="s">
        <v>2603</v>
      </c>
      <c r="H315" s="5" t="s">
        <v>62</v>
      </c>
      <c r="I315" s="8">
        <v>4872240</v>
      </c>
      <c r="J315" s="8"/>
      <c r="K315" s="8"/>
      <c r="L315" s="8">
        <f t="shared" si="138"/>
        <v>5846688</v>
      </c>
      <c r="M315" s="8"/>
      <c r="N315" s="8"/>
      <c r="O315" s="15">
        <f t="shared" si="139"/>
        <v>0</v>
      </c>
      <c r="P315" s="15">
        <f t="shared" si="140"/>
        <v>0</v>
      </c>
      <c r="Q315" s="8"/>
      <c r="R315" s="8"/>
      <c r="S315" s="7" t="s">
        <v>2595</v>
      </c>
      <c r="T315" s="7" t="s">
        <v>391</v>
      </c>
      <c r="U315" s="7" t="s">
        <v>2596</v>
      </c>
      <c r="V315" s="7"/>
      <c r="W315" s="9" t="s">
        <v>2597</v>
      </c>
      <c r="X315" s="10">
        <v>45322</v>
      </c>
      <c r="Y315" s="7" t="s">
        <v>67</v>
      </c>
      <c r="Z315" s="7" t="s">
        <v>359</v>
      </c>
      <c r="AA315" s="7"/>
      <c r="AB315" s="7">
        <v>305</v>
      </c>
      <c r="AC315" s="9"/>
      <c r="AD315" s="9"/>
      <c r="AE315" s="9"/>
      <c r="AF315" s="9"/>
      <c r="AG315" s="9">
        <v>340</v>
      </c>
      <c r="AH315" s="9">
        <v>313</v>
      </c>
      <c r="AI315" s="9"/>
      <c r="AJ315" s="9"/>
      <c r="AK315" s="9"/>
      <c r="AL315" s="9"/>
      <c r="AM315" s="9"/>
      <c r="AN315" s="9"/>
      <c r="AO315" s="9"/>
      <c r="AP315" s="9">
        <f t="shared" si="114"/>
        <v>3</v>
      </c>
      <c r="AQ315" s="62">
        <f t="shared" si="115"/>
        <v>319.33333333333331</v>
      </c>
      <c r="AR315" s="11" t="str">
        <f>IF(AQ315&gt;=$AR$1,"APROVADO","REPROVADO")</f>
        <v>APROVADO</v>
      </c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</row>
    <row r="316" spans="2:57" s="64" customFormat="1" ht="39.950000000000003" hidden="1" customHeight="1" x14ac:dyDescent="0.25">
      <c r="B316" s="5">
        <v>536</v>
      </c>
      <c r="C316" s="6" t="s">
        <v>2610</v>
      </c>
      <c r="D316" s="101" t="s">
        <v>4250</v>
      </c>
      <c r="E316" s="5" t="s">
        <v>33</v>
      </c>
      <c r="F316" s="58" t="s">
        <v>2611</v>
      </c>
      <c r="G316" s="7" t="s">
        <v>2612</v>
      </c>
      <c r="H316" s="7" t="s">
        <v>107</v>
      </c>
      <c r="I316" s="8">
        <v>406060</v>
      </c>
      <c r="J316" s="8"/>
      <c r="K316" s="8"/>
      <c r="L316" s="8">
        <f t="shared" si="138"/>
        <v>487272</v>
      </c>
      <c r="M316" s="8"/>
      <c r="N316" s="8"/>
      <c r="O316" s="15">
        <f t="shared" si="139"/>
        <v>0</v>
      </c>
      <c r="P316" s="15">
        <f t="shared" si="140"/>
        <v>0</v>
      </c>
      <c r="Q316" s="8"/>
      <c r="R316" s="8"/>
      <c r="S316" s="7" t="s">
        <v>73</v>
      </c>
      <c r="T316" s="5" t="s">
        <v>74</v>
      </c>
      <c r="U316" s="7" t="s">
        <v>2613</v>
      </c>
      <c r="V316" s="7"/>
      <c r="W316" s="9" t="s">
        <v>2614</v>
      </c>
      <c r="X316" s="10">
        <v>45322</v>
      </c>
      <c r="Y316" s="7" t="s">
        <v>67</v>
      </c>
      <c r="Z316" s="7" t="s">
        <v>68</v>
      </c>
      <c r="AA316" s="7"/>
      <c r="AB316" s="7">
        <v>235</v>
      </c>
      <c r="AC316" s="9"/>
      <c r="AD316" s="9">
        <v>245</v>
      </c>
      <c r="AE316" s="9"/>
      <c r="AF316" s="9"/>
      <c r="AG316" s="9"/>
      <c r="AH316" s="9"/>
      <c r="AI316" s="9">
        <v>245</v>
      </c>
      <c r="AJ316" s="9"/>
      <c r="AK316" s="9"/>
      <c r="AL316" s="9"/>
      <c r="AM316" s="9"/>
      <c r="AN316" s="9"/>
      <c r="AO316" s="9"/>
      <c r="AP316" s="9">
        <f t="shared" si="114"/>
        <v>3</v>
      </c>
      <c r="AQ316" s="62">
        <f t="shared" si="115"/>
        <v>241.66666666666666</v>
      </c>
      <c r="AR316" s="11" t="str">
        <f>IF(AQ316&gt;=$AR$1,"APROVADO","REPROVADO")</f>
        <v>APROVADO</v>
      </c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</row>
    <row r="317" spans="2:57" s="64" customFormat="1" ht="39.950000000000003" hidden="1" customHeight="1" x14ac:dyDescent="0.25">
      <c r="B317" s="5">
        <v>537</v>
      </c>
      <c r="C317" s="6" t="s">
        <v>2615</v>
      </c>
      <c r="D317" s="101" t="s">
        <v>4251</v>
      </c>
      <c r="E317" s="5" t="s">
        <v>33</v>
      </c>
      <c r="F317" s="7" t="s">
        <v>2611</v>
      </c>
      <c r="G317" s="7" t="s">
        <v>2616</v>
      </c>
      <c r="H317" s="7" t="s">
        <v>107</v>
      </c>
      <c r="I317" s="8">
        <v>451456</v>
      </c>
      <c r="J317" s="8"/>
      <c r="K317" s="8"/>
      <c r="L317" s="8">
        <f t="shared" si="138"/>
        <v>541747.19999999995</v>
      </c>
      <c r="M317" s="8"/>
      <c r="N317" s="8"/>
      <c r="O317" s="15">
        <f t="shared" si="139"/>
        <v>0</v>
      </c>
      <c r="P317" s="15">
        <f t="shared" si="140"/>
        <v>0</v>
      </c>
      <c r="Q317" s="8"/>
      <c r="R317" s="8"/>
      <c r="S317" s="7" t="s">
        <v>73</v>
      </c>
      <c r="T317" s="5" t="s">
        <v>74</v>
      </c>
      <c r="U317" s="7" t="s">
        <v>2613</v>
      </c>
      <c r="V317" s="7"/>
      <c r="W317" s="9" t="s">
        <v>2614</v>
      </c>
      <c r="X317" s="10">
        <v>45322</v>
      </c>
      <c r="Y317" s="7" t="s">
        <v>67</v>
      </c>
      <c r="Z317" s="7" t="s">
        <v>68</v>
      </c>
      <c r="AA317" s="7"/>
      <c r="AB317" s="7">
        <v>235</v>
      </c>
      <c r="AC317" s="9"/>
      <c r="AD317" s="9">
        <v>247</v>
      </c>
      <c r="AE317" s="9"/>
      <c r="AF317" s="9"/>
      <c r="AG317" s="9"/>
      <c r="AH317" s="9"/>
      <c r="AI317" s="9">
        <v>258</v>
      </c>
      <c r="AJ317" s="9"/>
      <c r="AK317" s="9"/>
      <c r="AL317" s="9"/>
      <c r="AM317" s="9"/>
      <c r="AN317" s="9"/>
      <c r="AO317" s="9"/>
      <c r="AP317" s="9">
        <f t="shared" si="114"/>
        <v>3</v>
      </c>
      <c r="AQ317" s="62">
        <f t="shared" si="115"/>
        <v>246.66666666666666</v>
      </c>
      <c r="AR317" s="11" t="str">
        <f>IF(AQ317&gt;='Aprovados Recursos do Fundo'!$AQ$1,"APROVADO","REPROVADO")</f>
        <v>APROVADO</v>
      </c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</row>
    <row r="318" spans="2:57" s="64" customFormat="1" ht="39.950000000000003" hidden="1" customHeight="1" x14ac:dyDescent="0.25">
      <c r="B318" s="5">
        <v>538</v>
      </c>
      <c r="C318" s="6" t="s">
        <v>2617</v>
      </c>
      <c r="D318" s="101" t="s">
        <v>4252</v>
      </c>
      <c r="E318" s="5" t="s">
        <v>33</v>
      </c>
      <c r="F318" s="58" t="s">
        <v>2611</v>
      </c>
      <c r="G318" s="7" t="s">
        <v>2618</v>
      </c>
      <c r="H318" s="7" t="s">
        <v>107</v>
      </c>
      <c r="I318" s="8">
        <v>356288</v>
      </c>
      <c r="J318" s="8"/>
      <c r="K318" s="8"/>
      <c r="L318" s="8">
        <f t="shared" si="138"/>
        <v>427545.59999999998</v>
      </c>
      <c r="M318" s="8"/>
      <c r="N318" s="8"/>
      <c r="O318" s="15">
        <f t="shared" si="139"/>
        <v>0</v>
      </c>
      <c r="P318" s="15">
        <f t="shared" si="140"/>
        <v>0</v>
      </c>
      <c r="Q318" s="8"/>
      <c r="R318" s="8"/>
      <c r="S318" s="7" t="s">
        <v>73</v>
      </c>
      <c r="T318" s="5" t="s">
        <v>74</v>
      </c>
      <c r="U318" s="7" t="s">
        <v>2613</v>
      </c>
      <c r="V318" s="7"/>
      <c r="W318" s="9" t="s">
        <v>2614</v>
      </c>
      <c r="X318" s="10">
        <v>45322</v>
      </c>
      <c r="Y318" s="7" t="s">
        <v>67</v>
      </c>
      <c r="Z318" s="7" t="s">
        <v>68</v>
      </c>
      <c r="AA318" s="7"/>
      <c r="AB318" s="7">
        <v>235</v>
      </c>
      <c r="AC318" s="9"/>
      <c r="AD318" s="9">
        <v>237</v>
      </c>
      <c r="AE318" s="9"/>
      <c r="AF318" s="9"/>
      <c r="AG318" s="9"/>
      <c r="AH318" s="9"/>
      <c r="AI318" s="9">
        <v>262</v>
      </c>
      <c r="AJ318" s="9"/>
      <c r="AK318" s="9"/>
      <c r="AL318" s="9"/>
      <c r="AM318" s="9"/>
      <c r="AN318" s="9"/>
      <c r="AO318" s="9"/>
      <c r="AP318" s="9">
        <f t="shared" si="114"/>
        <v>3</v>
      </c>
      <c r="AQ318" s="62">
        <f t="shared" si="115"/>
        <v>244.66666666666666</v>
      </c>
      <c r="AR318" s="11" t="str">
        <f>IF(AQ318&gt;=$AR$1,"APROVADO","REPROVADO")</f>
        <v>APROVADO</v>
      </c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</row>
    <row r="319" spans="2:57" s="64" customFormat="1" ht="39.950000000000003" hidden="1" customHeight="1" x14ac:dyDescent="0.25">
      <c r="B319" s="5">
        <v>542</v>
      </c>
      <c r="C319" s="6" t="s">
        <v>2632</v>
      </c>
      <c r="D319" s="101" t="s">
        <v>4253</v>
      </c>
      <c r="E319" s="5" t="s">
        <v>33</v>
      </c>
      <c r="F319" s="58" t="s">
        <v>2625</v>
      </c>
      <c r="G319" s="7" t="s">
        <v>2633</v>
      </c>
      <c r="H319" s="7" t="s">
        <v>36</v>
      </c>
      <c r="I319" s="8">
        <v>75658.17</v>
      </c>
      <c r="J319" s="8"/>
      <c r="K319" s="8"/>
      <c r="L319" s="8">
        <f t="shared" si="138"/>
        <v>90789.803999999989</v>
      </c>
      <c r="M319" s="8"/>
      <c r="N319" s="8"/>
      <c r="O319" s="15">
        <f t="shared" si="139"/>
        <v>0</v>
      </c>
      <c r="P319" s="15">
        <f t="shared" si="140"/>
        <v>0</v>
      </c>
      <c r="Q319" s="8"/>
      <c r="R319" s="8"/>
      <c r="S319" s="7" t="s">
        <v>2627</v>
      </c>
      <c r="T319" s="7" t="s">
        <v>95</v>
      </c>
      <c r="U319" s="7" t="s">
        <v>2628</v>
      </c>
      <c r="V319" s="7"/>
      <c r="W319" s="9" t="s">
        <v>2629</v>
      </c>
      <c r="X319" s="10">
        <v>45322</v>
      </c>
      <c r="Y319" s="7" t="s">
        <v>67</v>
      </c>
      <c r="Z319" s="7" t="s">
        <v>68</v>
      </c>
      <c r="AA319" s="7"/>
      <c r="AB319" s="7">
        <v>340</v>
      </c>
      <c r="AC319" s="9"/>
      <c r="AD319" s="9"/>
      <c r="AE319" s="9"/>
      <c r="AF319" s="9"/>
      <c r="AG319" s="9">
        <v>340</v>
      </c>
      <c r="AH319" s="9">
        <v>340</v>
      </c>
      <c r="AI319" s="9"/>
      <c r="AJ319" s="9"/>
      <c r="AK319" s="9"/>
      <c r="AL319" s="9"/>
      <c r="AM319" s="9"/>
      <c r="AN319" s="9"/>
      <c r="AO319" s="9"/>
      <c r="AP319" s="9">
        <f t="shared" si="114"/>
        <v>3</v>
      </c>
      <c r="AQ319" s="62">
        <f t="shared" si="115"/>
        <v>340</v>
      </c>
      <c r="AR319" s="11" t="str">
        <f>IF(AQ319&gt;=$AR$1,"APROVADO","REPROVADO")</f>
        <v>APROVADO</v>
      </c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</row>
    <row r="320" spans="2:57" s="64" customFormat="1" ht="39.950000000000003" hidden="1" customHeight="1" x14ac:dyDescent="0.25">
      <c r="B320" s="5">
        <v>544</v>
      </c>
      <c r="C320" s="6" t="s">
        <v>2639</v>
      </c>
      <c r="D320" s="101" t="s">
        <v>4254</v>
      </c>
      <c r="E320" s="5" t="s">
        <v>33</v>
      </c>
      <c r="F320" s="58" t="s">
        <v>2640</v>
      </c>
      <c r="G320" s="5" t="s">
        <v>2641</v>
      </c>
      <c r="H320" s="7" t="s">
        <v>107</v>
      </c>
      <c r="I320" s="8">
        <v>606000</v>
      </c>
      <c r="J320" s="8"/>
      <c r="K320" s="8"/>
      <c r="L320" s="8">
        <f t="shared" si="138"/>
        <v>727200</v>
      </c>
      <c r="M320" s="8"/>
      <c r="N320" s="8"/>
      <c r="O320" s="15">
        <f t="shared" si="139"/>
        <v>0</v>
      </c>
      <c r="P320" s="15">
        <f t="shared" si="140"/>
        <v>0</v>
      </c>
      <c r="Q320" s="8"/>
      <c r="R320" s="8"/>
      <c r="S320" s="7" t="s">
        <v>73</v>
      </c>
      <c r="T320" s="5" t="s">
        <v>74</v>
      </c>
      <c r="U320" s="5" t="s">
        <v>2642</v>
      </c>
      <c r="V320" s="5"/>
      <c r="W320" s="31" t="s">
        <v>2643</v>
      </c>
      <c r="X320" s="10">
        <v>45322</v>
      </c>
      <c r="Y320" s="5" t="s">
        <v>67</v>
      </c>
      <c r="Z320" s="7" t="s">
        <v>89</v>
      </c>
      <c r="AA320" s="7" t="s">
        <v>2644</v>
      </c>
      <c r="AB320" s="5">
        <v>240</v>
      </c>
      <c r="AC320" s="9"/>
      <c r="AD320" s="9"/>
      <c r="AE320" s="9"/>
      <c r="AF320" s="9"/>
      <c r="AG320" s="9"/>
      <c r="AH320" s="9"/>
      <c r="AI320" s="9">
        <v>303</v>
      </c>
      <c r="AJ320" s="9">
        <v>304</v>
      </c>
      <c r="AK320" s="9"/>
      <c r="AL320" s="9"/>
      <c r="AM320" s="9"/>
      <c r="AN320" s="9"/>
      <c r="AO320" s="9"/>
      <c r="AP320" s="9">
        <f t="shared" si="114"/>
        <v>3</v>
      </c>
      <c r="AQ320" s="62">
        <f t="shared" si="115"/>
        <v>282.33333333333331</v>
      </c>
      <c r="AR320" s="11" t="str">
        <f>IF(AQ320&gt;=$AR$1,"APROVADO","REPROVADO")</f>
        <v>APROVADO</v>
      </c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</row>
    <row r="321" spans="2:56" s="64" customFormat="1" ht="39.950000000000003" hidden="1" customHeight="1" x14ac:dyDescent="0.25">
      <c r="B321" s="5">
        <v>545</v>
      </c>
      <c r="C321" s="6" t="s">
        <v>2645</v>
      </c>
      <c r="D321" s="101" t="s">
        <v>4255</v>
      </c>
      <c r="E321" s="5" t="s">
        <v>33</v>
      </c>
      <c r="F321" s="5" t="s">
        <v>2640</v>
      </c>
      <c r="G321" s="5" t="s">
        <v>2646</v>
      </c>
      <c r="H321" s="5" t="s">
        <v>107</v>
      </c>
      <c r="I321" s="17">
        <v>1308000</v>
      </c>
      <c r="J321" s="17"/>
      <c r="K321" s="17"/>
      <c r="L321" s="8">
        <f t="shared" si="138"/>
        <v>1569600</v>
      </c>
      <c r="M321" s="17"/>
      <c r="N321" s="17"/>
      <c r="O321" s="15">
        <f t="shared" si="139"/>
        <v>0</v>
      </c>
      <c r="P321" s="15">
        <f t="shared" si="140"/>
        <v>0</v>
      </c>
      <c r="Q321" s="17"/>
      <c r="R321" s="17"/>
      <c r="S321" s="7" t="s">
        <v>73</v>
      </c>
      <c r="T321" s="5" t="s">
        <v>74</v>
      </c>
      <c r="U321" s="5" t="s">
        <v>2642</v>
      </c>
      <c r="V321" s="5"/>
      <c r="W321" s="9" t="s">
        <v>2643</v>
      </c>
      <c r="X321" s="10">
        <v>45322</v>
      </c>
      <c r="Y321" s="5" t="s">
        <v>67</v>
      </c>
      <c r="Z321" s="7" t="s">
        <v>89</v>
      </c>
      <c r="AA321" s="7" t="s">
        <v>2644</v>
      </c>
      <c r="AB321" s="5">
        <v>236</v>
      </c>
      <c r="AC321" s="9"/>
      <c r="AD321" s="9"/>
      <c r="AE321" s="9"/>
      <c r="AF321" s="9"/>
      <c r="AG321" s="9"/>
      <c r="AH321" s="9"/>
      <c r="AI321" s="9">
        <v>308</v>
      </c>
      <c r="AJ321" s="9">
        <v>303</v>
      </c>
      <c r="AK321" s="9"/>
      <c r="AL321" s="9"/>
      <c r="AM321" s="9"/>
      <c r="AN321" s="9"/>
      <c r="AO321" s="9"/>
      <c r="AP321" s="9">
        <f t="shared" si="114"/>
        <v>3</v>
      </c>
      <c r="AQ321" s="62">
        <f t="shared" si="115"/>
        <v>282.33333333333331</v>
      </c>
      <c r="AR321" s="11" t="str">
        <f>IF(AQ321&gt;='Aprovados Recursos do Fundo'!$AQ$1,"APROVADO","REPROVADO")</f>
        <v>APROVADO</v>
      </c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</row>
    <row r="322" spans="2:56" s="64" customFormat="1" ht="39.950000000000003" hidden="1" customHeight="1" x14ac:dyDescent="0.25">
      <c r="B322" s="5">
        <v>546</v>
      </c>
      <c r="C322" s="6" t="s">
        <v>2647</v>
      </c>
      <c r="D322" s="101" t="s">
        <v>4256</v>
      </c>
      <c r="E322" s="5" t="s">
        <v>33</v>
      </c>
      <c r="F322" s="58" t="s">
        <v>2640</v>
      </c>
      <c r="G322" s="5" t="s">
        <v>2648</v>
      </c>
      <c r="H322" s="5" t="s">
        <v>107</v>
      </c>
      <c r="I322" s="17">
        <v>1765500</v>
      </c>
      <c r="J322" s="17"/>
      <c r="K322" s="17"/>
      <c r="L322" s="8">
        <f t="shared" si="138"/>
        <v>2118600</v>
      </c>
      <c r="M322" s="17"/>
      <c r="N322" s="17"/>
      <c r="O322" s="15">
        <f t="shared" si="139"/>
        <v>0</v>
      </c>
      <c r="P322" s="15">
        <f t="shared" si="140"/>
        <v>0</v>
      </c>
      <c r="Q322" s="17"/>
      <c r="R322" s="17"/>
      <c r="S322" s="7" t="s">
        <v>73</v>
      </c>
      <c r="T322" s="5" t="s">
        <v>74</v>
      </c>
      <c r="U322" s="5" t="s">
        <v>2642</v>
      </c>
      <c r="V322" s="5"/>
      <c r="W322" s="9" t="s">
        <v>2643</v>
      </c>
      <c r="X322" s="10">
        <v>45322</v>
      </c>
      <c r="Y322" s="5" t="s">
        <v>67</v>
      </c>
      <c r="Z322" s="7" t="s">
        <v>89</v>
      </c>
      <c r="AA322" s="7" t="s">
        <v>2644</v>
      </c>
      <c r="AB322" s="5">
        <v>167</v>
      </c>
      <c r="AC322" s="9"/>
      <c r="AD322" s="9"/>
      <c r="AE322" s="9"/>
      <c r="AF322" s="9"/>
      <c r="AG322" s="9"/>
      <c r="AH322" s="9"/>
      <c r="AI322" s="9">
        <v>303</v>
      </c>
      <c r="AJ322" s="9">
        <v>303</v>
      </c>
      <c r="AK322" s="9"/>
      <c r="AL322" s="9"/>
      <c r="AM322" s="9"/>
      <c r="AN322" s="9"/>
      <c r="AO322" s="9"/>
      <c r="AP322" s="9">
        <f t="shared" si="114"/>
        <v>3</v>
      </c>
      <c r="AQ322" s="62">
        <f t="shared" si="115"/>
        <v>257.66666666666669</v>
      </c>
      <c r="AR322" s="11" t="str">
        <f t="shared" ref="AR322:AR331" si="141">IF(AQ322&gt;=$AR$1,"APROVADO","REPROVADO")</f>
        <v>APROVADO</v>
      </c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</row>
    <row r="323" spans="2:56" s="64" customFormat="1" ht="39.950000000000003" hidden="1" customHeight="1" x14ac:dyDescent="0.25">
      <c r="B323" s="5">
        <v>548</v>
      </c>
      <c r="C323" s="6" t="s">
        <v>2654</v>
      </c>
      <c r="D323" s="100" t="s">
        <v>4257</v>
      </c>
      <c r="E323" s="5" t="s">
        <v>33</v>
      </c>
      <c r="F323" s="58" t="s">
        <v>2650</v>
      </c>
      <c r="G323" s="5" t="s">
        <v>2655</v>
      </c>
      <c r="H323" s="7" t="s">
        <v>107</v>
      </c>
      <c r="I323" s="8">
        <v>1765500</v>
      </c>
      <c r="J323" s="8"/>
      <c r="K323" s="8"/>
      <c r="L323" s="8">
        <f t="shared" si="138"/>
        <v>2118600</v>
      </c>
      <c r="M323" s="8">
        <f>500000+20000+15000+500000+15000+20000+15000+20000+15000+20000</f>
        <v>1140000</v>
      </c>
      <c r="N323" s="8">
        <f>L323-M323</f>
        <v>978600</v>
      </c>
      <c r="O323" s="15">
        <f t="shared" si="139"/>
        <v>949999.98614244116</v>
      </c>
      <c r="P323" s="15">
        <f t="shared" si="140"/>
        <v>190000.01385755881</v>
      </c>
      <c r="Q323" s="136">
        <f t="shared" ref="Q323:Q324" si="142">M323/L323</f>
        <v>0.5380911922967998</v>
      </c>
      <c r="R323" s="136"/>
      <c r="S323" s="7" t="s">
        <v>73</v>
      </c>
      <c r="T323" s="5" t="s">
        <v>74</v>
      </c>
      <c r="U323" s="7" t="s">
        <v>2656</v>
      </c>
      <c r="V323" s="7">
        <v>1</v>
      </c>
      <c r="W323" s="9" t="s">
        <v>2653</v>
      </c>
      <c r="X323" s="10">
        <v>45322</v>
      </c>
      <c r="Y323" s="5" t="s">
        <v>67</v>
      </c>
      <c r="Z323" s="7" t="s">
        <v>89</v>
      </c>
      <c r="AA323" s="7" t="s">
        <v>68</v>
      </c>
      <c r="AB323" s="5">
        <v>287</v>
      </c>
      <c r="AC323" s="9"/>
      <c r="AD323" s="9"/>
      <c r="AE323" s="9"/>
      <c r="AF323" s="9"/>
      <c r="AG323" s="9">
        <v>298</v>
      </c>
      <c r="AH323" s="9">
        <v>285</v>
      </c>
      <c r="AI323" s="9"/>
      <c r="AJ323" s="9"/>
      <c r="AK323" s="9"/>
      <c r="AL323" s="9"/>
      <c r="AM323" s="9"/>
      <c r="AN323" s="9"/>
      <c r="AO323" s="9"/>
      <c r="AP323" s="9">
        <f t="shared" si="114"/>
        <v>3</v>
      </c>
      <c r="AQ323" s="62">
        <f t="shared" si="115"/>
        <v>290</v>
      </c>
      <c r="AR323" s="11" t="str">
        <f t="shared" si="141"/>
        <v>APROVADO</v>
      </c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</row>
    <row r="324" spans="2:56" s="64" customFormat="1" ht="39.950000000000003" hidden="1" customHeight="1" x14ac:dyDescent="0.25">
      <c r="B324" s="5">
        <v>549</v>
      </c>
      <c r="C324" s="6" t="s">
        <v>2657</v>
      </c>
      <c r="D324" s="100" t="s">
        <v>4258</v>
      </c>
      <c r="E324" s="5" t="s">
        <v>33</v>
      </c>
      <c r="F324" s="58" t="s">
        <v>2650</v>
      </c>
      <c r="G324" s="5" t="s">
        <v>2658</v>
      </c>
      <c r="H324" s="7" t="s">
        <v>107</v>
      </c>
      <c r="I324" s="8">
        <v>606000</v>
      </c>
      <c r="J324" s="8"/>
      <c r="K324" s="8"/>
      <c r="L324" s="8">
        <f t="shared" si="138"/>
        <v>727200</v>
      </c>
      <c r="M324" s="8">
        <f>15000+20000+11000+15000+20000+96000</f>
        <v>177000</v>
      </c>
      <c r="N324" s="8">
        <f>L324-M324</f>
        <v>550200</v>
      </c>
      <c r="O324" s="15">
        <f t="shared" si="139"/>
        <v>147499.99784843167</v>
      </c>
      <c r="P324" s="15">
        <f t="shared" si="140"/>
        <v>29500.00215156834</v>
      </c>
      <c r="Q324" s="136">
        <f t="shared" si="142"/>
        <v>0.2433993399339934</v>
      </c>
      <c r="R324" s="136"/>
      <c r="S324" s="7" t="s">
        <v>73</v>
      </c>
      <c r="T324" s="5" t="s">
        <v>74</v>
      </c>
      <c r="U324" s="7" t="s">
        <v>2656</v>
      </c>
      <c r="V324" s="7">
        <v>1</v>
      </c>
      <c r="W324" s="9" t="s">
        <v>2653</v>
      </c>
      <c r="X324" s="10">
        <v>45322</v>
      </c>
      <c r="Y324" s="5" t="s">
        <v>67</v>
      </c>
      <c r="Z324" s="7" t="s">
        <v>89</v>
      </c>
      <c r="AA324" s="7" t="s">
        <v>68</v>
      </c>
      <c r="AB324" s="5">
        <v>301</v>
      </c>
      <c r="AC324" s="9"/>
      <c r="AD324" s="9"/>
      <c r="AE324" s="9"/>
      <c r="AF324" s="9"/>
      <c r="AG324" s="9">
        <v>301</v>
      </c>
      <c r="AH324" s="9">
        <v>271</v>
      </c>
      <c r="AI324" s="9"/>
      <c r="AJ324" s="9"/>
      <c r="AK324" s="9"/>
      <c r="AL324" s="9"/>
      <c r="AM324" s="9"/>
      <c r="AN324" s="9"/>
      <c r="AO324" s="9"/>
      <c r="AP324" s="9">
        <f t="shared" ref="AP324:AP348" si="143">COUNT(AB324:AO324)</f>
        <v>3</v>
      </c>
      <c r="AQ324" s="62">
        <f t="shared" ref="AQ324:AQ348" si="144">AVERAGE(AB324:AO324)</f>
        <v>291</v>
      </c>
      <c r="AR324" s="11" t="str">
        <f t="shared" si="141"/>
        <v>APROVADO</v>
      </c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</row>
    <row r="325" spans="2:56" s="64" customFormat="1" ht="39.950000000000003" hidden="1" customHeight="1" x14ac:dyDescent="0.25">
      <c r="B325" s="5">
        <v>551</v>
      </c>
      <c r="C325" s="6" t="s">
        <v>2664</v>
      </c>
      <c r="D325" s="101" t="s">
        <v>4259</v>
      </c>
      <c r="E325" s="5" t="s">
        <v>33</v>
      </c>
      <c r="F325" s="58" t="s">
        <v>2660</v>
      </c>
      <c r="G325" s="7" t="s">
        <v>4260</v>
      </c>
      <c r="H325" s="7" t="s">
        <v>107</v>
      </c>
      <c r="I325" s="8">
        <v>353442</v>
      </c>
      <c r="J325" s="8"/>
      <c r="K325" s="8"/>
      <c r="L325" s="8">
        <f t="shared" si="138"/>
        <v>424130.39999999997</v>
      </c>
      <c r="M325" s="8"/>
      <c r="N325" s="8"/>
      <c r="O325" s="15">
        <f t="shared" si="139"/>
        <v>0</v>
      </c>
      <c r="P325" s="15">
        <f t="shared" si="140"/>
        <v>0</v>
      </c>
      <c r="Q325" s="8"/>
      <c r="R325" s="8"/>
      <c r="S325" s="7" t="s">
        <v>73</v>
      </c>
      <c r="T325" s="5" t="s">
        <v>74</v>
      </c>
      <c r="U325" s="7" t="s">
        <v>2662</v>
      </c>
      <c r="V325" s="7"/>
      <c r="W325" s="9" t="s">
        <v>2663</v>
      </c>
      <c r="X325" s="10">
        <v>45322</v>
      </c>
      <c r="Y325" s="7" t="s">
        <v>67</v>
      </c>
      <c r="Z325" s="7" t="s">
        <v>68</v>
      </c>
      <c r="AA325" s="7"/>
      <c r="AB325" s="7">
        <v>255</v>
      </c>
      <c r="AC325" s="9"/>
      <c r="AD325" s="9"/>
      <c r="AE325" s="9"/>
      <c r="AF325" s="9"/>
      <c r="AG325" s="9"/>
      <c r="AH325" s="9"/>
      <c r="AI325" s="9">
        <v>281</v>
      </c>
      <c r="AJ325" s="9">
        <v>286</v>
      </c>
      <c r="AK325" s="9"/>
      <c r="AL325" s="9"/>
      <c r="AM325" s="9"/>
      <c r="AN325" s="9"/>
      <c r="AO325" s="9"/>
      <c r="AP325" s="9">
        <f t="shared" si="143"/>
        <v>3</v>
      </c>
      <c r="AQ325" s="62">
        <f t="shared" si="144"/>
        <v>274</v>
      </c>
      <c r="AR325" s="11" t="str">
        <f t="shared" si="141"/>
        <v>APROVADO</v>
      </c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</row>
    <row r="326" spans="2:56" s="64" customFormat="1" ht="39.950000000000003" hidden="1" customHeight="1" x14ac:dyDescent="0.25">
      <c r="B326" s="5">
        <v>553</v>
      </c>
      <c r="C326" s="6" t="s">
        <v>2669</v>
      </c>
      <c r="D326" s="101" t="s">
        <v>4261</v>
      </c>
      <c r="E326" s="5" t="s">
        <v>33</v>
      </c>
      <c r="F326" s="58" t="s">
        <v>2667</v>
      </c>
      <c r="G326" s="5" t="s">
        <v>2670</v>
      </c>
      <c r="H326" s="7" t="s">
        <v>107</v>
      </c>
      <c r="I326" s="8">
        <v>417192</v>
      </c>
      <c r="J326" s="8"/>
      <c r="K326" s="8"/>
      <c r="L326" s="8">
        <f t="shared" si="138"/>
        <v>500630.39999999997</v>
      </c>
      <c r="M326" s="8"/>
      <c r="N326" s="8"/>
      <c r="O326" s="15">
        <f t="shared" si="139"/>
        <v>0</v>
      </c>
      <c r="P326" s="15">
        <f t="shared" si="140"/>
        <v>0</v>
      </c>
      <c r="Q326" s="8"/>
      <c r="R326" s="8"/>
      <c r="S326" s="7" t="s">
        <v>73</v>
      </c>
      <c r="T326" s="7" t="s">
        <v>74</v>
      </c>
      <c r="U326" s="7" t="s">
        <v>2662</v>
      </c>
      <c r="V326" s="7"/>
      <c r="W326" s="9" t="s">
        <v>2663</v>
      </c>
      <c r="X326" s="10">
        <v>45322</v>
      </c>
      <c r="Y326" s="5" t="s">
        <v>67</v>
      </c>
      <c r="Z326" s="7" t="s">
        <v>68</v>
      </c>
      <c r="AA326" s="7"/>
      <c r="AB326" s="5">
        <v>271</v>
      </c>
      <c r="AC326" s="9"/>
      <c r="AD326" s="9"/>
      <c r="AE326" s="9"/>
      <c r="AF326" s="9"/>
      <c r="AG326" s="9"/>
      <c r="AH326" s="9"/>
      <c r="AI326" s="9">
        <v>290</v>
      </c>
      <c r="AJ326" s="9">
        <v>288</v>
      </c>
      <c r="AK326" s="9"/>
      <c r="AL326" s="9"/>
      <c r="AM326" s="9"/>
      <c r="AN326" s="9"/>
      <c r="AO326" s="9"/>
      <c r="AP326" s="9">
        <f t="shared" si="143"/>
        <v>3</v>
      </c>
      <c r="AQ326" s="62">
        <f t="shared" si="144"/>
        <v>283</v>
      </c>
      <c r="AR326" s="11" t="str">
        <f t="shared" si="141"/>
        <v>APROVADO</v>
      </c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</row>
    <row r="327" spans="2:56" s="64" customFormat="1" ht="39.950000000000003" hidden="1" customHeight="1" x14ac:dyDescent="0.25">
      <c r="B327" s="5">
        <v>554</v>
      </c>
      <c r="C327" s="6" t="s">
        <v>2671</v>
      </c>
      <c r="D327" s="101" t="s">
        <v>4262</v>
      </c>
      <c r="E327" s="5" t="s">
        <v>33</v>
      </c>
      <c r="F327" s="58" t="s">
        <v>2667</v>
      </c>
      <c r="G327" s="7" t="s">
        <v>2672</v>
      </c>
      <c r="H327" s="7" t="s">
        <v>107</v>
      </c>
      <c r="I327" s="8">
        <v>481120</v>
      </c>
      <c r="J327" s="8"/>
      <c r="K327" s="8"/>
      <c r="L327" s="8">
        <f t="shared" si="138"/>
        <v>577344</v>
      </c>
      <c r="M327" s="8"/>
      <c r="N327" s="8"/>
      <c r="O327" s="15">
        <f t="shared" si="139"/>
        <v>0</v>
      </c>
      <c r="P327" s="15">
        <f t="shared" si="140"/>
        <v>0</v>
      </c>
      <c r="Q327" s="8"/>
      <c r="R327" s="8"/>
      <c r="S327" s="7" t="s">
        <v>73</v>
      </c>
      <c r="T327" s="7" t="s">
        <v>74</v>
      </c>
      <c r="U327" s="7" t="s">
        <v>2662</v>
      </c>
      <c r="V327" s="7"/>
      <c r="W327" s="9" t="s">
        <v>2663</v>
      </c>
      <c r="X327" s="10">
        <v>45322</v>
      </c>
      <c r="Y327" s="7" t="s">
        <v>67</v>
      </c>
      <c r="Z327" s="7" t="s">
        <v>68</v>
      </c>
      <c r="AA327" s="7"/>
      <c r="AB327" s="7">
        <v>260</v>
      </c>
      <c r="AC327" s="9"/>
      <c r="AD327" s="9"/>
      <c r="AE327" s="9"/>
      <c r="AF327" s="9"/>
      <c r="AG327" s="9">
        <v>310</v>
      </c>
      <c r="AH327" s="9">
        <v>279</v>
      </c>
      <c r="AI327" s="9"/>
      <c r="AJ327" s="9"/>
      <c r="AK327" s="9"/>
      <c r="AL327" s="9"/>
      <c r="AM327" s="9"/>
      <c r="AN327" s="9"/>
      <c r="AO327" s="9"/>
      <c r="AP327" s="9">
        <f t="shared" si="143"/>
        <v>3</v>
      </c>
      <c r="AQ327" s="62">
        <f t="shared" si="144"/>
        <v>283</v>
      </c>
      <c r="AR327" s="11" t="str">
        <f t="shared" si="141"/>
        <v>APROVADO</v>
      </c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</row>
    <row r="328" spans="2:56" s="64" customFormat="1" ht="38.25" hidden="1" x14ac:dyDescent="0.25">
      <c r="B328" s="5">
        <v>555</v>
      </c>
      <c r="C328" s="6" t="s">
        <v>2673</v>
      </c>
      <c r="D328" s="101" t="s">
        <v>4263</v>
      </c>
      <c r="E328" s="5" t="s">
        <v>33</v>
      </c>
      <c r="F328" s="58" t="s">
        <v>2660</v>
      </c>
      <c r="G328" s="5" t="s">
        <v>2674</v>
      </c>
      <c r="H328" s="7" t="s">
        <v>107</v>
      </c>
      <c r="I328" s="8">
        <v>442128</v>
      </c>
      <c r="J328" s="8"/>
      <c r="K328" s="8"/>
      <c r="L328" s="8">
        <f t="shared" si="138"/>
        <v>530553.59999999998</v>
      </c>
      <c r="M328" s="8"/>
      <c r="N328" s="8"/>
      <c r="O328" s="15">
        <f t="shared" si="139"/>
        <v>0</v>
      </c>
      <c r="P328" s="15">
        <f t="shared" si="140"/>
        <v>0</v>
      </c>
      <c r="Q328" s="8"/>
      <c r="R328" s="8"/>
      <c r="S328" s="7" t="s">
        <v>73</v>
      </c>
      <c r="T328" s="5" t="s">
        <v>74</v>
      </c>
      <c r="U328" s="7" t="s">
        <v>2662</v>
      </c>
      <c r="V328" s="7"/>
      <c r="W328" s="9" t="s">
        <v>2663</v>
      </c>
      <c r="X328" s="10">
        <v>45322</v>
      </c>
      <c r="Y328" s="5" t="s">
        <v>67</v>
      </c>
      <c r="Z328" s="7" t="s">
        <v>68</v>
      </c>
      <c r="AA328" s="7"/>
      <c r="AB328" s="5">
        <v>269</v>
      </c>
      <c r="AC328" s="9"/>
      <c r="AD328" s="9"/>
      <c r="AE328" s="9"/>
      <c r="AF328" s="9"/>
      <c r="AG328" s="9">
        <v>257</v>
      </c>
      <c r="AH328" s="9">
        <v>262</v>
      </c>
      <c r="AI328" s="9"/>
      <c r="AJ328" s="9"/>
      <c r="AK328" s="9"/>
      <c r="AL328" s="9"/>
      <c r="AM328" s="9"/>
      <c r="AN328" s="9"/>
      <c r="AO328" s="9"/>
      <c r="AP328" s="9">
        <f t="shared" si="143"/>
        <v>3</v>
      </c>
      <c r="AQ328" s="62">
        <f t="shared" si="144"/>
        <v>262.66666666666669</v>
      </c>
      <c r="AR328" s="11" t="str">
        <f t="shared" si="141"/>
        <v>APROVADO</v>
      </c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</row>
    <row r="329" spans="2:56" s="64" customFormat="1" ht="39.950000000000003" hidden="1" customHeight="1" x14ac:dyDescent="0.25">
      <c r="B329" s="5">
        <v>556</v>
      </c>
      <c r="C329" s="6" t="s">
        <v>2675</v>
      </c>
      <c r="D329" s="101" t="s">
        <v>4264</v>
      </c>
      <c r="E329" s="5" t="s">
        <v>33</v>
      </c>
      <c r="F329" s="58" t="s">
        <v>2676</v>
      </c>
      <c r="G329" s="7" t="s">
        <v>4265</v>
      </c>
      <c r="H329" s="7" t="s">
        <v>107</v>
      </c>
      <c r="I329" s="8">
        <v>377000</v>
      </c>
      <c r="J329" s="8"/>
      <c r="K329" s="8"/>
      <c r="L329" s="8">
        <f t="shared" si="138"/>
        <v>452400</v>
      </c>
      <c r="M329" s="8"/>
      <c r="N329" s="8"/>
      <c r="O329" s="15">
        <f t="shared" si="139"/>
        <v>0</v>
      </c>
      <c r="P329" s="15">
        <f t="shared" si="140"/>
        <v>0</v>
      </c>
      <c r="Q329" s="8"/>
      <c r="R329" s="8"/>
      <c r="S329" s="7" t="s">
        <v>73</v>
      </c>
      <c r="T329" s="7" t="s">
        <v>74</v>
      </c>
      <c r="U329" s="7" t="s">
        <v>2662</v>
      </c>
      <c r="V329" s="7"/>
      <c r="W329" s="9" t="s">
        <v>2678</v>
      </c>
      <c r="X329" s="10">
        <v>45322</v>
      </c>
      <c r="Y329" s="7" t="s">
        <v>67</v>
      </c>
      <c r="Z329" s="7" t="s">
        <v>68</v>
      </c>
      <c r="AA329" s="7"/>
      <c r="AB329" s="7">
        <v>272</v>
      </c>
      <c r="AC329" s="9"/>
      <c r="AD329" s="9"/>
      <c r="AE329" s="9"/>
      <c r="AF329" s="9"/>
      <c r="AG329" s="9">
        <v>287</v>
      </c>
      <c r="AH329" s="9">
        <v>268</v>
      </c>
      <c r="AI329" s="9"/>
      <c r="AJ329" s="9"/>
      <c r="AK329" s="9"/>
      <c r="AL329" s="9"/>
      <c r="AM329" s="9"/>
      <c r="AN329" s="9"/>
      <c r="AO329" s="9"/>
      <c r="AP329" s="9">
        <f t="shared" si="143"/>
        <v>3</v>
      </c>
      <c r="AQ329" s="62">
        <f t="shared" si="144"/>
        <v>275.66666666666669</v>
      </c>
      <c r="AR329" s="11" t="str">
        <f t="shared" si="141"/>
        <v>APROVADO</v>
      </c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</row>
    <row r="330" spans="2:56" s="64" customFormat="1" ht="39.950000000000003" hidden="1" customHeight="1" x14ac:dyDescent="0.25">
      <c r="B330" s="5">
        <v>557</v>
      </c>
      <c r="C330" s="6" t="s">
        <v>2679</v>
      </c>
      <c r="D330" s="101" t="s">
        <v>4266</v>
      </c>
      <c r="E330" s="5" t="s">
        <v>33</v>
      </c>
      <c r="F330" s="58" t="s">
        <v>2676</v>
      </c>
      <c r="G330" s="7" t="s">
        <v>2680</v>
      </c>
      <c r="H330" s="7" t="s">
        <v>107</v>
      </c>
      <c r="I330" s="8">
        <v>362728</v>
      </c>
      <c r="J330" s="8"/>
      <c r="K330" s="8"/>
      <c r="L330" s="8">
        <f t="shared" si="138"/>
        <v>435273.6</v>
      </c>
      <c r="M330" s="8"/>
      <c r="N330" s="8"/>
      <c r="O330" s="15">
        <f t="shared" si="139"/>
        <v>0</v>
      </c>
      <c r="P330" s="15">
        <f t="shared" si="140"/>
        <v>0</v>
      </c>
      <c r="Q330" s="8"/>
      <c r="R330" s="8"/>
      <c r="S330" s="7" t="s">
        <v>73</v>
      </c>
      <c r="T330" s="7" t="s">
        <v>74</v>
      </c>
      <c r="U330" s="7" t="s">
        <v>2662</v>
      </c>
      <c r="V330" s="7"/>
      <c r="W330" s="9" t="s">
        <v>2678</v>
      </c>
      <c r="X330" s="10">
        <v>45322</v>
      </c>
      <c r="Y330" s="7" t="s">
        <v>67</v>
      </c>
      <c r="Z330" s="7" t="s">
        <v>68</v>
      </c>
      <c r="AA330" s="7"/>
      <c r="AB330" s="7">
        <v>273</v>
      </c>
      <c r="AC330" s="9"/>
      <c r="AD330" s="9"/>
      <c r="AE330" s="9"/>
      <c r="AF330" s="9"/>
      <c r="AG330" s="9"/>
      <c r="AH330" s="9"/>
      <c r="AI330" s="9">
        <v>288</v>
      </c>
      <c r="AJ330" s="9">
        <v>287</v>
      </c>
      <c r="AK330" s="9"/>
      <c r="AL330" s="9"/>
      <c r="AM330" s="9"/>
      <c r="AN330" s="9"/>
      <c r="AO330" s="9"/>
      <c r="AP330" s="9">
        <f t="shared" si="143"/>
        <v>3</v>
      </c>
      <c r="AQ330" s="62">
        <f t="shared" si="144"/>
        <v>282.66666666666669</v>
      </c>
      <c r="AR330" s="11" t="str">
        <f t="shared" si="141"/>
        <v>APROVADO</v>
      </c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</row>
    <row r="331" spans="2:56" s="64" customFormat="1" ht="39.950000000000003" hidden="1" customHeight="1" x14ac:dyDescent="0.25">
      <c r="B331" s="5">
        <v>561</v>
      </c>
      <c r="C331" s="6" t="s">
        <v>2692</v>
      </c>
      <c r="D331" s="100" t="s">
        <v>4267</v>
      </c>
      <c r="E331" s="5" t="s">
        <v>33</v>
      </c>
      <c r="F331" s="58" t="s">
        <v>2693</v>
      </c>
      <c r="G331" s="7" t="s">
        <v>2694</v>
      </c>
      <c r="H331" s="7" t="s">
        <v>107</v>
      </c>
      <c r="I331" s="8">
        <v>345629.74</v>
      </c>
      <c r="J331" s="8"/>
      <c r="K331" s="8"/>
      <c r="L331" s="8">
        <f t="shared" si="138"/>
        <v>414755.68799999997</v>
      </c>
      <c r="M331" s="8"/>
      <c r="N331" s="8"/>
      <c r="O331" s="15">
        <f t="shared" si="139"/>
        <v>0</v>
      </c>
      <c r="P331" s="15">
        <f t="shared" si="140"/>
        <v>0</v>
      </c>
      <c r="Q331" s="8"/>
      <c r="R331" s="8"/>
      <c r="S331" s="7" t="s">
        <v>253</v>
      </c>
      <c r="T331" s="7" t="s">
        <v>254</v>
      </c>
      <c r="U331" s="7" t="s">
        <v>2695</v>
      </c>
      <c r="V331" s="7">
        <v>1</v>
      </c>
      <c r="W331" s="9" t="s">
        <v>2696</v>
      </c>
      <c r="X331" s="10">
        <v>45322</v>
      </c>
      <c r="Y331" s="7" t="s">
        <v>67</v>
      </c>
      <c r="Z331" s="7" t="s">
        <v>2697</v>
      </c>
      <c r="AA331" s="9"/>
      <c r="AB331" s="7">
        <v>325</v>
      </c>
      <c r="AC331" s="9"/>
      <c r="AD331" s="9"/>
      <c r="AE331" s="9"/>
      <c r="AF331" s="9"/>
      <c r="AG331" s="9">
        <v>340</v>
      </c>
      <c r="AH331" s="9"/>
      <c r="AI331" s="9"/>
      <c r="AJ331" s="9">
        <v>317</v>
      </c>
      <c r="AK331" s="9"/>
      <c r="AL331" s="9"/>
      <c r="AM331" s="9"/>
      <c r="AN331" s="9"/>
      <c r="AO331" s="9"/>
      <c r="AP331" s="9">
        <f t="shared" si="143"/>
        <v>3</v>
      </c>
      <c r="AQ331" s="62">
        <f t="shared" si="144"/>
        <v>327.33333333333331</v>
      </c>
      <c r="AR331" s="11" t="str">
        <f t="shared" si="141"/>
        <v>APROVADO</v>
      </c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</row>
    <row r="332" spans="2:56" s="64" customFormat="1" ht="39.950000000000003" hidden="1" customHeight="1" x14ac:dyDescent="0.25">
      <c r="B332" s="5">
        <v>563</v>
      </c>
      <c r="C332" s="6" t="s">
        <v>2700</v>
      </c>
      <c r="D332" s="100" t="s">
        <v>4268</v>
      </c>
      <c r="E332" s="5" t="s">
        <v>33</v>
      </c>
      <c r="F332" s="5" t="s">
        <v>2701</v>
      </c>
      <c r="G332" s="7" t="s">
        <v>2702</v>
      </c>
      <c r="H332" s="7" t="s">
        <v>107</v>
      </c>
      <c r="I332" s="8">
        <v>1067863.3700000001</v>
      </c>
      <c r="J332" s="8"/>
      <c r="K332" s="8"/>
      <c r="L332" s="8">
        <f t="shared" si="138"/>
        <v>1281436.044</v>
      </c>
      <c r="M332" s="8"/>
      <c r="N332" s="8"/>
      <c r="O332" s="15">
        <f t="shared" si="139"/>
        <v>0</v>
      </c>
      <c r="P332" s="15">
        <f t="shared" si="140"/>
        <v>0</v>
      </c>
      <c r="Q332" s="8"/>
      <c r="R332" s="8"/>
      <c r="S332" s="7" t="s">
        <v>1033</v>
      </c>
      <c r="T332" s="7" t="s">
        <v>445</v>
      </c>
      <c r="U332" s="7" t="s">
        <v>2703</v>
      </c>
      <c r="V332" s="7">
        <v>1</v>
      </c>
      <c r="W332" s="11" t="s">
        <v>4269</v>
      </c>
      <c r="X332" s="10">
        <v>45322</v>
      </c>
      <c r="Y332" s="7" t="s">
        <v>41</v>
      </c>
      <c r="Z332" s="9" t="s">
        <v>83</v>
      </c>
      <c r="AA332" s="9" t="s">
        <v>2705</v>
      </c>
      <c r="AB332" s="7">
        <v>229</v>
      </c>
      <c r="AC332" s="9"/>
      <c r="AD332" s="9">
        <v>181</v>
      </c>
      <c r="AE332" s="9"/>
      <c r="AF332" s="9"/>
      <c r="AG332" s="9"/>
      <c r="AH332" s="9"/>
      <c r="AI332" s="9"/>
      <c r="AJ332" s="9"/>
      <c r="AK332" s="9"/>
      <c r="AL332" s="9"/>
      <c r="AM332" s="9">
        <v>214</v>
      </c>
      <c r="AN332" s="9"/>
      <c r="AO332" s="9"/>
      <c r="AP332" s="9">
        <f t="shared" si="143"/>
        <v>3</v>
      </c>
      <c r="AQ332" s="62">
        <f t="shared" si="144"/>
        <v>208</v>
      </c>
      <c r="AR332" s="11" t="str">
        <f>IF(AQ332&gt;='Aprovados Recursos do Fundo'!$AQ$1,"APROVADO","REPROVADO")</f>
        <v>APROVADO</v>
      </c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</row>
    <row r="333" spans="2:56" s="64" customFormat="1" ht="39.950000000000003" hidden="1" customHeight="1" x14ac:dyDescent="0.25">
      <c r="B333" s="5">
        <v>564</v>
      </c>
      <c r="C333" s="6" t="s">
        <v>2706</v>
      </c>
      <c r="D333" s="100" t="s">
        <v>4270</v>
      </c>
      <c r="E333" s="5" t="s">
        <v>33</v>
      </c>
      <c r="F333" s="58" t="s">
        <v>2693</v>
      </c>
      <c r="G333" s="7" t="s">
        <v>2707</v>
      </c>
      <c r="H333" s="7" t="s">
        <v>107</v>
      </c>
      <c r="I333" s="8">
        <v>332039.32</v>
      </c>
      <c r="J333" s="8"/>
      <c r="K333" s="8"/>
      <c r="L333" s="8">
        <f t="shared" si="138"/>
        <v>398447.18400000001</v>
      </c>
      <c r="M333" s="8"/>
      <c r="N333" s="8"/>
      <c r="O333" s="15">
        <f t="shared" si="139"/>
        <v>0</v>
      </c>
      <c r="P333" s="15">
        <f t="shared" si="140"/>
        <v>0</v>
      </c>
      <c r="Q333" s="8"/>
      <c r="R333" s="8"/>
      <c r="S333" s="7" t="s">
        <v>253</v>
      </c>
      <c r="T333" s="7" t="s">
        <v>254</v>
      </c>
      <c r="U333" s="7" t="s">
        <v>2695</v>
      </c>
      <c r="V333" s="7">
        <v>1</v>
      </c>
      <c r="W333" s="44" t="s">
        <v>2696</v>
      </c>
      <c r="X333" s="10">
        <v>45322</v>
      </c>
      <c r="Y333" s="7" t="s">
        <v>67</v>
      </c>
      <c r="Z333" s="7" t="s">
        <v>2697</v>
      </c>
      <c r="AA333" s="9"/>
      <c r="AB333" s="7">
        <v>334</v>
      </c>
      <c r="AC333" s="9"/>
      <c r="AD333" s="9"/>
      <c r="AE333" s="9"/>
      <c r="AF333" s="9"/>
      <c r="AG333" s="9">
        <v>340</v>
      </c>
      <c r="AH333" s="9"/>
      <c r="AI333" s="9"/>
      <c r="AJ333" s="9">
        <v>340</v>
      </c>
      <c r="AK333" s="9"/>
      <c r="AL333" s="9"/>
      <c r="AM333" s="9"/>
      <c r="AN333" s="9"/>
      <c r="AO333" s="9"/>
      <c r="AP333" s="9">
        <f t="shared" si="143"/>
        <v>3</v>
      </c>
      <c r="AQ333" s="62">
        <f t="shared" si="144"/>
        <v>338</v>
      </c>
      <c r="AR333" s="11" t="str">
        <f>IF(AQ333&gt;=$AR$1,"APROVADO","REPROVADO")</f>
        <v>APROVADO</v>
      </c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</row>
    <row r="334" spans="2:56" s="64" customFormat="1" ht="39.950000000000003" hidden="1" customHeight="1" x14ac:dyDescent="0.25">
      <c r="B334" s="5">
        <v>566</v>
      </c>
      <c r="C334" s="27" t="s">
        <v>2712</v>
      </c>
      <c r="D334" s="104" t="s">
        <v>4271</v>
      </c>
      <c r="E334" s="5" t="s">
        <v>33</v>
      </c>
      <c r="F334" s="5" t="s">
        <v>2713</v>
      </c>
      <c r="G334" s="7" t="s">
        <v>2714</v>
      </c>
      <c r="H334" s="7" t="s">
        <v>36</v>
      </c>
      <c r="I334" s="8">
        <v>70000</v>
      </c>
      <c r="J334" s="8"/>
      <c r="K334" s="8"/>
      <c r="L334" s="8">
        <f t="shared" si="138"/>
        <v>84000</v>
      </c>
      <c r="M334" s="8"/>
      <c r="N334" s="8"/>
      <c r="O334" s="15">
        <f t="shared" si="139"/>
        <v>0</v>
      </c>
      <c r="P334" s="15">
        <f t="shared" si="140"/>
        <v>0</v>
      </c>
      <c r="Q334" s="8"/>
      <c r="R334" s="8"/>
      <c r="S334" s="7" t="s">
        <v>1023</v>
      </c>
      <c r="T334" s="7" t="s">
        <v>445</v>
      </c>
      <c r="U334" s="7" t="s">
        <v>2715</v>
      </c>
      <c r="V334" s="7"/>
      <c r="W334" s="9" t="s">
        <v>2716</v>
      </c>
      <c r="X334" s="10">
        <v>45322</v>
      </c>
      <c r="Y334" s="7" t="s">
        <v>41</v>
      </c>
      <c r="Z334" s="9"/>
      <c r="AA334" s="9"/>
      <c r="AB334" s="7">
        <v>340</v>
      </c>
      <c r="AC334" s="9">
        <v>142</v>
      </c>
      <c r="AD334" s="9"/>
      <c r="AE334" s="9"/>
      <c r="AF334" s="9"/>
      <c r="AG334" s="9"/>
      <c r="AH334" s="9"/>
      <c r="AI334" s="9"/>
      <c r="AJ334" s="9"/>
      <c r="AK334" s="9"/>
      <c r="AL334" s="9"/>
      <c r="AM334" s="9">
        <v>316</v>
      </c>
      <c r="AN334" s="9"/>
      <c r="AO334" s="9"/>
      <c r="AP334" s="9">
        <f t="shared" si="143"/>
        <v>3</v>
      </c>
      <c r="AQ334" s="62">
        <f t="shared" si="144"/>
        <v>266</v>
      </c>
      <c r="AR334" s="11" t="str">
        <f>IF(AQ334&gt;='Aprovados Recursos do Fundo'!$AQ$1,"APROVADO","REPROVADO")</f>
        <v>APROVADO</v>
      </c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</row>
    <row r="335" spans="2:56" s="64" customFormat="1" ht="39.950000000000003" hidden="1" customHeight="1" x14ac:dyDescent="0.25">
      <c r="B335" s="5">
        <v>568</v>
      </c>
      <c r="C335" s="6" t="s">
        <v>2720</v>
      </c>
      <c r="D335" s="99"/>
      <c r="E335" s="5" t="s">
        <v>51</v>
      </c>
      <c r="F335" s="58" t="s">
        <v>2721</v>
      </c>
      <c r="G335" s="7" t="s">
        <v>2722</v>
      </c>
      <c r="H335" s="7" t="s">
        <v>45</v>
      </c>
      <c r="I335" s="41">
        <v>196347.25</v>
      </c>
      <c r="J335" s="41"/>
      <c r="K335" s="41"/>
      <c r="L335" s="8">
        <v>235616.69999999998</v>
      </c>
      <c r="M335" s="41"/>
      <c r="N335" s="41"/>
      <c r="O335" s="41"/>
      <c r="P335" s="41"/>
      <c r="Q335" s="41"/>
      <c r="R335" s="41"/>
      <c r="S335" s="9" t="s">
        <v>2723</v>
      </c>
      <c r="T335" s="11" t="s">
        <v>202</v>
      </c>
      <c r="U335" s="7" t="s">
        <v>2724</v>
      </c>
      <c r="V335" s="7"/>
      <c r="W335" s="66" t="s">
        <v>2725</v>
      </c>
      <c r="X335" s="34">
        <v>45322</v>
      </c>
      <c r="Y335" s="9" t="s">
        <v>57</v>
      </c>
      <c r="Z335" s="11" t="s">
        <v>2726</v>
      </c>
      <c r="AA335" s="9"/>
      <c r="AB335" s="9">
        <v>273</v>
      </c>
      <c r="AC335" s="9"/>
      <c r="AD335" s="9"/>
      <c r="AE335" s="9"/>
      <c r="AF335" s="9"/>
      <c r="AG335" s="9"/>
      <c r="AH335" s="9"/>
      <c r="AI335" s="9">
        <v>319</v>
      </c>
      <c r="AJ335" s="9">
        <v>275</v>
      </c>
      <c r="AK335" s="9"/>
      <c r="AL335" s="9"/>
      <c r="AM335" s="9"/>
      <c r="AN335" s="65"/>
      <c r="AO335" s="65"/>
      <c r="AP335" s="9">
        <f t="shared" si="143"/>
        <v>3</v>
      </c>
      <c r="AQ335" s="62">
        <f t="shared" si="144"/>
        <v>289</v>
      </c>
      <c r="AR335" s="11" t="str">
        <f>IF(AQ335&gt;=$AR$1,"APROVADO","REPROVADO")</f>
        <v>APROVADO</v>
      </c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</row>
    <row r="336" spans="2:56" s="64" customFormat="1" ht="39.950000000000003" hidden="1" customHeight="1" x14ac:dyDescent="0.25">
      <c r="B336" s="5">
        <v>570</v>
      </c>
      <c r="C336" s="6" t="s">
        <v>2720</v>
      </c>
      <c r="D336" s="99"/>
      <c r="E336" s="5" t="s">
        <v>51</v>
      </c>
      <c r="F336" s="58" t="s">
        <v>2721</v>
      </c>
      <c r="G336" s="7" t="s">
        <v>2728</v>
      </c>
      <c r="H336" s="7" t="s">
        <v>45</v>
      </c>
      <c r="I336" s="41">
        <v>300000</v>
      </c>
      <c r="J336" s="41"/>
      <c r="K336" s="41"/>
      <c r="L336" s="8">
        <v>360000</v>
      </c>
      <c r="M336" s="41"/>
      <c r="N336" s="41"/>
      <c r="O336" s="41"/>
      <c r="P336" s="41"/>
      <c r="Q336" s="41"/>
      <c r="R336" s="41"/>
      <c r="S336" s="9" t="s">
        <v>2723</v>
      </c>
      <c r="T336" s="11" t="s">
        <v>202</v>
      </c>
      <c r="U336" s="7" t="s">
        <v>2724</v>
      </c>
      <c r="V336" s="7"/>
      <c r="W336" s="21" t="s">
        <v>2725</v>
      </c>
      <c r="X336" s="34">
        <v>45322</v>
      </c>
      <c r="Y336" s="9" t="s">
        <v>57</v>
      </c>
      <c r="Z336" s="11" t="s">
        <v>2726</v>
      </c>
      <c r="AA336" s="9"/>
      <c r="AB336" s="9">
        <v>298</v>
      </c>
      <c r="AC336" s="9"/>
      <c r="AD336" s="9"/>
      <c r="AE336" s="9"/>
      <c r="AF336" s="9"/>
      <c r="AG336" s="9"/>
      <c r="AH336" s="9"/>
      <c r="AI336" s="9">
        <v>321</v>
      </c>
      <c r="AJ336" s="9">
        <v>289</v>
      </c>
      <c r="AK336" s="9"/>
      <c r="AL336" s="9"/>
      <c r="AM336" s="9"/>
      <c r="AN336" s="65"/>
      <c r="AO336" s="65"/>
      <c r="AP336" s="9">
        <f t="shared" si="143"/>
        <v>3</v>
      </c>
      <c r="AQ336" s="62">
        <f t="shared" si="144"/>
        <v>302.66666666666669</v>
      </c>
      <c r="AR336" s="11" t="str">
        <f>IF(AQ336&gt;=$AR$1,"APROVADO","REPROVADO")</f>
        <v>APROVADO</v>
      </c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</row>
    <row r="337" spans="2:58" s="64" customFormat="1" ht="39.950000000000003" hidden="1" customHeight="1" x14ac:dyDescent="0.25">
      <c r="B337" s="5">
        <v>571</v>
      </c>
      <c r="C337" s="6" t="s">
        <v>2729</v>
      </c>
      <c r="D337" s="101" t="s">
        <v>4272</v>
      </c>
      <c r="E337" s="5" t="s">
        <v>33</v>
      </c>
      <c r="F337" s="5" t="s">
        <v>2730</v>
      </c>
      <c r="G337" s="7" t="s">
        <v>2731</v>
      </c>
      <c r="H337" s="7" t="s">
        <v>36</v>
      </c>
      <c r="I337" s="8">
        <v>4517586.97</v>
      </c>
      <c r="J337" s="8"/>
      <c r="K337" s="8"/>
      <c r="L337" s="8">
        <f t="shared" ref="L337:L348" si="145">I337*1.2</f>
        <v>5421104.3639999991</v>
      </c>
      <c r="M337" s="8"/>
      <c r="N337" s="8"/>
      <c r="O337" s="15">
        <f t="shared" ref="O337:O348" si="146">M337*0.83333332117758</f>
        <v>0</v>
      </c>
      <c r="P337" s="15">
        <f t="shared" ref="P337:P348" si="147">M337*0.16666667882242</f>
        <v>0</v>
      </c>
      <c r="Q337" s="8"/>
      <c r="R337" s="8"/>
      <c r="S337" s="7" t="s">
        <v>2732</v>
      </c>
      <c r="T337" s="7" t="s">
        <v>795</v>
      </c>
      <c r="U337" s="7" t="s">
        <v>2733</v>
      </c>
      <c r="V337" s="7"/>
      <c r="W337" s="9" t="s">
        <v>2734</v>
      </c>
      <c r="X337" s="10">
        <v>45322</v>
      </c>
      <c r="Y337" s="7" t="s">
        <v>67</v>
      </c>
      <c r="Z337" s="5" t="s">
        <v>98</v>
      </c>
      <c r="AA337" s="9"/>
      <c r="AB337" s="7">
        <v>235</v>
      </c>
      <c r="AC337" s="9"/>
      <c r="AD337" s="9"/>
      <c r="AE337" s="9"/>
      <c r="AF337" s="9"/>
      <c r="AG337" s="9"/>
      <c r="AH337" s="9">
        <v>308</v>
      </c>
      <c r="AI337" s="9"/>
      <c r="AJ337" s="9">
        <v>340</v>
      </c>
      <c r="AK337" s="9"/>
      <c r="AL337" s="9"/>
      <c r="AM337" s="9"/>
      <c r="AN337" s="9"/>
      <c r="AO337" s="9"/>
      <c r="AP337" s="9">
        <f t="shared" si="143"/>
        <v>3</v>
      </c>
      <c r="AQ337" s="62">
        <f t="shared" si="144"/>
        <v>294.33333333333331</v>
      </c>
      <c r="AR337" s="11" t="str">
        <f>IF(AQ337&gt;='Aprovados Recursos do Fundo'!$AQ$1,"APROVADO","REPROVADO")</f>
        <v>APROVADO</v>
      </c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</row>
    <row r="338" spans="2:58" s="64" customFormat="1" ht="39.950000000000003" hidden="1" customHeight="1" x14ac:dyDescent="0.25">
      <c r="B338" s="5">
        <v>572</v>
      </c>
      <c r="C338" s="6" t="s">
        <v>2735</v>
      </c>
      <c r="D338" s="101" t="s">
        <v>4273</v>
      </c>
      <c r="E338" s="5" t="s">
        <v>33</v>
      </c>
      <c r="F338" s="5" t="s">
        <v>2736</v>
      </c>
      <c r="G338" s="7" t="s">
        <v>2737</v>
      </c>
      <c r="H338" s="7" t="s">
        <v>107</v>
      </c>
      <c r="I338" s="8">
        <v>987125</v>
      </c>
      <c r="J338" s="8"/>
      <c r="K338" s="8"/>
      <c r="L338" s="8">
        <f t="shared" si="145"/>
        <v>1184550</v>
      </c>
      <c r="M338" s="8"/>
      <c r="N338" s="8"/>
      <c r="O338" s="15">
        <f t="shared" si="146"/>
        <v>0</v>
      </c>
      <c r="P338" s="15">
        <f t="shared" si="147"/>
        <v>0</v>
      </c>
      <c r="Q338" s="8"/>
      <c r="R338" s="8"/>
      <c r="S338" s="7" t="s">
        <v>73</v>
      </c>
      <c r="T338" s="5" t="s">
        <v>74</v>
      </c>
      <c r="U338" s="7" t="s">
        <v>2738</v>
      </c>
      <c r="V338" s="7"/>
      <c r="W338" s="9" t="s">
        <v>2739</v>
      </c>
      <c r="X338" s="10">
        <v>45322</v>
      </c>
      <c r="Y338" s="7" t="s">
        <v>67</v>
      </c>
      <c r="Z338" s="7" t="s">
        <v>68</v>
      </c>
      <c r="AA338" s="7"/>
      <c r="AB338" s="7">
        <v>231</v>
      </c>
      <c r="AC338" s="9"/>
      <c r="AD338" s="9"/>
      <c r="AE338" s="9"/>
      <c r="AF338" s="9"/>
      <c r="AG338" s="9"/>
      <c r="AH338" s="9">
        <v>335</v>
      </c>
      <c r="AI338" s="9"/>
      <c r="AJ338" s="9">
        <v>340</v>
      </c>
      <c r="AK338" s="9"/>
      <c r="AL338" s="9"/>
      <c r="AM338" s="9"/>
      <c r="AN338" s="9"/>
      <c r="AO338" s="9"/>
      <c r="AP338" s="9">
        <f t="shared" si="143"/>
        <v>3</v>
      </c>
      <c r="AQ338" s="62">
        <f t="shared" si="144"/>
        <v>302</v>
      </c>
      <c r="AR338" s="11" t="str">
        <f>IF(AQ338&gt;='Aprovados Recursos do Fundo'!$AQ$1,"APROVADO","REPROVADO")</f>
        <v>APROVADO</v>
      </c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</row>
    <row r="339" spans="2:58" s="64" customFormat="1" ht="39.950000000000003" hidden="1" customHeight="1" x14ac:dyDescent="0.25">
      <c r="B339" s="5">
        <v>577</v>
      </c>
      <c r="C339" s="6" t="s">
        <v>2760</v>
      </c>
      <c r="D339" s="101" t="s">
        <v>4274</v>
      </c>
      <c r="E339" s="5" t="s">
        <v>33</v>
      </c>
      <c r="F339" s="5" t="s">
        <v>2761</v>
      </c>
      <c r="G339" s="5" t="s">
        <v>2762</v>
      </c>
      <c r="H339" s="7" t="s">
        <v>107</v>
      </c>
      <c r="I339" s="8">
        <v>403540</v>
      </c>
      <c r="J339" s="8"/>
      <c r="K339" s="8"/>
      <c r="L339" s="8">
        <f t="shared" si="145"/>
        <v>484248</v>
      </c>
      <c r="M339" s="8"/>
      <c r="N339" s="8"/>
      <c r="O339" s="15">
        <f t="shared" si="146"/>
        <v>0</v>
      </c>
      <c r="P339" s="15">
        <f t="shared" si="147"/>
        <v>0</v>
      </c>
      <c r="Q339" s="8"/>
      <c r="R339" s="8"/>
      <c r="S339" s="7" t="s">
        <v>73</v>
      </c>
      <c r="T339" s="5" t="s">
        <v>74</v>
      </c>
      <c r="U339" s="7" t="s">
        <v>2763</v>
      </c>
      <c r="V339" s="7"/>
      <c r="W339" s="9" t="s">
        <v>2764</v>
      </c>
      <c r="X339" s="10">
        <v>45322</v>
      </c>
      <c r="Y339" s="5" t="s">
        <v>67</v>
      </c>
      <c r="Z339" s="7" t="s">
        <v>68</v>
      </c>
      <c r="AA339" s="7" t="s">
        <v>2765</v>
      </c>
      <c r="AB339" s="5">
        <v>288</v>
      </c>
      <c r="AC339" s="9"/>
      <c r="AD339" s="9"/>
      <c r="AE339" s="9"/>
      <c r="AF339" s="9"/>
      <c r="AG339" s="9"/>
      <c r="AH339" s="9"/>
      <c r="AI339" s="9">
        <v>308</v>
      </c>
      <c r="AJ339" s="9">
        <v>282</v>
      </c>
      <c r="AK339" s="9"/>
      <c r="AL339" s="9"/>
      <c r="AM339" s="9"/>
      <c r="AN339" s="9"/>
      <c r="AO339" s="9"/>
      <c r="AP339" s="9">
        <f t="shared" si="143"/>
        <v>3</v>
      </c>
      <c r="AQ339" s="62">
        <f t="shared" si="144"/>
        <v>292.66666666666669</v>
      </c>
      <c r="AR339" s="11" t="str">
        <f>IF(AQ339&gt;='Aprovados Recursos do Fundo'!$AQ$1,"APROVADO","REPROVADO")</f>
        <v>APROVADO</v>
      </c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</row>
    <row r="340" spans="2:58" s="64" customFormat="1" ht="39.950000000000003" hidden="1" customHeight="1" x14ac:dyDescent="0.25">
      <c r="B340" s="5">
        <v>585</v>
      </c>
      <c r="C340" s="27" t="s">
        <v>2791</v>
      </c>
      <c r="D340" s="101" t="s">
        <v>4275</v>
      </c>
      <c r="E340" s="5" t="s">
        <v>33</v>
      </c>
      <c r="F340" s="5" t="s">
        <v>2792</v>
      </c>
      <c r="G340" s="7" t="s">
        <v>2793</v>
      </c>
      <c r="H340" s="5" t="s">
        <v>62</v>
      </c>
      <c r="I340" s="8">
        <v>130000</v>
      </c>
      <c r="J340" s="8"/>
      <c r="K340" s="8"/>
      <c r="L340" s="8">
        <f t="shared" si="145"/>
        <v>156000</v>
      </c>
      <c r="M340" s="8"/>
      <c r="N340" s="8"/>
      <c r="O340" s="15">
        <f t="shared" si="146"/>
        <v>0</v>
      </c>
      <c r="P340" s="15">
        <f t="shared" si="147"/>
        <v>0</v>
      </c>
      <c r="Q340" s="8"/>
      <c r="R340" s="8"/>
      <c r="S340" s="7" t="s">
        <v>2794</v>
      </c>
      <c r="T340" s="7" t="s">
        <v>391</v>
      </c>
      <c r="U340" s="7" t="s">
        <v>2795</v>
      </c>
      <c r="V340" s="7"/>
      <c r="W340" s="9" t="s">
        <v>2796</v>
      </c>
      <c r="X340" s="10">
        <v>45322</v>
      </c>
      <c r="Y340" s="7" t="s">
        <v>41</v>
      </c>
      <c r="Z340" s="9"/>
      <c r="AA340" s="9"/>
      <c r="AB340" s="7">
        <v>337</v>
      </c>
      <c r="AC340" s="9">
        <v>263</v>
      </c>
      <c r="AD340" s="9"/>
      <c r="AE340" s="9">
        <v>261</v>
      </c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>
        <f t="shared" si="143"/>
        <v>3</v>
      </c>
      <c r="AQ340" s="62">
        <f t="shared" si="144"/>
        <v>287</v>
      </c>
      <c r="AR340" s="11" t="str">
        <f>IF(AQ340&gt;='Aprovados Recursos do Fundo'!$AQ$1,"APROVADO","REPROVADO")</f>
        <v>APROVADO</v>
      </c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</row>
    <row r="341" spans="2:58" s="64" customFormat="1" ht="39.950000000000003" hidden="1" customHeight="1" x14ac:dyDescent="0.25">
      <c r="B341" s="5">
        <v>587</v>
      </c>
      <c r="C341" s="6" t="s">
        <v>2802</v>
      </c>
      <c r="D341" s="101" t="s">
        <v>4276</v>
      </c>
      <c r="E341" s="5" t="s">
        <v>33</v>
      </c>
      <c r="F341" s="58" t="s">
        <v>2798</v>
      </c>
      <c r="G341" s="7" t="s">
        <v>2803</v>
      </c>
      <c r="H341" s="7" t="s">
        <v>107</v>
      </c>
      <c r="I341" s="8">
        <v>397080</v>
      </c>
      <c r="J341" s="8"/>
      <c r="K341" s="8"/>
      <c r="L341" s="8">
        <f t="shared" si="145"/>
        <v>476496</v>
      </c>
      <c r="M341" s="8"/>
      <c r="N341" s="8"/>
      <c r="O341" s="15">
        <f t="shared" si="146"/>
        <v>0</v>
      </c>
      <c r="P341" s="15">
        <f t="shared" si="147"/>
        <v>0</v>
      </c>
      <c r="Q341" s="8"/>
      <c r="R341" s="8"/>
      <c r="S341" s="7" t="s">
        <v>73</v>
      </c>
      <c r="T341" s="5" t="s">
        <v>74</v>
      </c>
      <c r="U341" s="7" t="s">
        <v>2800</v>
      </c>
      <c r="V341" s="7"/>
      <c r="W341" s="9" t="s">
        <v>2801</v>
      </c>
      <c r="X341" s="10">
        <v>45322</v>
      </c>
      <c r="Y341" s="7" t="s">
        <v>67</v>
      </c>
      <c r="Z341" s="7" t="s">
        <v>68</v>
      </c>
      <c r="AA341" s="9"/>
      <c r="AB341" s="7">
        <v>292</v>
      </c>
      <c r="AC341" s="9">
        <v>170</v>
      </c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>
        <v>177</v>
      </c>
      <c r="AP341" s="9">
        <f t="shared" si="143"/>
        <v>3</v>
      </c>
      <c r="AQ341" s="62">
        <f t="shared" si="144"/>
        <v>213</v>
      </c>
      <c r="AR341" s="11" t="str">
        <f>IF(AQ341&gt;=$AR$1,"APROVADO","REPROVADO")</f>
        <v>APROVADO</v>
      </c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</row>
    <row r="342" spans="2:58" s="64" customFormat="1" ht="39.950000000000003" hidden="1" customHeight="1" x14ac:dyDescent="0.25">
      <c r="B342" s="5">
        <v>588</v>
      </c>
      <c r="C342" s="6" t="s">
        <v>2804</v>
      </c>
      <c r="D342" s="101" t="s">
        <v>4277</v>
      </c>
      <c r="E342" s="5" t="s">
        <v>33</v>
      </c>
      <c r="F342" s="58" t="s">
        <v>2798</v>
      </c>
      <c r="G342" s="5" t="s">
        <v>2805</v>
      </c>
      <c r="H342" s="7" t="s">
        <v>107</v>
      </c>
      <c r="I342" s="8">
        <v>467160</v>
      </c>
      <c r="J342" s="8"/>
      <c r="K342" s="8"/>
      <c r="L342" s="8">
        <f t="shared" si="145"/>
        <v>560592</v>
      </c>
      <c r="M342" s="8"/>
      <c r="N342" s="8"/>
      <c r="O342" s="15">
        <f t="shared" si="146"/>
        <v>0</v>
      </c>
      <c r="P342" s="15">
        <f t="shared" si="147"/>
        <v>0</v>
      </c>
      <c r="Q342" s="8"/>
      <c r="R342" s="8"/>
      <c r="S342" s="7" t="s">
        <v>73</v>
      </c>
      <c r="T342" s="5" t="s">
        <v>74</v>
      </c>
      <c r="U342" s="7" t="s">
        <v>2800</v>
      </c>
      <c r="V342" s="7"/>
      <c r="W342" s="9" t="s">
        <v>2801</v>
      </c>
      <c r="X342" s="10">
        <v>45322</v>
      </c>
      <c r="Y342" s="5" t="s">
        <v>67</v>
      </c>
      <c r="Z342" s="7" t="s">
        <v>68</v>
      </c>
      <c r="AA342" s="9"/>
      <c r="AB342" s="5">
        <v>258</v>
      </c>
      <c r="AC342" s="9"/>
      <c r="AD342" s="9"/>
      <c r="AE342" s="9"/>
      <c r="AF342" s="9"/>
      <c r="AG342" s="9"/>
      <c r="AH342" s="9"/>
      <c r="AI342" s="9">
        <v>260</v>
      </c>
      <c r="AJ342" s="9">
        <v>279</v>
      </c>
      <c r="AK342" s="9"/>
      <c r="AL342" s="9"/>
      <c r="AM342" s="9"/>
      <c r="AN342" s="9"/>
      <c r="AO342" s="9"/>
      <c r="AP342" s="9">
        <f t="shared" si="143"/>
        <v>3</v>
      </c>
      <c r="AQ342" s="62">
        <f t="shared" si="144"/>
        <v>265.66666666666669</v>
      </c>
      <c r="AR342" s="11" t="str">
        <f>IF(AQ342&gt;=$AR$1,"APROVADO","REPROVADO")</f>
        <v>APROVADO</v>
      </c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</row>
    <row r="343" spans="2:58" s="64" customFormat="1" ht="39.950000000000003" hidden="1" customHeight="1" x14ac:dyDescent="0.25">
      <c r="B343" s="5">
        <v>589</v>
      </c>
      <c r="C343" s="6" t="s">
        <v>2806</v>
      </c>
      <c r="D343" s="101" t="s">
        <v>4278</v>
      </c>
      <c r="E343" s="5" t="s">
        <v>33</v>
      </c>
      <c r="F343" s="58" t="s">
        <v>2807</v>
      </c>
      <c r="G343" s="5" t="s">
        <v>2808</v>
      </c>
      <c r="H343" s="7" t="s">
        <v>107</v>
      </c>
      <c r="I343" s="8">
        <v>468232.2</v>
      </c>
      <c r="J343" s="8"/>
      <c r="K343" s="8"/>
      <c r="L343" s="8">
        <f t="shared" si="145"/>
        <v>561878.64</v>
      </c>
      <c r="M343" s="8"/>
      <c r="N343" s="8"/>
      <c r="O343" s="15">
        <f t="shared" si="146"/>
        <v>0</v>
      </c>
      <c r="P343" s="15">
        <f t="shared" si="147"/>
        <v>0</v>
      </c>
      <c r="Q343" s="8"/>
      <c r="R343" s="8"/>
      <c r="S343" s="7" t="s">
        <v>73</v>
      </c>
      <c r="T343" s="5" t="s">
        <v>74</v>
      </c>
      <c r="U343" s="7" t="s">
        <v>2809</v>
      </c>
      <c r="V343" s="7"/>
      <c r="W343" s="9" t="s">
        <v>2810</v>
      </c>
      <c r="X343" s="10">
        <v>45322</v>
      </c>
      <c r="Y343" s="5" t="s">
        <v>67</v>
      </c>
      <c r="Z343" s="7" t="s">
        <v>68</v>
      </c>
      <c r="AA343" s="9"/>
      <c r="AB343" s="5">
        <v>271</v>
      </c>
      <c r="AC343" s="9"/>
      <c r="AD343" s="9"/>
      <c r="AE343" s="9"/>
      <c r="AF343" s="9"/>
      <c r="AG343" s="9"/>
      <c r="AH343" s="9">
        <v>288</v>
      </c>
      <c r="AI343" s="9">
        <v>271</v>
      </c>
      <c r="AJ343" s="9"/>
      <c r="AK343" s="9"/>
      <c r="AL343" s="9"/>
      <c r="AM343" s="9"/>
      <c r="AN343" s="9"/>
      <c r="AO343" s="9"/>
      <c r="AP343" s="9">
        <f t="shared" si="143"/>
        <v>3</v>
      </c>
      <c r="AQ343" s="62">
        <f t="shared" si="144"/>
        <v>276.66666666666669</v>
      </c>
      <c r="AR343" s="11" t="str">
        <f>IF(AQ343&gt;=$AR$1,"APROVADO","REPROVADO")</f>
        <v>APROVADO</v>
      </c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</row>
    <row r="344" spans="2:58" s="64" customFormat="1" ht="39.950000000000003" hidden="1" customHeight="1" x14ac:dyDescent="0.25">
      <c r="B344" s="5">
        <v>590</v>
      </c>
      <c r="C344" s="6" t="s">
        <v>2811</v>
      </c>
      <c r="D344" s="101" t="s">
        <v>4279</v>
      </c>
      <c r="E344" s="5" t="s">
        <v>33</v>
      </c>
      <c r="F344" s="58" t="s">
        <v>2807</v>
      </c>
      <c r="G344" s="7" t="s">
        <v>2812</v>
      </c>
      <c r="H344" s="7" t="s">
        <v>107</v>
      </c>
      <c r="I344" s="8">
        <v>433836</v>
      </c>
      <c r="J344" s="8"/>
      <c r="K344" s="8"/>
      <c r="L344" s="8">
        <f t="shared" si="145"/>
        <v>520603.19999999995</v>
      </c>
      <c r="M344" s="8"/>
      <c r="N344" s="8"/>
      <c r="O344" s="15">
        <f t="shared" si="146"/>
        <v>0</v>
      </c>
      <c r="P344" s="15">
        <f t="shared" si="147"/>
        <v>0</v>
      </c>
      <c r="Q344" s="8"/>
      <c r="R344" s="8"/>
      <c r="S344" s="7" t="s">
        <v>73</v>
      </c>
      <c r="T344" s="5" t="s">
        <v>74</v>
      </c>
      <c r="U344" s="7" t="s">
        <v>2809</v>
      </c>
      <c r="V344" s="7"/>
      <c r="W344" s="9" t="s">
        <v>2810</v>
      </c>
      <c r="X344" s="10">
        <v>45322</v>
      </c>
      <c r="Y344" s="7" t="s">
        <v>67</v>
      </c>
      <c r="Z344" s="7" t="s">
        <v>68</v>
      </c>
      <c r="AA344" s="9"/>
      <c r="AB344" s="7">
        <v>244</v>
      </c>
      <c r="AC344" s="9"/>
      <c r="AD344" s="9"/>
      <c r="AE344" s="9"/>
      <c r="AF344" s="9"/>
      <c r="AG344" s="9"/>
      <c r="AH344" s="9"/>
      <c r="AI344" s="9">
        <v>316</v>
      </c>
      <c r="AJ344" s="9"/>
      <c r="AK344" s="9"/>
      <c r="AL344" s="9"/>
      <c r="AM344" s="9"/>
      <c r="AN344" s="9">
        <v>329</v>
      </c>
      <c r="AO344" s="9"/>
      <c r="AP344" s="9">
        <f t="shared" si="143"/>
        <v>3</v>
      </c>
      <c r="AQ344" s="62">
        <f t="shared" si="144"/>
        <v>296.33333333333331</v>
      </c>
      <c r="AR344" s="11" t="str">
        <f>IF(AQ344&gt;=$AR$1,"APROVADO","REPROVADO")</f>
        <v>APROVADO</v>
      </c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</row>
    <row r="345" spans="2:58" s="64" customFormat="1" ht="39.950000000000003" hidden="1" customHeight="1" x14ac:dyDescent="0.25">
      <c r="B345" s="5">
        <v>592</v>
      </c>
      <c r="C345" s="6" t="s">
        <v>2815</v>
      </c>
      <c r="D345" s="101" t="s">
        <v>4280</v>
      </c>
      <c r="E345" s="5" t="s">
        <v>33</v>
      </c>
      <c r="F345" s="58" t="s">
        <v>2816</v>
      </c>
      <c r="G345" s="7" t="s">
        <v>2817</v>
      </c>
      <c r="H345" s="7" t="s">
        <v>107</v>
      </c>
      <c r="I345" s="8">
        <v>349940</v>
      </c>
      <c r="J345" s="8"/>
      <c r="K345" s="8"/>
      <c r="L345" s="8">
        <f t="shared" si="145"/>
        <v>419928</v>
      </c>
      <c r="M345" s="8"/>
      <c r="N345" s="8"/>
      <c r="O345" s="15">
        <f t="shared" si="146"/>
        <v>0</v>
      </c>
      <c r="P345" s="15">
        <f t="shared" si="147"/>
        <v>0</v>
      </c>
      <c r="Q345" s="8"/>
      <c r="R345" s="8"/>
      <c r="S345" s="7" t="s">
        <v>2818</v>
      </c>
      <c r="T345" s="7" t="s">
        <v>1414</v>
      </c>
      <c r="U345" s="7" t="s">
        <v>2819</v>
      </c>
      <c r="V345" s="7"/>
      <c r="W345" s="9" t="s">
        <v>2820</v>
      </c>
      <c r="X345" s="10">
        <v>45322</v>
      </c>
      <c r="Y345" s="7" t="s">
        <v>67</v>
      </c>
      <c r="Z345" s="7" t="s">
        <v>2821</v>
      </c>
      <c r="AA345" s="7"/>
      <c r="AB345" s="7">
        <v>269</v>
      </c>
      <c r="AC345" s="9"/>
      <c r="AD345" s="9"/>
      <c r="AE345" s="9"/>
      <c r="AF345" s="9"/>
      <c r="AG345" s="9">
        <v>258</v>
      </c>
      <c r="AH345" s="9">
        <v>256</v>
      </c>
      <c r="AI345" s="9"/>
      <c r="AJ345" s="9"/>
      <c r="AK345" s="9"/>
      <c r="AL345" s="9"/>
      <c r="AM345" s="9"/>
      <c r="AN345" s="9"/>
      <c r="AO345" s="9"/>
      <c r="AP345" s="9">
        <f t="shared" si="143"/>
        <v>3</v>
      </c>
      <c r="AQ345" s="62">
        <f t="shared" si="144"/>
        <v>261</v>
      </c>
      <c r="AR345" s="11" t="str">
        <f>IF(AQ345&gt;=$AR$1,"APROVADO","REPROVADO")</f>
        <v>APROVADO</v>
      </c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</row>
    <row r="346" spans="2:58" s="64" customFormat="1" ht="39.950000000000003" hidden="1" customHeight="1" x14ac:dyDescent="0.25">
      <c r="B346" s="5">
        <v>603</v>
      </c>
      <c r="C346" s="6" t="s">
        <v>2867</v>
      </c>
      <c r="D346" s="101" t="s">
        <v>4281</v>
      </c>
      <c r="E346" s="5" t="s">
        <v>33</v>
      </c>
      <c r="F346" s="7" t="s">
        <v>2868</v>
      </c>
      <c r="G346" s="7" t="s">
        <v>2869</v>
      </c>
      <c r="H346" s="7" t="s">
        <v>4282</v>
      </c>
      <c r="I346" s="8">
        <v>1149380</v>
      </c>
      <c r="J346" s="8"/>
      <c r="K346" s="8"/>
      <c r="L346" s="8">
        <f t="shared" si="145"/>
        <v>1379256</v>
      </c>
      <c r="M346" s="8">
        <v>1379256</v>
      </c>
      <c r="N346" s="8">
        <f>L346-M346</f>
        <v>0</v>
      </c>
      <c r="O346" s="15">
        <f t="shared" si="146"/>
        <v>1149379.9832341042</v>
      </c>
      <c r="P346" s="15">
        <f t="shared" si="147"/>
        <v>229876.01676589574</v>
      </c>
      <c r="Q346" s="136">
        <f t="shared" ref="Q346:Q347" si="148">M346/L346</f>
        <v>1</v>
      </c>
      <c r="R346" s="8"/>
      <c r="S346" s="7" t="s">
        <v>73</v>
      </c>
      <c r="T346" s="5" t="s">
        <v>74</v>
      </c>
      <c r="U346" s="7" t="s">
        <v>2870</v>
      </c>
      <c r="V346" s="7"/>
      <c r="W346" s="9" t="s">
        <v>2871</v>
      </c>
      <c r="X346" s="10">
        <v>45322</v>
      </c>
      <c r="Y346" s="7" t="s">
        <v>41</v>
      </c>
      <c r="Z346" s="7" t="s">
        <v>83</v>
      </c>
      <c r="AA346" s="7" t="s">
        <v>2872</v>
      </c>
      <c r="AB346" s="7">
        <v>296</v>
      </c>
      <c r="AC346" s="9"/>
      <c r="AD346" s="9">
        <v>245</v>
      </c>
      <c r="AE346" s="9"/>
      <c r="AF346" s="9"/>
      <c r="AG346" s="9"/>
      <c r="AH346" s="9"/>
      <c r="AI346" s="9"/>
      <c r="AJ346" s="9"/>
      <c r="AK346" s="9"/>
      <c r="AL346" s="9"/>
      <c r="AM346" s="9"/>
      <c r="AN346" s="9">
        <v>219</v>
      </c>
      <c r="AO346" s="9"/>
      <c r="AP346" s="9">
        <f t="shared" si="143"/>
        <v>3</v>
      </c>
      <c r="AQ346" s="62">
        <f t="shared" si="144"/>
        <v>253.33333333333334</v>
      </c>
      <c r="AR346" s="11" t="str">
        <f>IF(AQ346&gt;='Aprovados Recursos do Fundo'!$AQ$1,"APROVADO","REPROVADO")</f>
        <v>APROVADO</v>
      </c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F346" s="146" t="s">
        <v>4283</v>
      </c>
    </row>
    <row r="347" spans="2:58" s="64" customFormat="1" ht="39.950000000000003" hidden="1" customHeight="1" x14ac:dyDescent="0.25">
      <c r="B347" s="5">
        <v>605</v>
      </c>
      <c r="C347" s="6" t="s">
        <v>2877</v>
      </c>
      <c r="D347" s="101" t="s">
        <v>4284</v>
      </c>
      <c r="E347" s="5" t="s">
        <v>33</v>
      </c>
      <c r="F347" s="58" t="s">
        <v>2868</v>
      </c>
      <c r="G347" s="7" t="s">
        <v>2878</v>
      </c>
      <c r="H347" s="7" t="s">
        <v>336</v>
      </c>
      <c r="I347" s="8">
        <v>1422430</v>
      </c>
      <c r="J347" s="8"/>
      <c r="K347" s="8"/>
      <c r="L347" s="8">
        <f>I347*1.2</f>
        <v>1706916</v>
      </c>
      <c r="M347" s="8">
        <f>60000+182400+100000+65000+85000+334000+50000+303000+50000+30000+120000+164062.5</f>
        <v>1543462.5</v>
      </c>
      <c r="N347" s="8">
        <f>L347-M347</f>
        <v>163453.5</v>
      </c>
      <c r="O347" s="15">
        <f t="shared" si="146"/>
        <v>1286218.7312380506</v>
      </c>
      <c r="P347" s="15">
        <f t="shared" si="147"/>
        <v>257243.76876194944</v>
      </c>
      <c r="Q347" s="136">
        <f t="shared" si="148"/>
        <v>0.90424045471481895</v>
      </c>
      <c r="R347" s="136"/>
      <c r="S347" s="7" t="s">
        <v>73</v>
      </c>
      <c r="T347" s="5" t="s">
        <v>74</v>
      </c>
      <c r="U347" s="7" t="s">
        <v>2870</v>
      </c>
      <c r="V347" s="7"/>
      <c r="W347" s="31" t="s">
        <v>2871</v>
      </c>
      <c r="X347" s="10">
        <v>45322</v>
      </c>
      <c r="Y347" s="7" t="s">
        <v>41</v>
      </c>
      <c r="Z347" s="7" t="s">
        <v>83</v>
      </c>
      <c r="AA347" s="7" t="s">
        <v>2872</v>
      </c>
      <c r="AB347" s="7">
        <v>273</v>
      </c>
      <c r="AC347" s="9"/>
      <c r="AD347" s="9">
        <v>260</v>
      </c>
      <c r="AE347" s="9"/>
      <c r="AF347" s="9"/>
      <c r="AG347" s="9"/>
      <c r="AH347" s="9"/>
      <c r="AI347" s="9"/>
      <c r="AJ347" s="9"/>
      <c r="AK347" s="9"/>
      <c r="AL347" s="9"/>
      <c r="AM347" s="9"/>
      <c r="AN347" s="9">
        <v>224</v>
      </c>
      <c r="AO347" s="9"/>
      <c r="AP347" s="9">
        <f t="shared" si="143"/>
        <v>3</v>
      </c>
      <c r="AQ347" s="62">
        <f t="shared" si="144"/>
        <v>252.33333333333334</v>
      </c>
      <c r="AR347" s="11" t="str">
        <f>IF(AQ347&gt;=$AR$1,"APROVADO","REPROVADO")</f>
        <v>APROVADO</v>
      </c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</row>
    <row r="348" spans="2:58" s="64" customFormat="1" ht="39.950000000000003" hidden="1" customHeight="1" x14ac:dyDescent="0.25">
      <c r="B348" s="5">
        <v>609</v>
      </c>
      <c r="C348" s="6" t="s">
        <v>2888</v>
      </c>
      <c r="D348" s="101" t="s">
        <v>4285</v>
      </c>
      <c r="E348" s="5" t="s">
        <v>33</v>
      </c>
      <c r="F348" s="5" t="s">
        <v>2889</v>
      </c>
      <c r="G348" s="5" t="s">
        <v>2890</v>
      </c>
      <c r="H348" s="7" t="s">
        <v>336</v>
      </c>
      <c r="I348" s="17">
        <v>399300</v>
      </c>
      <c r="J348" s="17"/>
      <c r="K348" s="17"/>
      <c r="L348" s="8">
        <f t="shared" si="145"/>
        <v>479160</v>
      </c>
      <c r="M348" s="17"/>
      <c r="N348" s="17"/>
      <c r="O348" s="15">
        <f t="shared" si="146"/>
        <v>0</v>
      </c>
      <c r="P348" s="15">
        <f t="shared" si="147"/>
        <v>0</v>
      </c>
      <c r="Q348" s="17"/>
      <c r="R348" s="17"/>
      <c r="S348" s="7" t="s">
        <v>73</v>
      </c>
      <c r="T348" s="5" t="s">
        <v>74</v>
      </c>
      <c r="U348" s="5" t="s">
        <v>2891</v>
      </c>
      <c r="V348" s="5"/>
      <c r="W348" s="52" t="s">
        <v>2892</v>
      </c>
      <c r="X348" s="10">
        <v>45322</v>
      </c>
      <c r="Y348" s="5" t="s">
        <v>67</v>
      </c>
      <c r="Z348" s="7" t="s">
        <v>89</v>
      </c>
      <c r="AA348" s="7" t="s">
        <v>90</v>
      </c>
      <c r="AB348" s="5">
        <v>286</v>
      </c>
      <c r="AC348" s="9"/>
      <c r="AD348" s="9"/>
      <c r="AE348" s="9"/>
      <c r="AF348" s="9"/>
      <c r="AG348" s="9">
        <v>289</v>
      </c>
      <c r="AH348" s="9">
        <v>273</v>
      </c>
      <c r="AI348" s="9"/>
      <c r="AJ348" s="9"/>
      <c r="AK348" s="9"/>
      <c r="AL348" s="9"/>
      <c r="AM348" s="9"/>
      <c r="AN348" s="9"/>
      <c r="AO348" s="9"/>
      <c r="AP348" s="9">
        <f t="shared" si="143"/>
        <v>3</v>
      </c>
      <c r="AQ348" s="62">
        <f t="shared" si="144"/>
        <v>282.66666666666669</v>
      </c>
      <c r="AR348" s="11" t="str">
        <f>IF(AQ348&gt;='Aprovados Recursos do Fundo'!$AQ$1,"APROVADO","REPROVADO")</f>
        <v>APROVADO</v>
      </c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</row>
    <row r="349" spans="2:58" hidden="1" x14ac:dyDescent="0.25">
      <c r="I349" s="95">
        <v>1931974.57</v>
      </c>
      <c r="J349" s="95"/>
      <c r="K349" s="95"/>
      <c r="L349" s="96">
        <f>I349+(I349+25%)</f>
        <v>3863949.39</v>
      </c>
      <c r="AT349"/>
      <c r="AU349"/>
      <c r="BE349"/>
    </row>
    <row r="350" spans="2:58" x14ac:dyDescent="0.25">
      <c r="I350" s="95"/>
      <c r="J350" s="95">
        <f>SUBTOTAL(9,J5:J349)</f>
        <v>11779374.52</v>
      </c>
      <c r="K350" s="95">
        <f>SUBTOTAL(9,K5:K349)</f>
        <v>618167.95000000007</v>
      </c>
      <c r="L350" s="95"/>
      <c r="N350" s="95"/>
      <c r="O350" s="95"/>
      <c r="P350" s="95"/>
    </row>
    <row r="351" spans="2:58" x14ac:dyDescent="0.25">
      <c r="I351" s="96"/>
      <c r="J351" s="96"/>
      <c r="K351" s="96"/>
      <c r="L351" s="96"/>
      <c r="N351" s="141"/>
      <c r="O351" s="141"/>
      <c r="P351" s="141"/>
      <c r="Q351" s="135"/>
      <c r="R351" s="135"/>
    </row>
    <row r="352" spans="2:58" x14ac:dyDescent="0.25">
      <c r="I352" s="96"/>
      <c r="J352" s="96"/>
      <c r="K352" s="96"/>
      <c r="L352" s="96"/>
      <c r="N352" s="141"/>
      <c r="O352" s="141"/>
      <c r="P352" s="141"/>
      <c r="Q352" s="135"/>
      <c r="R352" s="135"/>
    </row>
    <row r="353" spans="9:20" x14ac:dyDescent="0.25">
      <c r="J353" s="96">
        <f>J84+J85+J86/2</f>
        <v>1407024.1</v>
      </c>
      <c r="L353" s="141"/>
      <c r="N353" s="96"/>
      <c r="O353" s="96"/>
      <c r="P353" s="96"/>
      <c r="Q353" s="135"/>
      <c r="R353" s="135"/>
      <c r="T353" s="95"/>
    </row>
    <row r="354" spans="9:20" x14ac:dyDescent="0.25">
      <c r="I354" s="96"/>
      <c r="M354" s="174"/>
      <c r="Q354" s="135"/>
      <c r="R354" s="135"/>
      <c r="T354" s="95"/>
    </row>
    <row r="355" spans="9:20" x14ac:dyDescent="0.25">
      <c r="I355" s="95"/>
      <c r="J355" s="95">
        <f>J10+J38/2</f>
        <v>689487.44</v>
      </c>
      <c r="K355" s="95"/>
      <c r="L355" s="96"/>
      <c r="N355" s="142"/>
      <c r="O355" s="142"/>
      <c r="P355" s="142"/>
      <c r="Q355" s="135"/>
      <c r="R355" s="135"/>
      <c r="T355" s="95"/>
    </row>
    <row r="356" spans="9:20" x14ac:dyDescent="0.25">
      <c r="L356" s="96"/>
      <c r="M356" s="96"/>
      <c r="Q356" s="135"/>
      <c r="R356" s="135"/>
      <c r="T356" s="95"/>
    </row>
    <row r="357" spans="9:20" x14ac:dyDescent="0.25">
      <c r="I357" s="96"/>
      <c r="J357" s="96"/>
      <c r="K357" s="96"/>
      <c r="L357" s="96"/>
      <c r="M357" s="96"/>
      <c r="T357" s="95"/>
    </row>
    <row r="358" spans="9:20" x14ac:dyDescent="0.25">
      <c r="L358" s="96"/>
      <c r="N358" s="96"/>
      <c r="T358" s="95"/>
    </row>
    <row r="359" spans="9:20" x14ac:dyDescent="0.25">
      <c r="L359" s="96"/>
      <c r="N359" s="96"/>
      <c r="T359" s="95"/>
    </row>
    <row r="360" spans="9:20" x14ac:dyDescent="0.25">
      <c r="I360" s="95"/>
      <c r="J360" s="95"/>
      <c r="K360" s="95"/>
      <c r="L360" s="96"/>
      <c r="N360" s="96"/>
      <c r="O360" s="96"/>
      <c r="P360" s="96"/>
      <c r="T360" s="95"/>
    </row>
    <row r="361" spans="9:20" x14ac:dyDescent="0.25">
      <c r="M361" s="96"/>
      <c r="T361" s="96"/>
    </row>
    <row r="362" spans="9:20" x14ac:dyDescent="0.25">
      <c r="M362" s="96"/>
      <c r="N362" s="95"/>
      <c r="O362" s="95"/>
      <c r="P362" s="95"/>
    </row>
    <row r="365" spans="9:20" x14ac:dyDescent="0.25">
      <c r="N365" s="96"/>
      <c r="O365" s="96"/>
      <c r="P365" s="96"/>
    </row>
  </sheetData>
  <autoFilter ref="B4:BD349" xr:uid="{27C0936B-9F12-427E-816A-5C19FD5DA361}">
    <filterColumn colId="3">
      <filters blank="1">
        <filter val="Organização"/>
      </filters>
    </filterColumn>
    <filterColumn colId="43">
      <customFilters>
        <customFilter operator="notEqual" val=" "/>
      </customFilters>
    </filterColumn>
  </autoFilter>
  <dataConsolidate/>
  <mergeCells count="2">
    <mergeCell ref="B2:AQ2"/>
    <mergeCell ref="B3:BD3"/>
  </mergeCells>
  <hyperlinks>
    <hyperlink ref="W320" r:id="rId1" xr:uid="{4283C502-6FA1-4B30-823D-C2EEDAEE68C4}"/>
    <hyperlink ref="W287" r:id="rId2" xr:uid="{033D2001-FFB8-4983-898F-8AEBBAC23846}"/>
    <hyperlink ref="W249" r:id="rId3" xr:uid="{D9FC440C-E7CB-4329-AE61-6A76B1E7307E}"/>
    <hyperlink ref="W311" r:id="rId4" xr:uid="{0BA395DE-E2D0-47B5-B6EA-B6C46F352E26}"/>
    <hyperlink ref="W322" r:id="rId5" display="captaoderecursos@sorocaba.sp.gov.br" xr:uid="{89A86840-5F97-46A9-AF1C-F9AF88C46EC9}"/>
    <hyperlink ref="W289" r:id="rId6" xr:uid="{6E795E15-0F32-4169-B0E2-38217D86E0F0}"/>
    <hyperlink ref="W265" r:id="rId7" xr:uid="{F9344F05-9766-4F11-8C25-83292CB9AF30}"/>
    <hyperlink ref="W336" r:id="rId8" display="sepedi.departamentoidoso@saosebastiao.sp.gov.br" xr:uid="{F957381A-F15C-4F20-B170-DF2CD5267D38}"/>
    <hyperlink ref="W245" r:id="rId9" xr:uid="{D7433133-BC43-4BCB-B6FE-D663145D95EF}"/>
    <hyperlink ref="W281" r:id="rId10" xr:uid="{CBE1E606-FBCD-43B5-80C5-925FC675C471}"/>
    <hyperlink ref="W280" r:id="rId11" xr:uid="{7AF00703-3C98-427E-944B-84FF46AFE5B7}"/>
    <hyperlink ref="W162" r:id="rId12" xr:uid="{7290B299-DA2B-4F08-957B-4A9E2E6B4761}"/>
    <hyperlink ref="W335" r:id="rId13" xr:uid="{CC8251F9-FBA6-47BD-95D8-5F14D5BC542A}"/>
    <hyperlink ref="W236" r:id="rId14" xr:uid="{F26E93C0-258B-4891-A122-FBAA9E55B255}"/>
    <hyperlink ref="W195" r:id="rId15" xr:uid="{8684E354-4682-47C4-9CA2-816A6EACC51E}"/>
    <hyperlink ref="W348" r:id="rId16" xr:uid="{69C9C7CF-EF23-46A2-B210-AE2BB90F5B30}"/>
    <hyperlink ref="W144" r:id="rId17" xr:uid="{AA8B49CB-13D0-4711-A7D7-B57C8683FF63}"/>
    <hyperlink ref="W145" r:id="rId18" xr:uid="{4CF257D4-C58D-414D-BCCA-EDF0F5F64CA3}"/>
    <hyperlink ref="W199" r:id="rId19" xr:uid="{5DE44108-E0C1-488E-8C42-47710AD6F178}"/>
    <hyperlink ref="W223" r:id="rId20" xr:uid="{D6051349-B733-4AB8-9139-56C2C1766894}"/>
    <hyperlink ref="W146" r:id="rId21" xr:uid="{AF6A647E-67E6-4377-8FF4-B756753421CD}"/>
    <hyperlink ref="W138" r:id="rId22" xr:uid="{3C5F1661-4C53-4630-97EA-15AB69B1934D}"/>
    <hyperlink ref="W167" r:id="rId23" xr:uid="{E7388303-E40D-452B-87B2-8CEC1709C789}"/>
    <hyperlink ref="W163" r:id="rId24" xr:uid="{391F63CC-D758-45DE-AB77-F000D0F3FEC6}"/>
    <hyperlink ref="W165" r:id="rId25" xr:uid="{5D83828C-9AB8-4A82-B570-70D590DB53BC}"/>
    <hyperlink ref="W169" r:id="rId26" xr:uid="{870A3F1F-ADB1-45E0-925C-40B62D1B764E}"/>
    <hyperlink ref="W171" r:id="rId27" xr:uid="{469E5B86-47C5-41E9-8727-50170919EF94}"/>
    <hyperlink ref="W170" r:id="rId28" xr:uid="{F0D7BFD1-FE89-4F24-A1BE-C72C216D255A}"/>
    <hyperlink ref="W172" r:id="rId29" xr:uid="{955CE398-7F30-4203-919B-4234C1FA38C3}"/>
    <hyperlink ref="W166" r:id="rId30" xr:uid="{ACEBC813-425D-45E7-819B-2FB5DCF9D24A}"/>
    <hyperlink ref="W239" r:id="rId31" xr:uid="{213A0008-E72D-4AA6-A35D-7AFAD02F2A34}"/>
    <hyperlink ref="W237" r:id="rId32" xr:uid="{790BFA8F-3D0D-4DF5-B8E9-B2DBA39E14F4}"/>
    <hyperlink ref="W234" r:id="rId33" xr:uid="{C6364BC8-529F-4018-801F-A7AAB32925A6}"/>
    <hyperlink ref="W204" r:id="rId34" xr:uid="{6E6082FC-9091-48AB-B055-DC6550E3B2C4}"/>
    <hyperlink ref="W206" r:id="rId35" xr:uid="{16537335-2411-487D-BF07-CBE2F2727593}"/>
    <hyperlink ref="W224" r:id="rId36" xr:uid="{3EE20F39-6330-4D7A-8948-B9424CD26F47}"/>
    <hyperlink ref="W299" r:id="rId37" xr:uid="{F997FEC2-1B81-41F1-B772-171DE75AF91D}"/>
    <hyperlink ref="W294" r:id="rId38" xr:uid="{D51DF5A0-EEDA-4181-ADAF-03F78C772639}"/>
    <hyperlink ref="W290" r:id="rId39" xr:uid="{4B7A1BD0-B5DB-43D1-9072-65B8E0CA70D8}"/>
    <hyperlink ref="W291" r:id="rId40" xr:uid="{F1BFBF5F-EDAA-4131-82BC-9A20C2E22976}"/>
    <hyperlink ref="W252" r:id="rId41" xr:uid="{D698A2A7-2CCE-430D-8173-9EEB9B27848B}"/>
    <hyperlink ref="W244" r:id="rId42" xr:uid="{6DDFA48A-5EA9-4965-AE8B-7AA7CC1BB3FD}"/>
    <hyperlink ref="W269" r:id="rId43" xr:uid="{862C6DB4-11C6-43A0-A645-13F06A5863DF}"/>
    <hyperlink ref="W257" r:id="rId44" xr:uid="{5820277C-F597-4153-9950-165679E95F05}"/>
    <hyperlink ref="W168" r:id="rId45" xr:uid="{53016BBC-69C3-45BB-A021-DD249F16596D}"/>
    <hyperlink ref="W25" r:id="rId46" xr:uid="{920ADCFB-A4EB-4C6E-BBFF-1702F841DC49}"/>
    <hyperlink ref="W233" r:id="rId47" xr:uid="{30497D1D-4001-4462-A52B-A02C992DEAF6}"/>
    <hyperlink ref="W54" r:id="rId48" xr:uid="{519547DA-5B90-447E-9530-BE7E7D715E3D}"/>
    <hyperlink ref="W211" r:id="rId49" xr:uid="{0B781D9E-39E3-4621-8B68-265F2D40A129}"/>
    <hyperlink ref="W50" r:id="rId50" xr:uid="{56FA70FE-1627-4C61-98D4-76AA13E04DFC}"/>
    <hyperlink ref="W29" r:id="rId51" xr:uid="{F6A44B5C-2FFD-4065-A968-8FF61F7EED9F}"/>
    <hyperlink ref="W347" r:id="rId52" xr:uid="{8E67E876-C74B-4908-AFD4-D9906B94C18B}"/>
    <hyperlink ref="W188" r:id="rId53" xr:uid="{FDDF730E-D258-4DD6-BE52-6E223D7EB1E7}"/>
    <hyperlink ref="W134" r:id="rId54" xr:uid="{568042E8-52A4-4C50-93F1-07D912340AC4}"/>
    <hyperlink ref="W27" r:id="rId55" xr:uid="{0E861A8E-603E-4F5A-9D59-3CCDC3745D60}"/>
    <hyperlink ref="W10" r:id="rId56" xr:uid="{F6044F56-D9D6-4D2A-879C-1CB020F1CFBF}"/>
    <hyperlink ref="W126" r:id="rId57" xr:uid="{018BE532-6605-47CA-8B35-54F2A19F4B07}"/>
    <hyperlink ref="W26" r:id="rId58" xr:uid="{AB8838AA-7A14-4AF4-996B-39AA51B86EA8}"/>
    <hyperlink ref="W65" r:id="rId59" xr:uid="{9D3F430D-27FC-4446-9F77-B5EC43B08BCE}"/>
    <hyperlink ref="W263" r:id="rId60" xr:uid="{D2391656-4FB0-4DEA-85DE-6FDFBDF9DFA4}"/>
    <hyperlink ref="W276" r:id="rId61" xr:uid="{EC7682D2-0BC4-4D01-812A-9EFBD3194921}"/>
    <hyperlink ref="W285" r:id="rId62" xr:uid="{C08F1B1B-5B2F-48D5-B164-BC782D1466CB}"/>
    <hyperlink ref="W333" r:id="rId63" xr:uid="{87959231-1FD8-4EDA-89BD-BE1B4B4EE5E2}"/>
    <hyperlink ref="W282" r:id="rId64" xr:uid="{C987F0FC-C898-4CAA-B011-05AACD7E0373}"/>
    <hyperlink ref="W220" r:id="rId65" xr:uid="{3A8FA6CE-7665-414E-82C5-79FBF25B9A22}"/>
    <hyperlink ref="W305" r:id="rId66" xr:uid="{519C35D5-A9BA-4EDC-9C1C-BFA2CE2753A1}"/>
    <hyperlink ref="W312" r:id="rId67" xr:uid="{DDAD7494-60EB-410F-A80D-B3331C1A3B4C}"/>
    <hyperlink ref="W13" r:id="rId68" xr:uid="{FAF2B9A1-9574-4202-9B47-A91913421935}"/>
    <hyperlink ref="W51" r:id="rId69" xr:uid="{F922E936-BC1D-4F31-925E-8D3A96B5B114}"/>
    <hyperlink ref="W131" r:id="rId70" xr:uid="{76A10533-9627-46AA-B345-621834DA438D}"/>
    <hyperlink ref="W217" r:id="rId71" xr:uid="{CBBCF3C3-103A-4388-B4CD-88AFAAA563B0}"/>
    <hyperlink ref="W298" r:id="rId72" xr:uid="{39065735-F650-440E-8823-EA9CBAC534D2}"/>
    <hyperlink ref="W114" r:id="rId73" xr:uid="{8F3480E7-B6E9-4DE4-9AC7-28D58137924E}"/>
    <hyperlink ref="W310" r:id="rId74" xr:uid="{82CF6AD6-9A57-46E4-855E-F5ECB7B86AF0}"/>
    <hyperlink ref="W187" r:id="rId75" xr:uid="{E013E2BC-E2F4-441A-9E36-F8DD3AD24AFF}"/>
    <hyperlink ref="W283" r:id="rId76" xr:uid="{0869DD92-A78D-4B9F-BE9D-F3BF7DCD7C37}"/>
    <hyperlink ref="W157" r:id="rId77" xr:uid="{36B93EB0-BDCE-4E87-BA22-556DA4733613}"/>
  </hyperlinks>
  <pageMargins left="0.15" right="0.13" top="0.18" bottom="0.2" header="0.17" footer="0.17"/>
  <pageSetup paperSize="9" orientation="landscape" horizontalDpi="300" verticalDpi="300" r:id="rId78"/>
  <drawing r:id="rId79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27BC1DC-97AE-4C95-956C-586C1D42119A}">
          <x14:formula1>
            <xm:f>Planilha2!$D$6:$D$19</xm:f>
          </x14:formula1>
          <xm:sqref>AU4</xm:sqref>
        </x14:dataValidation>
        <x14:dataValidation type="list" allowBlank="1" showInputMessage="1" showErrorMessage="1" xr:uid="{2E59E84F-C1BA-49BF-8024-3603EF16A5DA}">
          <x14:formula1>
            <xm:f>Planilha2!$D$2:$D$17</xm:f>
          </x14:formula1>
          <xm:sqref>AU5:AU348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3</vt:i4>
      </vt:variant>
    </vt:vector>
  </HeadingPairs>
  <TitlesOfParts>
    <vt:vector size="16" baseType="lpstr">
      <vt:lpstr>Consolidada com todas as notas</vt:lpstr>
      <vt:lpstr>Consolidada</vt:lpstr>
      <vt:lpstr>Desclassificado</vt:lpstr>
      <vt:lpstr>Reprovados</vt:lpstr>
      <vt:lpstr>Sem Pontuação Minima</vt:lpstr>
      <vt:lpstr>Aprovados Recursos do Fundo</vt:lpstr>
      <vt:lpstr>Planilha2</vt:lpstr>
      <vt:lpstr>FUNDO</vt:lpstr>
      <vt:lpstr>Planilha1</vt:lpstr>
      <vt:lpstr>CAC</vt:lpstr>
      <vt:lpstr>Aprovados CAC (2)</vt:lpstr>
      <vt:lpstr>Lista Final - RECURSO DO</vt:lpstr>
      <vt:lpstr>Aprovados CAC</vt:lpstr>
      <vt:lpstr>'Aprovados Recursos do Fundo'!_Hlk127349196</vt:lpstr>
      <vt:lpstr>'Aprovados Recursos do Fundo'!Area_de_impressao</vt:lpstr>
      <vt:lpstr>'Lista Final - RECURSO DO'!Area_de_impressao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LUANA PAULA DE SOUSA</dc:creator>
  <cp:keywords/>
  <dc:description/>
  <cp:lastModifiedBy>LUANA PAULA DE SOUSA</cp:lastModifiedBy>
  <cp:revision/>
  <dcterms:created xsi:type="dcterms:W3CDTF">2024-04-16T13:23:57Z</dcterms:created>
  <dcterms:modified xsi:type="dcterms:W3CDTF">2026-03-20T14:30:54Z</dcterms:modified>
  <cp:category/>
  <cp:contentStatus/>
</cp:coreProperties>
</file>